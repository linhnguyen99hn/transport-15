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adminpc1\Documents\1. Vân Anh 2022\BÁO CÁO NGÀY\Năm 2023\"/>
    </mc:Choice>
  </mc:AlternateContent>
  <bookViews>
    <workbookView xWindow="0" yWindow="0" windowWidth="28800" windowHeight="12330" tabRatio="803" firstSheet="7" activeTab="7"/>
  </bookViews>
  <sheets>
    <sheet name="BÁO CÁO CÔNG NỢ" sheetId="20" state="hidden" r:id="rId1"/>
    <sheet name="PT CƠ CẤU SẢN PHẨM" sheetId="22" state="hidden" r:id="rId2"/>
    <sheet name="PT VÙNG MIỀN" sheetId="25" state="hidden" r:id="rId3"/>
    <sheet name="PT CƠ CẤU GIÁ" sheetId="27" state="hidden" r:id="rId4"/>
    <sheet name="BTP" sheetId="3" state="hidden" r:id="rId5"/>
    <sheet name="PHẾ Theo SP" sheetId="4" state="hidden" r:id="rId6"/>
    <sheet name="PHẾ Theo Máy" sheetId="7" state="hidden" r:id="rId7"/>
    <sheet name="PHÂN BỔ MÁY THÁNG 5" sheetId="33" r:id="rId8"/>
    <sheet name="PHÂN BỔ MÁY SỬA " sheetId="32" state="hidden" r:id="rId9"/>
    <sheet name="PHÂN BỔ MÁY SỬA" sheetId="31" state="hidden" r:id="rId10"/>
    <sheet name="PHÂN BỔ SX V2" sheetId="29" state="hidden" r:id="rId11"/>
    <sheet name="VMI" sheetId="15" state="hidden" r:id="rId12"/>
    <sheet name="YBM" sheetId="16" state="hidden" r:id="rId13"/>
    <sheet name="BL" sheetId="17" state="hidden" r:id="rId14"/>
    <sheet name="VMI (2)" sheetId="30" state="hidden" r:id="rId15"/>
    <sheet name="XUẤT KHO" sheetId="14" state="hidden" r:id="rId16"/>
  </sheets>
  <definedNames>
    <definedName name="_xlnm._FilterDatabase" localSheetId="13" hidden="1">BL!$B$2:$AH$11</definedName>
    <definedName name="_xlnm._FilterDatabase" localSheetId="9" hidden="1">'PHÂN BỔ MÁY SỬA'!$A$6:$U$18</definedName>
    <definedName name="_xlnm._FilterDatabase" localSheetId="8" hidden="1">'PHÂN BỔ MÁY SỬA '!$A$6:$U$18</definedName>
    <definedName name="_xlnm._FilterDatabase" localSheetId="7" hidden="1">'PHÂN BỔ MÁY THÁNG 5'!$A$6:$S$18</definedName>
    <definedName name="_xlnm._FilterDatabase" localSheetId="10" hidden="1">'PHÂN BỔ SX V2'!$A$6:$U$18</definedName>
    <definedName name="_xlnm._FilterDatabase" localSheetId="11" hidden="1">VMI!$B$2:$AH$12</definedName>
    <definedName name="_xlnm._FilterDatabase" localSheetId="14" hidden="1">'VMI (2)'!$B$2:$AH$12</definedName>
    <definedName name="_xlnm._FilterDatabase" localSheetId="15" hidden="1">'XUẤT KHO'!$B$4:$C$4</definedName>
    <definedName name="_xlnm._FilterDatabase" localSheetId="12" hidden="1">YBM!$B$2:$AH$14</definedName>
    <definedName name="_xlnm.Print_Area" localSheetId="13">BL!$A$1:$AH$11</definedName>
    <definedName name="_xlnm.Print_Area" localSheetId="11">VMI!$A$1:$AH$12</definedName>
    <definedName name="_xlnm.Print_Area" localSheetId="14">'VMI (2)'!$A$1:$AH$12</definedName>
    <definedName name="_xlnm.Print_Area" localSheetId="12">YBM!$A$1:$AH$14</definedName>
  </definedNames>
  <calcPr calcId="162913"/>
</workbook>
</file>

<file path=xl/calcChain.xml><?xml version="1.0" encoding="utf-8"?>
<calcChain xmlns="http://schemas.openxmlformats.org/spreadsheetml/2006/main">
  <c r="S132" i="33" l="1"/>
  <c r="S155" i="33" l="1"/>
  <c r="C267" i="33" l="1"/>
  <c r="C268" i="33"/>
  <c r="C269" i="33"/>
  <c r="C270" i="33"/>
  <c r="C271" i="33"/>
  <c r="C272" i="33"/>
  <c r="C273" i="33"/>
  <c r="C274" i="33"/>
  <c r="C275" i="33"/>
  <c r="C276" i="33"/>
  <c r="C277" i="33"/>
  <c r="C278" i="33"/>
  <c r="C279" i="33"/>
  <c r="C280" i="33"/>
  <c r="C281" i="33"/>
  <c r="C282" i="33"/>
  <c r="C283" i="33"/>
  <c r="C284" i="33"/>
  <c r="C285" i="33"/>
  <c r="C286" i="33"/>
  <c r="C287" i="33"/>
  <c r="C288" i="33"/>
  <c r="C289" i="33"/>
  <c r="C290" i="33"/>
  <c r="C291" i="33"/>
  <c r="C292" i="33"/>
  <c r="C293" i="33"/>
  <c r="C294" i="33"/>
  <c r="C295" i="33"/>
  <c r="C296" i="33"/>
  <c r="C297" i="33"/>
  <c r="C298" i="33"/>
  <c r="C299" i="33"/>
  <c r="C300" i="33"/>
  <c r="C301" i="33"/>
  <c r="C302" i="33"/>
  <c r="C303" i="33"/>
  <c r="C304" i="33"/>
  <c r="C305" i="33"/>
  <c r="C306" i="33"/>
  <c r="C307" i="33"/>
  <c r="C308" i="33"/>
  <c r="C309" i="33"/>
  <c r="C310" i="33"/>
  <c r="C311" i="33"/>
  <c r="C312" i="33"/>
  <c r="C313" i="33"/>
  <c r="C314" i="33"/>
  <c r="C315" i="33"/>
  <c r="C316" i="33"/>
  <c r="C317" i="33"/>
  <c r="C318" i="33"/>
  <c r="C319" i="33"/>
  <c r="C320" i="33"/>
  <c r="C321" i="33"/>
  <c r="C322" i="33"/>
  <c r="C323" i="33"/>
  <c r="C324" i="33"/>
  <c r="C325" i="33"/>
  <c r="C326" i="33"/>
  <c r="C327" i="33"/>
  <c r="C328" i="33"/>
  <c r="C329" i="33"/>
  <c r="C330" i="33"/>
  <c r="C331" i="33"/>
  <c r="C332" i="33"/>
  <c r="C333" i="33"/>
  <c r="C334" i="33"/>
  <c r="C335" i="33"/>
  <c r="C336" i="33"/>
  <c r="C337" i="33"/>
  <c r="C338" i="33"/>
  <c r="C339" i="33"/>
  <c r="C340" i="33"/>
  <c r="C341" i="33"/>
  <c r="C342" i="33"/>
  <c r="C343" i="33"/>
  <c r="C344" i="33"/>
  <c r="C345" i="33"/>
  <c r="C346" i="33"/>
  <c r="C347" i="33"/>
  <c r="C348" i="33"/>
  <c r="C349" i="33"/>
  <c r="C350" i="33"/>
  <c r="C351" i="33"/>
  <c r="C352" i="33"/>
  <c r="C353" i="33"/>
  <c r="C354" i="33"/>
  <c r="C355" i="33"/>
  <c r="C356" i="33"/>
  <c r="C357" i="33"/>
  <c r="C358" i="33"/>
  <c r="C359" i="33"/>
  <c r="C360" i="33"/>
  <c r="C361" i="33"/>
  <c r="C362" i="33"/>
  <c r="C363" i="33"/>
  <c r="C364" i="33"/>
  <c r="C365" i="33"/>
  <c r="C366" i="33"/>
  <c r="C367" i="33"/>
  <c r="C368" i="33"/>
  <c r="C369" i="33"/>
  <c r="C370" i="33"/>
  <c r="C371" i="33"/>
  <c r="C372" i="33"/>
  <c r="C373" i="33"/>
  <c r="C374" i="33"/>
  <c r="C375" i="33"/>
  <c r="C376" i="33"/>
  <c r="C377" i="33"/>
  <c r="C378" i="33"/>
  <c r="C379" i="33"/>
  <c r="C380" i="33"/>
  <c r="C381" i="33"/>
  <c r="C382" i="33"/>
  <c r="C383" i="33"/>
  <c r="C384" i="33"/>
  <c r="C385" i="33"/>
  <c r="C386" i="33"/>
  <c r="C387" i="33"/>
  <c r="C388" i="33"/>
  <c r="C389" i="33"/>
  <c r="C390" i="33"/>
  <c r="C391" i="33"/>
  <c r="C392" i="33"/>
  <c r="C393" i="33"/>
  <c r="C394" i="33"/>
  <c r="C395" i="33"/>
  <c r="C396" i="33"/>
  <c r="C397" i="33"/>
  <c r="C398" i="33"/>
  <c r="C399" i="33"/>
  <c r="C400" i="33"/>
  <c r="C401" i="33"/>
  <c r="C402" i="33"/>
  <c r="C403" i="33"/>
  <c r="C404" i="33"/>
  <c r="C405" i="33"/>
  <c r="C406" i="33"/>
  <c r="C407" i="33"/>
  <c r="C408" i="33"/>
  <c r="C409" i="33"/>
  <c r="C410" i="33"/>
  <c r="C411" i="33"/>
  <c r="C412" i="33"/>
  <c r="C413" i="33"/>
  <c r="C414" i="33"/>
  <c r="C415" i="33"/>
  <c r="C416" i="33"/>
  <c r="C417" i="33"/>
  <c r="C418" i="33"/>
  <c r="C419" i="33"/>
  <c r="C420" i="33"/>
  <c r="C421" i="33"/>
  <c r="C422" i="33"/>
  <c r="C423" i="33"/>
  <c r="C424" i="33"/>
  <c r="C425" i="33"/>
  <c r="C426" i="33"/>
  <c r="C427" i="33"/>
  <c r="C428" i="33"/>
  <c r="C429" i="33"/>
  <c r="C430" i="33"/>
  <c r="C431" i="33"/>
  <c r="C432" i="33"/>
  <c r="C433" i="33"/>
  <c r="C434" i="33"/>
  <c r="C435" i="33"/>
  <c r="C436" i="33"/>
  <c r="C437" i="33"/>
  <c r="C438" i="33"/>
  <c r="C439" i="33"/>
  <c r="C440" i="33"/>
  <c r="C441" i="33"/>
  <c r="C442" i="33"/>
  <c r="C443" i="33"/>
  <c r="C444" i="33"/>
  <c r="C445" i="33"/>
  <c r="C446" i="33"/>
  <c r="W96" i="33" l="1"/>
  <c r="W99" i="33" s="1"/>
  <c r="W100" i="33" s="1"/>
  <c r="W79" i="33"/>
  <c r="K95" i="33"/>
  <c r="C212" i="33" l="1"/>
  <c r="C124" i="33"/>
  <c r="C266" i="33"/>
  <c r="C265" i="33"/>
  <c r="C264" i="33"/>
  <c r="C263" i="33"/>
  <c r="C262" i="33"/>
  <c r="C261" i="33"/>
  <c r="C260" i="33"/>
  <c r="C259" i="33"/>
  <c r="C258" i="33"/>
  <c r="C257" i="33"/>
  <c r="C256" i="33"/>
  <c r="C255" i="33"/>
  <c r="C254" i="33"/>
  <c r="C253" i="33"/>
  <c r="C252" i="33"/>
  <c r="C251" i="33"/>
  <c r="C250" i="33"/>
  <c r="C249" i="33"/>
  <c r="C248" i="33"/>
  <c r="C247" i="33"/>
  <c r="C246" i="33"/>
  <c r="C245" i="33"/>
  <c r="C244" i="33"/>
  <c r="C243" i="33"/>
  <c r="C242" i="33"/>
  <c r="C241" i="33"/>
  <c r="C240" i="33"/>
  <c r="C239" i="33"/>
  <c r="C238" i="33"/>
  <c r="C237" i="33"/>
  <c r="C236" i="33"/>
  <c r="C235" i="33"/>
  <c r="C234" i="33"/>
  <c r="C233" i="33"/>
  <c r="C232" i="33"/>
  <c r="C231" i="33"/>
  <c r="C230" i="33"/>
  <c r="C229" i="33"/>
  <c r="C228" i="33"/>
  <c r="C227" i="33"/>
  <c r="C226" i="33"/>
  <c r="C225" i="33"/>
  <c r="C224" i="33"/>
  <c r="C223" i="33"/>
  <c r="C222" i="33"/>
  <c r="C221" i="33"/>
  <c r="C220" i="33"/>
  <c r="C219" i="33"/>
  <c r="C218" i="33"/>
  <c r="C217" i="33"/>
  <c r="C216" i="33"/>
  <c r="C215" i="33"/>
  <c r="C214" i="33"/>
  <c r="C213" i="33"/>
  <c r="C211" i="33"/>
  <c r="C210" i="33"/>
  <c r="C209" i="33"/>
  <c r="C208" i="33"/>
  <c r="C207" i="33"/>
  <c r="C206" i="33"/>
  <c r="C205" i="33"/>
  <c r="C204" i="33"/>
  <c r="C203" i="33"/>
  <c r="C202" i="33"/>
  <c r="C201" i="33"/>
  <c r="C200" i="33"/>
  <c r="C199" i="33"/>
  <c r="C198" i="33"/>
  <c r="C197" i="33"/>
  <c r="C196" i="33"/>
  <c r="C195" i="33"/>
  <c r="C194" i="33"/>
  <c r="C193" i="33"/>
  <c r="C192" i="33"/>
  <c r="C191" i="33"/>
  <c r="C190" i="33"/>
  <c r="C189" i="33"/>
  <c r="C188" i="33"/>
  <c r="C187" i="33"/>
  <c r="C186" i="33"/>
  <c r="C185" i="33"/>
  <c r="C184" i="33"/>
  <c r="C183" i="33"/>
  <c r="C182" i="33"/>
  <c r="C181" i="33"/>
  <c r="C180" i="33"/>
  <c r="C179" i="33"/>
  <c r="C178" i="33"/>
  <c r="C177" i="33"/>
  <c r="C176" i="33"/>
  <c r="C175" i="33"/>
  <c r="C174" i="33"/>
  <c r="C173" i="33"/>
  <c r="C172" i="33"/>
  <c r="C171" i="33"/>
  <c r="C170" i="33"/>
  <c r="C169" i="33"/>
  <c r="C168" i="33"/>
  <c r="C167" i="33"/>
  <c r="C166" i="33"/>
  <c r="C165" i="33"/>
  <c r="C164" i="33"/>
  <c r="C163" i="33"/>
  <c r="C162" i="33"/>
  <c r="C161" i="33"/>
  <c r="C160" i="33"/>
  <c r="C159" i="33"/>
  <c r="C158" i="33"/>
  <c r="C157" i="33"/>
  <c r="C156" i="33"/>
  <c r="C155" i="33"/>
  <c r="C154" i="33"/>
  <c r="C153" i="33"/>
  <c r="C152" i="33"/>
  <c r="C151" i="33"/>
  <c r="C150" i="33"/>
  <c r="C149" i="33"/>
  <c r="C148" i="33"/>
  <c r="C147" i="33"/>
  <c r="C146" i="33"/>
  <c r="C145" i="33"/>
  <c r="C144" i="33"/>
  <c r="C143" i="33"/>
  <c r="C142" i="33"/>
  <c r="C141" i="33"/>
  <c r="C140" i="33"/>
  <c r="C139" i="33"/>
  <c r="C138" i="33"/>
  <c r="C137" i="33"/>
  <c r="C136" i="33"/>
  <c r="C134" i="33"/>
  <c r="C133" i="33"/>
  <c r="C135" i="33"/>
  <c r="C131" i="33"/>
  <c r="C130" i="33"/>
  <c r="C129" i="33"/>
  <c r="C128" i="33"/>
  <c r="C127" i="33"/>
  <c r="C126" i="33"/>
  <c r="C125" i="33"/>
  <c r="C123" i="33"/>
  <c r="C122" i="33"/>
  <c r="C121" i="33"/>
  <c r="C120" i="33"/>
  <c r="C119" i="33"/>
  <c r="C118" i="33"/>
  <c r="C117" i="33"/>
  <c r="C116" i="33"/>
  <c r="C115" i="33"/>
  <c r="C114" i="33"/>
  <c r="C113" i="33"/>
  <c r="S112" i="33"/>
  <c r="C112" i="33" s="1"/>
  <c r="C111" i="33"/>
  <c r="C110" i="33"/>
  <c r="C109" i="33"/>
  <c r="C108" i="33"/>
  <c r="C107" i="33"/>
  <c r="C106" i="33"/>
  <c r="C105" i="33"/>
  <c r="C104" i="33"/>
  <c r="C103" i="33"/>
  <c r="C102" i="33"/>
  <c r="C101" i="33"/>
  <c r="C100" i="33"/>
  <c r="C99" i="33"/>
  <c r="C98" i="33"/>
  <c r="C97" i="33"/>
  <c r="C96" i="33"/>
  <c r="C95" i="33"/>
  <c r="C94" i="33"/>
  <c r="C93" i="33"/>
  <c r="C92" i="33"/>
  <c r="C91" i="33"/>
  <c r="C90" i="33"/>
  <c r="C89" i="33"/>
  <c r="C88" i="33"/>
  <c r="C87" i="33"/>
  <c r="C86" i="33"/>
  <c r="C85" i="33"/>
  <c r="C84" i="33"/>
  <c r="O83" i="33"/>
  <c r="C83" i="33" s="1"/>
  <c r="C82" i="33"/>
  <c r="C81" i="33"/>
  <c r="C80" i="33"/>
  <c r="C79" i="33"/>
  <c r="C78" i="33"/>
  <c r="G77" i="33"/>
  <c r="C77" i="33" s="1"/>
  <c r="C76" i="33"/>
  <c r="C75" i="33"/>
  <c r="C74" i="33"/>
  <c r="C73" i="33"/>
  <c r="C72" i="33"/>
  <c r="C70" i="33"/>
  <c r="C69" i="33"/>
  <c r="S68" i="33"/>
  <c r="C68" i="33" s="1"/>
  <c r="C67" i="33"/>
  <c r="C66" i="33"/>
  <c r="C65" i="33"/>
  <c r="G64" i="33"/>
  <c r="G71" i="33" s="1"/>
  <c r="C71" i="33" s="1"/>
  <c r="C63" i="33"/>
  <c r="C62" i="33"/>
  <c r="C61" i="33"/>
  <c r="C60" i="33"/>
  <c r="C59" i="33"/>
  <c r="C58" i="33"/>
  <c r="C57" i="33"/>
  <c r="K56" i="33"/>
  <c r="C56" i="33" s="1"/>
  <c r="C55" i="33"/>
  <c r="C54" i="33"/>
  <c r="C53" i="33"/>
  <c r="C52" i="33"/>
  <c r="C51" i="33"/>
  <c r="C50" i="33"/>
  <c r="C49" i="33"/>
  <c r="C48" i="33"/>
  <c r="C47" i="33"/>
  <c r="C46" i="33"/>
  <c r="C45" i="33"/>
  <c r="K44" i="33"/>
  <c r="C44" i="33" s="1"/>
  <c r="S43" i="33"/>
  <c r="C43" i="33" s="1"/>
  <c r="C42" i="33"/>
  <c r="C41" i="33"/>
  <c r="C40" i="33"/>
  <c r="C39" i="33"/>
  <c r="C38" i="33"/>
  <c r="C37" i="33"/>
  <c r="C36" i="33"/>
  <c r="C35" i="33"/>
  <c r="C34" i="33"/>
  <c r="C33" i="33"/>
  <c r="C32" i="33"/>
  <c r="C31" i="33"/>
  <c r="C30" i="33"/>
  <c r="C29" i="33"/>
  <c r="C28" i="33"/>
  <c r="C27" i="33"/>
  <c r="C26" i="33"/>
  <c r="C25" i="33"/>
  <c r="C24" i="33"/>
  <c r="C23" i="33"/>
  <c r="C22" i="33"/>
  <c r="C21" i="33"/>
  <c r="C20" i="33"/>
  <c r="C19" i="33"/>
  <c r="C18" i="33"/>
  <c r="C17" i="33"/>
  <c r="C16" i="33"/>
  <c r="C15" i="33"/>
  <c r="C14" i="33"/>
  <c r="C13" i="33"/>
  <c r="C12" i="33"/>
  <c r="C11" i="33"/>
  <c r="C10" i="33"/>
  <c r="C9" i="33"/>
  <c r="C8" i="33"/>
  <c r="C7" i="33"/>
  <c r="A7" i="33"/>
  <c r="A11" i="33" s="1"/>
  <c r="C64" i="33" l="1"/>
  <c r="C132" i="33"/>
  <c r="C6" i="33" s="1"/>
  <c r="B11" i="33"/>
  <c r="A15" i="33"/>
  <c r="B7" i="33"/>
  <c r="A19" i="33" l="1"/>
  <c r="B15" i="33"/>
  <c r="B19" i="33" l="1"/>
  <c r="A23" i="33"/>
  <c r="A27" i="33" l="1"/>
  <c r="B23" i="33"/>
  <c r="B27" i="33" l="1"/>
  <c r="A31" i="33"/>
  <c r="A35" i="33" l="1"/>
  <c r="B31" i="33"/>
  <c r="B35" i="33" l="1"/>
  <c r="A39" i="33"/>
  <c r="A43" i="33" l="1"/>
  <c r="B39" i="33"/>
  <c r="B43" i="33" l="1"/>
  <c r="A47" i="33"/>
  <c r="B47" i="33" l="1"/>
  <c r="A51" i="33"/>
  <c r="B51" i="33" l="1"/>
  <c r="A55" i="33"/>
  <c r="A59" i="33" l="1"/>
  <c r="B55" i="33"/>
  <c r="B59" i="33" l="1"/>
  <c r="A63" i="33"/>
  <c r="A67" i="33" l="1"/>
  <c r="B63" i="33"/>
  <c r="B67" i="33" l="1"/>
  <c r="A71" i="33"/>
  <c r="B71" i="33" l="1"/>
  <c r="A75" i="33"/>
  <c r="A79" i="33" l="1"/>
  <c r="B75" i="33"/>
  <c r="A83" i="33" l="1"/>
  <c r="B79" i="33"/>
  <c r="A87" i="33" l="1"/>
  <c r="B83" i="33"/>
  <c r="A91" i="33" l="1"/>
  <c r="B87" i="33"/>
  <c r="A95" i="33" l="1"/>
  <c r="B91" i="33"/>
  <c r="B95" i="33" l="1"/>
  <c r="A99" i="33"/>
  <c r="A103" i="33" l="1"/>
  <c r="B99" i="33"/>
  <c r="B103" i="33" l="1"/>
  <c r="A107" i="33"/>
  <c r="A111" i="33" l="1"/>
  <c r="A115" i="33" s="1"/>
  <c r="B107" i="33"/>
  <c r="B111" i="33" l="1"/>
  <c r="B115" i="33" l="1"/>
  <c r="A119" i="33"/>
  <c r="A123" i="33" l="1"/>
  <c r="B119" i="33"/>
  <c r="B123" i="33" l="1"/>
  <c r="A127" i="33"/>
  <c r="A131" i="33" l="1"/>
  <c r="B127" i="33"/>
  <c r="B131" i="33" l="1"/>
  <c r="A135" i="33"/>
  <c r="B135" i="33" l="1"/>
  <c r="A139" i="33"/>
  <c r="A143" i="33" l="1"/>
  <c r="B139" i="33"/>
  <c r="B143" i="33" l="1"/>
  <c r="A147" i="33"/>
  <c r="A151" i="33" l="1"/>
  <c r="B147" i="33"/>
  <c r="B151" i="33" l="1"/>
  <c r="A155" i="33"/>
  <c r="A159" i="33" l="1"/>
  <c r="B155" i="33"/>
  <c r="B159" i="33" l="1"/>
  <c r="A163" i="33"/>
  <c r="A167" i="33" l="1"/>
  <c r="B163" i="33"/>
  <c r="Z130" i="32"/>
  <c r="Z129" i="32"/>
  <c r="B167" i="33" l="1"/>
  <c r="A171" i="33"/>
  <c r="U132" i="32"/>
  <c r="U135" i="32" s="1"/>
  <c r="P132" i="32"/>
  <c r="P109" i="32"/>
  <c r="A175" i="33" l="1"/>
  <c r="B171" i="33"/>
  <c r="C251" i="32"/>
  <c r="C252" i="32"/>
  <c r="C253" i="32"/>
  <c r="C254" i="32"/>
  <c r="C255" i="32"/>
  <c r="C256" i="32"/>
  <c r="C257" i="32"/>
  <c r="C258" i="32"/>
  <c r="C259" i="32"/>
  <c r="C260" i="32"/>
  <c r="C261" i="32"/>
  <c r="C262" i="32"/>
  <c r="C263" i="32"/>
  <c r="C264" i="32"/>
  <c r="C265" i="32"/>
  <c r="C266" i="32"/>
  <c r="C239" i="32"/>
  <c r="C240" i="32"/>
  <c r="C241" i="32"/>
  <c r="C242" i="32"/>
  <c r="C243" i="32"/>
  <c r="C244" i="32"/>
  <c r="C245" i="32"/>
  <c r="C246" i="32"/>
  <c r="C247" i="32"/>
  <c r="C248" i="32"/>
  <c r="C249" i="32"/>
  <c r="C250" i="32"/>
  <c r="C179" i="32"/>
  <c r="C180" i="32"/>
  <c r="C181" i="32"/>
  <c r="C182" i="32"/>
  <c r="C183" i="32"/>
  <c r="C184" i="32"/>
  <c r="C185" i="32"/>
  <c r="C186" i="32"/>
  <c r="C187" i="32"/>
  <c r="C188" i="32"/>
  <c r="C189" i="32"/>
  <c r="C190" i="32"/>
  <c r="C191" i="32"/>
  <c r="C192" i="32"/>
  <c r="C193" i="32"/>
  <c r="C194" i="32"/>
  <c r="C195" i="32"/>
  <c r="C196" i="32"/>
  <c r="C197" i="32"/>
  <c r="C198" i="32"/>
  <c r="C199" i="32"/>
  <c r="C200" i="32"/>
  <c r="C201" i="32"/>
  <c r="C202" i="32"/>
  <c r="C203" i="32"/>
  <c r="C204" i="32"/>
  <c r="C205" i="32"/>
  <c r="C206" i="32"/>
  <c r="C207" i="32"/>
  <c r="C208" i="32"/>
  <c r="C209" i="32"/>
  <c r="C210" i="32"/>
  <c r="C211" i="32"/>
  <c r="C212" i="32"/>
  <c r="C213" i="32"/>
  <c r="C214" i="32"/>
  <c r="C215" i="32"/>
  <c r="C216" i="32"/>
  <c r="C217" i="32"/>
  <c r="C218" i="32"/>
  <c r="C219" i="32"/>
  <c r="C220" i="32"/>
  <c r="C221" i="32"/>
  <c r="C222" i="32"/>
  <c r="C223" i="32"/>
  <c r="C224" i="32"/>
  <c r="C225" i="32"/>
  <c r="C226" i="32"/>
  <c r="C227" i="32"/>
  <c r="C228" i="32"/>
  <c r="C229" i="32"/>
  <c r="C230" i="32"/>
  <c r="C231" i="32"/>
  <c r="C232" i="32"/>
  <c r="C233" i="32"/>
  <c r="C234" i="32"/>
  <c r="C235" i="32"/>
  <c r="C236" i="32"/>
  <c r="C237" i="32"/>
  <c r="C238" i="32"/>
  <c r="C163" i="32"/>
  <c r="C164" i="32"/>
  <c r="C165" i="32"/>
  <c r="C166" i="32"/>
  <c r="C167" i="32"/>
  <c r="C168" i="32"/>
  <c r="C169" i="32"/>
  <c r="C170" i="32"/>
  <c r="C171" i="32"/>
  <c r="C172" i="32"/>
  <c r="C173" i="32"/>
  <c r="C174" i="32"/>
  <c r="C175" i="32"/>
  <c r="C176" i="32"/>
  <c r="C177" i="32"/>
  <c r="C178" i="32"/>
  <c r="B175" i="33" l="1"/>
  <c r="A179" i="33"/>
  <c r="P97" i="32"/>
  <c r="A183" i="33" l="1"/>
  <c r="B179" i="33"/>
  <c r="Y80" i="32"/>
  <c r="B183" i="33" l="1"/>
  <c r="A187" i="33"/>
  <c r="H123" i="32"/>
  <c r="C123" i="32" s="1"/>
  <c r="C132" i="32"/>
  <c r="U112" i="32"/>
  <c r="U68" i="32"/>
  <c r="C68" i="32" s="1"/>
  <c r="C79" i="32"/>
  <c r="C162" i="32"/>
  <c r="C161" i="32"/>
  <c r="C160" i="32"/>
  <c r="C159" i="32"/>
  <c r="C158" i="32"/>
  <c r="C157" i="32"/>
  <c r="C156" i="32"/>
  <c r="C155" i="32"/>
  <c r="C154" i="32"/>
  <c r="C153" i="32"/>
  <c r="C152" i="32"/>
  <c r="C151" i="32"/>
  <c r="C150" i="32"/>
  <c r="C149" i="32"/>
  <c r="C148" i="32"/>
  <c r="C147" i="32"/>
  <c r="C146" i="32"/>
  <c r="C145" i="32"/>
  <c r="C144" i="32"/>
  <c r="C143" i="32"/>
  <c r="C142" i="32"/>
  <c r="C141" i="32"/>
  <c r="C140" i="32"/>
  <c r="C139" i="32"/>
  <c r="C138" i="32"/>
  <c r="C137" i="32"/>
  <c r="C136" i="32"/>
  <c r="C135" i="32"/>
  <c r="C134" i="32"/>
  <c r="C133" i="32"/>
  <c r="C131" i="32"/>
  <c r="C130" i="32"/>
  <c r="C129" i="32"/>
  <c r="C128" i="32"/>
  <c r="C127" i="32"/>
  <c r="C126" i="32"/>
  <c r="C125" i="32"/>
  <c r="C124" i="32"/>
  <c r="C122" i="32"/>
  <c r="C121" i="32"/>
  <c r="C120" i="32"/>
  <c r="C119" i="32"/>
  <c r="C118" i="32"/>
  <c r="C117" i="32"/>
  <c r="C116" i="32"/>
  <c r="C115" i="32"/>
  <c r="C114" i="32"/>
  <c r="C113" i="32"/>
  <c r="C112" i="32"/>
  <c r="C111" i="32"/>
  <c r="C110" i="32"/>
  <c r="C109" i="32"/>
  <c r="C108" i="32"/>
  <c r="C107" i="32"/>
  <c r="C106" i="32"/>
  <c r="C105" i="32"/>
  <c r="C104" i="32"/>
  <c r="C102" i="32"/>
  <c r="C101" i="32"/>
  <c r="C98" i="32"/>
  <c r="C97" i="32"/>
  <c r="C96" i="32"/>
  <c r="C95" i="32"/>
  <c r="C94" i="32"/>
  <c r="C93" i="32"/>
  <c r="C92" i="32"/>
  <c r="C91" i="32"/>
  <c r="C90" i="32"/>
  <c r="C89" i="32"/>
  <c r="C88" i="32"/>
  <c r="C87" i="32"/>
  <c r="C86" i="32"/>
  <c r="C85" i="32"/>
  <c r="P83" i="32"/>
  <c r="C84" i="32" s="1"/>
  <c r="C82" i="32"/>
  <c r="C81" i="32"/>
  <c r="C80" i="32"/>
  <c r="C78" i="32"/>
  <c r="H77" i="32"/>
  <c r="C77" i="32" s="1"/>
  <c r="C76" i="32"/>
  <c r="C75" i="32"/>
  <c r="C74" i="32"/>
  <c r="C73" i="32"/>
  <c r="C72" i="32"/>
  <c r="C70" i="32"/>
  <c r="C69" i="32"/>
  <c r="C67" i="32"/>
  <c r="C66" i="32"/>
  <c r="C65" i="32"/>
  <c r="H64" i="32"/>
  <c r="H71" i="32" s="1"/>
  <c r="C71" i="32" s="1"/>
  <c r="C63" i="32"/>
  <c r="C62" i="32"/>
  <c r="C61" i="32"/>
  <c r="C60" i="32"/>
  <c r="C59" i="32"/>
  <c r="C58" i="32"/>
  <c r="C57" i="32"/>
  <c r="L56" i="32"/>
  <c r="C56" i="32" s="1"/>
  <c r="C55" i="32"/>
  <c r="C54" i="32"/>
  <c r="C53" i="32"/>
  <c r="C52" i="32"/>
  <c r="C51" i="32"/>
  <c r="C50" i="32"/>
  <c r="C49" i="32"/>
  <c r="C48" i="32"/>
  <c r="C47" i="32"/>
  <c r="C46" i="32"/>
  <c r="C45" i="32"/>
  <c r="L44" i="32"/>
  <c r="C44" i="32" s="1"/>
  <c r="U43" i="32"/>
  <c r="C43" i="32" s="1"/>
  <c r="C42" i="32"/>
  <c r="C41" i="32"/>
  <c r="C40" i="32"/>
  <c r="C39" i="32"/>
  <c r="C38" i="32"/>
  <c r="C37" i="32"/>
  <c r="C36" i="32"/>
  <c r="C35" i="32"/>
  <c r="C34" i="32"/>
  <c r="C33" i="32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3" i="32"/>
  <c r="C12" i="32"/>
  <c r="C11" i="32"/>
  <c r="C10" i="32"/>
  <c r="C9" i="32"/>
  <c r="C8" i="32"/>
  <c r="C7" i="32"/>
  <c r="A7" i="32"/>
  <c r="B7" i="32" s="1"/>
  <c r="AA72" i="31"/>
  <c r="P103" i="31"/>
  <c r="P100" i="31"/>
  <c r="P99" i="31"/>
  <c r="P96" i="31"/>
  <c r="P84" i="31"/>
  <c r="P83" i="31"/>
  <c r="A191" i="33" l="1"/>
  <c r="B187" i="33"/>
  <c r="C83" i="32"/>
  <c r="C64" i="32"/>
  <c r="A11" i="32"/>
  <c r="A15" i="32" s="1"/>
  <c r="A19" i="32" s="1"/>
  <c r="C99" i="32"/>
  <c r="B191" i="33" l="1"/>
  <c r="A195" i="33"/>
  <c r="B11" i="32"/>
  <c r="B15" i="32"/>
  <c r="C100" i="32"/>
  <c r="C103" i="32"/>
  <c r="A23" i="32"/>
  <c r="B19" i="32"/>
  <c r="A199" i="33" l="1"/>
  <c r="B195" i="33"/>
  <c r="B23" i="32"/>
  <c r="A27" i="32"/>
  <c r="C6" i="32"/>
  <c r="B199" i="33" l="1"/>
  <c r="A203" i="33"/>
  <c r="A31" i="32"/>
  <c r="B27" i="32"/>
  <c r="A207" i="33" l="1"/>
  <c r="B203" i="33"/>
  <c r="B31" i="32"/>
  <c r="A35" i="32"/>
  <c r="B207" i="33" l="1"/>
  <c r="A211" i="33"/>
  <c r="A39" i="32"/>
  <c r="B35" i="32"/>
  <c r="A215" i="33" l="1"/>
  <c r="B211" i="33"/>
  <c r="A43" i="32"/>
  <c r="B39" i="32"/>
  <c r="B215" i="33" l="1"/>
  <c r="A219" i="33"/>
  <c r="A47" i="32"/>
  <c r="B43" i="32"/>
  <c r="A223" i="33" l="1"/>
  <c r="B219" i="33"/>
  <c r="A51" i="32"/>
  <c r="B47" i="32"/>
  <c r="B223" i="33" l="1"/>
  <c r="A227" i="33"/>
  <c r="B51" i="32"/>
  <c r="A55" i="32"/>
  <c r="A231" i="33" l="1"/>
  <c r="B227" i="33"/>
  <c r="B55" i="32"/>
  <c r="A59" i="32"/>
  <c r="B231" i="33" l="1"/>
  <c r="A235" i="33"/>
  <c r="A63" i="32"/>
  <c r="B59" i="32"/>
  <c r="A239" i="33" l="1"/>
  <c r="B235" i="33"/>
  <c r="A67" i="32"/>
  <c r="B63" i="32"/>
  <c r="B239" i="33" l="1"/>
  <c r="A243" i="33"/>
  <c r="B67" i="32"/>
  <c r="A71" i="32"/>
  <c r="A247" i="33" l="1"/>
  <c r="B243" i="33"/>
  <c r="B71" i="32"/>
  <c r="A75" i="32"/>
  <c r="B247" i="33" l="1"/>
  <c r="A251" i="33"/>
  <c r="B75" i="32"/>
  <c r="A79" i="32"/>
  <c r="A255" i="33" l="1"/>
  <c r="B251" i="33"/>
  <c r="A83" i="32"/>
  <c r="B79" i="32"/>
  <c r="B255" i="33" l="1"/>
  <c r="A259" i="33"/>
  <c r="B83" i="32"/>
  <c r="A87" i="32"/>
  <c r="A263" i="33" l="1"/>
  <c r="B259" i="33"/>
  <c r="B87" i="32"/>
  <c r="A91" i="32"/>
  <c r="B263" i="33" l="1"/>
  <c r="A267" i="33"/>
  <c r="A95" i="32"/>
  <c r="B91" i="32"/>
  <c r="B267" i="33" l="1"/>
  <c r="A271" i="33"/>
  <c r="B95" i="32"/>
  <c r="A99" i="32"/>
  <c r="A275" i="33" l="1"/>
  <c r="B271" i="33"/>
  <c r="B99" i="32"/>
  <c r="A103" i="32"/>
  <c r="B275" i="33" l="1"/>
  <c r="A279" i="33"/>
  <c r="B103" i="32"/>
  <c r="A107" i="32"/>
  <c r="A283" i="33" l="1"/>
  <c r="B279" i="33"/>
  <c r="B107" i="32"/>
  <c r="A111" i="32"/>
  <c r="A287" i="33" l="1"/>
  <c r="B283" i="33"/>
  <c r="A115" i="32"/>
  <c r="B111" i="32"/>
  <c r="A291" i="33" l="1"/>
  <c r="B287" i="33"/>
  <c r="A119" i="32"/>
  <c r="B115" i="32"/>
  <c r="B291" i="33" l="1"/>
  <c r="A295" i="33"/>
  <c r="B119" i="32"/>
  <c r="A123" i="32"/>
  <c r="A299" i="33" l="1"/>
  <c r="B295" i="33"/>
  <c r="B123" i="32"/>
  <c r="A127" i="32"/>
  <c r="B299" i="33" l="1"/>
  <c r="A303" i="33"/>
  <c r="B127" i="32"/>
  <c r="A131" i="32"/>
  <c r="B303" i="33" l="1"/>
  <c r="A307" i="33"/>
  <c r="B131" i="32"/>
  <c r="A135" i="32"/>
  <c r="A311" i="33" l="1"/>
  <c r="B307" i="33"/>
  <c r="B135" i="32"/>
  <c r="A139" i="32"/>
  <c r="A315" i="33" l="1"/>
  <c r="B311" i="33"/>
  <c r="B139" i="32"/>
  <c r="A143" i="32"/>
  <c r="B315" i="33" l="1"/>
  <c r="A319" i="33"/>
  <c r="B143" i="32"/>
  <c r="A147" i="32"/>
  <c r="A323" i="33" l="1"/>
  <c r="B319" i="33"/>
  <c r="A151" i="32"/>
  <c r="B147" i="32"/>
  <c r="B323" i="33" l="1"/>
  <c r="A327" i="33"/>
  <c r="A155" i="32"/>
  <c r="B151" i="32"/>
  <c r="A331" i="33" l="1"/>
  <c r="B327" i="33"/>
  <c r="B155" i="32"/>
  <c r="A159" i="32"/>
  <c r="A335" i="33" l="1"/>
  <c r="B331" i="33"/>
  <c r="B159" i="32"/>
  <c r="A163" i="32"/>
  <c r="U59" i="31"/>
  <c r="A339" i="33" l="1"/>
  <c r="B335" i="33"/>
  <c r="B163" i="32"/>
  <c r="A167" i="32"/>
  <c r="L56" i="31"/>
  <c r="H88" i="31"/>
  <c r="H77" i="31"/>
  <c r="H76" i="31"/>
  <c r="H71" i="31"/>
  <c r="H64" i="31"/>
  <c r="B339" i="33" l="1"/>
  <c r="A343" i="33"/>
  <c r="A171" i="32"/>
  <c r="B167" i="32"/>
  <c r="P57" i="29"/>
  <c r="C162" i="31"/>
  <c r="C161" i="31"/>
  <c r="C160" i="31"/>
  <c r="C159" i="31"/>
  <c r="C158" i="31"/>
  <c r="C157" i="31"/>
  <c r="C156" i="31"/>
  <c r="C155" i="31"/>
  <c r="C154" i="31"/>
  <c r="C153" i="31"/>
  <c r="C152" i="31"/>
  <c r="C151" i="31"/>
  <c r="C150" i="31"/>
  <c r="C149" i="31"/>
  <c r="C148" i="31"/>
  <c r="C147" i="31"/>
  <c r="C146" i="31"/>
  <c r="C145" i="31"/>
  <c r="C144" i="31"/>
  <c r="C143" i="31"/>
  <c r="C142" i="31"/>
  <c r="C141" i="31"/>
  <c r="C140" i="31"/>
  <c r="C139" i="31"/>
  <c r="C138" i="31"/>
  <c r="C137" i="31"/>
  <c r="C136" i="31"/>
  <c r="C135" i="31"/>
  <c r="C134" i="31"/>
  <c r="C133" i="31"/>
  <c r="C132" i="31"/>
  <c r="C131" i="31"/>
  <c r="C130" i="31"/>
  <c r="C129" i="31"/>
  <c r="C128" i="31"/>
  <c r="C127" i="31"/>
  <c r="C126" i="31"/>
  <c r="C125" i="31"/>
  <c r="C124" i="31"/>
  <c r="C123" i="31"/>
  <c r="C122" i="31"/>
  <c r="C121" i="31"/>
  <c r="C120" i="31"/>
  <c r="C119" i="31"/>
  <c r="C118" i="31"/>
  <c r="C117" i="31"/>
  <c r="C116" i="31"/>
  <c r="C115" i="31"/>
  <c r="C114" i="31"/>
  <c r="C113" i="31"/>
  <c r="C112" i="31"/>
  <c r="C111" i="31"/>
  <c r="C110" i="31"/>
  <c r="C109" i="31"/>
  <c r="C108" i="31"/>
  <c r="C107" i="31"/>
  <c r="C106" i="31"/>
  <c r="C105" i="31"/>
  <c r="C104" i="31"/>
  <c r="C103" i="31"/>
  <c r="C102" i="31"/>
  <c r="C101" i="31"/>
  <c r="C100" i="31"/>
  <c r="C99" i="31"/>
  <c r="C98" i="31"/>
  <c r="C97" i="31"/>
  <c r="C96" i="31"/>
  <c r="C95" i="31"/>
  <c r="C94" i="31"/>
  <c r="C93" i="31"/>
  <c r="C92" i="31"/>
  <c r="C91" i="31"/>
  <c r="C90" i="31"/>
  <c r="C89" i="31"/>
  <c r="C88" i="31"/>
  <c r="C87" i="31"/>
  <c r="C86" i="31"/>
  <c r="C85" i="31"/>
  <c r="C84" i="31"/>
  <c r="C83" i="31"/>
  <c r="C82" i="31"/>
  <c r="C81" i="31"/>
  <c r="C80" i="31"/>
  <c r="C79" i="31"/>
  <c r="C78" i="31"/>
  <c r="C77" i="31"/>
  <c r="C76" i="31"/>
  <c r="C75" i="31"/>
  <c r="C74" i="31"/>
  <c r="C73" i="31"/>
  <c r="C72" i="31"/>
  <c r="C71" i="31"/>
  <c r="C70" i="31"/>
  <c r="C69" i="31"/>
  <c r="C68" i="31"/>
  <c r="C67" i="31"/>
  <c r="C66" i="31"/>
  <c r="C65" i="31"/>
  <c r="C64" i="31"/>
  <c r="C63" i="31"/>
  <c r="C62" i="31"/>
  <c r="C61" i="31"/>
  <c r="C60" i="31"/>
  <c r="C59" i="31"/>
  <c r="C58" i="31"/>
  <c r="C57" i="31"/>
  <c r="C56" i="31"/>
  <c r="C55" i="31"/>
  <c r="C54" i="31"/>
  <c r="C53" i="31"/>
  <c r="C52" i="31"/>
  <c r="C51" i="31"/>
  <c r="C50" i="31"/>
  <c r="C49" i="31"/>
  <c r="C48" i="31"/>
  <c r="C47" i="31"/>
  <c r="C46" i="31"/>
  <c r="C45" i="31"/>
  <c r="L44" i="31"/>
  <c r="C44" i="31"/>
  <c r="U43" i="31"/>
  <c r="C43" i="31" s="1"/>
  <c r="C42" i="31"/>
  <c r="C41" i="31"/>
  <c r="C40" i="31"/>
  <c r="C39" i="31"/>
  <c r="C38" i="31"/>
  <c r="C37" i="31"/>
  <c r="C36" i="31"/>
  <c r="C35" i="31"/>
  <c r="C34" i="31"/>
  <c r="C33" i="31"/>
  <c r="C32" i="31"/>
  <c r="C31" i="31"/>
  <c r="C30" i="31"/>
  <c r="C29" i="31"/>
  <c r="C28" i="31"/>
  <c r="C27" i="31"/>
  <c r="C26" i="31"/>
  <c r="C25" i="31"/>
  <c r="C24" i="31"/>
  <c r="C23" i="31"/>
  <c r="C22" i="31"/>
  <c r="C21" i="31"/>
  <c r="C20" i="31"/>
  <c r="C19" i="31"/>
  <c r="C18" i="31"/>
  <c r="C17" i="31"/>
  <c r="C16" i="31"/>
  <c r="C15" i="31"/>
  <c r="C14" i="31"/>
  <c r="C13" i="31"/>
  <c r="C12" i="31"/>
  <c r="C11" i="31"/>
  <c r="C10" i="31"/>
  <c r="C9" i="31"/>
  <c r="C8" i="31"/>
  <c r="C7" i="31"/>
  <c r="A7" i="31"/>
  <c r="B7" i="31" s="1"/>
  <c r="A347" i="33" l="1"/>
  <c r="B343" i="33"/>
  <c r="A175" i="32"/>
  <c r="B171" i="32"/>
  <c r="C6" i="31"/>
  <c r="A11" i="31"/>
  <c r="C71" i="29"/>
  <c r="C135" i="29"/>
  <c r="C136" i="29"/>
  <c r="C137" i="29"/>
  <c r="C138" i="29"/>
  <c r="C139" i="29"/>
  <c r="C140" i="29"/>
  <c r="C141" i="29"/>
  <c r="C142" i="29"/>
  <c r="C143" i="29"/>
  <c r="C144" i="29"/>
  <c r="C145" i="29"/>
  <c r="C146" i="29"/>
  <c r="C147" i="29"/>
  <c r="C148" i="29"/>
  <c r="C149" i="29"/>
  <c r="C150" i="29"/>
  <c r="C151" i="29"/>
  <c r="C152" i="29"/>
  <c r="C153" i="29"/>
  <c r="C154" i="29"/>
  <c r="C155" i="29"/>
  <c r="C156" i="29"/>
  <c r="C157" i="29"/>
  <c r="C158" i="29"/>
  <c r="C159" i="29"/>
  <c r="C160" i="29"/>
  <c r="C161" i="29"/>
  <c r="C162" i="29"/>
  <c r="U43" i="29"/>
  <c r="L44" i="29"/>
  <c r="A351" i="33" l="1"/>
  <c r="B347" i="33"/>
  <c r="B175" i="32"/>
  <c r="A179" i="32"/>
  <c r="A15" i="31"/>
  <c r="B11" i="31"/>
  <c r="A7" i="29"/>
  <c r="A355" i="33" l="1"/>
  <c r="B351" i="33"/>
  <c r="B179" i="32"/>
  <c r="A183" i="32"/>
  <c r="B15" i="31"/>
  <c r="A19" i="31"/>
  <c r="C133" i="29"/>
  <c r="C123" i="29"/>
  <c r="C119" i="29"/>
  <c r="C118" i="29"/>
  <c r="C117" i="29"/>
  <c r="C116" i="29"/>
  <c r="C115" i="29"/>
  <c r="C114" i="29"/>
  <c r="C113" i="29"/>
  <c r="C112" i="29"/>
  <c r="C111" i="29"/>
  <c r="C110" i="29"/>
  <c r="C103" i="29"/>
  <c r="C93" i="29"/>
  <c r="C83" i="29"/>
  <c r="C73" i="29"/>
  <c r="C63" i="29"/>
  <c r="C53" i="29"/>
  <c r="C43" i="29"/>
  <c r="C33" i="29"/>
  <c r="C23" i="29"/>
  <c r="C19" i="29"/>
  <c r="C18" i="29"/>
  <c r="C17" i="29"/>
  <c r="C16" i="29"/>
  <c r="C15" i="29"/>
  <c r="C14" i="29"/>
  <c r="C13" i="29"/>
  <c r="C12" i="29"/>
  <c r="C11" i="29"/>
  <c r="C10" i="29"/>
  <c r="A359" i="33" l="1"/>
  <c r="B355" i="33"/>
  <c r="A187" i="32"/>
  <c r="B183" i="32"/>
  <c r="A23" i="31"/>
  <c r="B19" i="31"/>
  <c r="BM12" i="15"/>
  <c r="BM11" i="15"/>
  <c r="BM10" i="15"/>
  <c r="BM9" i="15"/>
  <c r="BM8" i="15"/>
  <c r="BM7" i="15"/>
  <c r="BM6" i="15"/>
  <c r="BM4" i="15" s="1"/>
  <c r="BL12" i="15"/>
  <c r="BL11" i="15"/>
  <c r="BL10" i="15"/>
  <c r="BL9" i="15"/>
  <c r="BL8" i="15"/>
  <c r="BL7" i="15"/>
  <c r="BL6" i="15"/>
  <c r="BL4" i="15" s="1"/>
  <c r="BK12" i="15"/>
  <c r="BK11" i="15"/>
  <c r="BK10" i="15"/>
  <c r="BK9" i="15"/>
  <c r="BK8" i="15"/>
  <c r="BK7" i="15"/>
  <c r="BK6" i="15"/>
  <c r="BJ12" i="15"/>
  <c r="BJ11" i="15"/>
  <c r="BJ10" i="15"/>
  <c r="BJ9" i="15"/>
  <c r="BJ8" i="15"/>
  <c r="BJ7" i="15"/>
  <c r="BJ6" i="15"/>
  <c r="BI12" i="15"/>
  <c r="BI11" i="15"/>
  <c r="BI10" i="15"/>
  <c r="BI9" i="15"/>
  <c r="BI8" i="15"/>
  <c r="BI7" i="15"/>
  <c r="BI6" i="15"/>
  <c r="BH12" i="15"/>
  <c r="BH11" i="15"/>
  <c r="BH10" i="15"/>
  <c r="BH9" i="15"/>
  <c r="BH8" i="15"/>
  <c r="BH7" i="15"/>
  <c r="BH6" i="15"/>
  <c r="BG12" i="15"/>
  <c r="BG11" i="15"/>
  <c r="BG10" i="15"/>
  <c r="BG9" i="15"/>
  <c r="BG8" i="15"/>
  <c r="BG7" i="15"/>
  <c r="BG6" i="15"/>
  <c r="A363" i="33" l="1"/>
  <c r="B359" i="33"/>
  <c r="B187" i="32"/>
  <c r="A191" i="32"/>
  <c r="B23" i="31"/>
  <c r="A27" i="31"/>
  <c r="BI4" i="15"/>
  <c r="BJ4" i="15"/>
  <c r="BH4" i="15"/>
  <c r="BK4" i="15"/>
  <c r="BG4" i="15"/>
  <c r="BD22" i="30"/>
  <c r="C32" i="30"/>
  <c r="C31" i="30"/>
  <c r="W26" i="30"/>
  <c r="O22" i="30"/>
  <c r="BF12" i="30"/>
  <c r="BE12" i="30"/>
  <c r="BD12" i="30"/>
  <c r="BC12" i="30"/>
  <c r="BB12" i="30"/>
  <c r="BA12" i="30"/>
  <c r="AZ12" i="30"/>
  <c r="AY12" i="30"/>
  <c r="AX12" i="30"/>
  <c r="AW12" i="30"/>
  <c r="AV12" i="30"/>
  <c r="AU12" i="30"/>
  <c r="AT12" i="30"/>
  <c r="AS12" i="30"/>
  <c r="AR12" i="30"/>
  <c r="AQ12" i="30"/>
  <c r="AP12" i="30"/>
  <c r="AO12" i="30"/>
  <c r="AN12" i="30"/>
  <c r="AM12" i="30"/>
  <c r="AL12" i="30"/>
  <c r="AK12" i="30"/>
  <c r="AJ12" i="30"/>
  <c r="AI12" i="30"/>
  <c r="AH12" i="30"/>
  <c r="AG12" i="30"/>
  <c r="AF12" i="30"/>
  <c r="AE12" i="30"/>
  <c r="AD12" i="30"/>
  <c r="AC12" i="30"/>
  <c r="AB12" i="30"/>
  <c r="AA12" i="30"/>
  <c r="Z12" i="30"/>
  <c r="Y12" i="30"/>
  <c r="X12" i="30"/>
  <c r="W12" i="30"/>
  <c r="V12" i="30"/>
  <c r="U12" i="30"/>
  <c r="T12" i="30"/>
  <c r="S12" i="30"/>
  <c r="R12" i="30"/>
  <c r="Q12" i="30"/>
  <c r="P12" i="30"/>
  <c r="O12" i="30"/>
  <c r="N12" i="30"/>
  <c r="M12" i="30"/>
  <c r="L12" i="30"/>
  <c r="K12" i="30"/>
  <c r="J12" i="30"/>
  <c r="I12" i="30"/>
  <c r="H12" i="30"/>
  <c r="G12" i="30"/>
  <c r="F12" i="30"/>
  <c r="E12" i="30"/>
  <c r="D12" i="30"/>
  <c r="BF11" i="30"/>
  <c r="BE11" i="30"/>
  <c r="BD11" i="30"/>
  <c r="BC11" i="30"/>
  <c r="BB11" i="30"/>
  <c r="BA11" i="30"/>
  <c r="AZ11" i="30"/>
  <c r="AY11" i="30"/>
  <c r="AX11" i="30"/>
  <c r="AW11" i="30"/>
  <c r="AV11" i="30"/>
  <c r="AU11" i="30"/>
  <c r="AT11" i="30"/>
  <c r="AS11" i="30"/>
  <c r="AR11" i="30"/>
  <c r="AQ11" i="30"/>
  <c r="AP11" i="30"/>
  <c r="AO11" i="30"/>
  <c r="AN11" i="30"/>
  <c r="AM11" i="30"/>
  <c r="AL11" i="30"/>
  <c r="AK11" i="30"/>
  <c r="AJ11" i="30"/>
  <c r="AI11" i="30"/>
  <c r="AH11" i="30"/>
  <c r="AG11" i="30"/>
  <c r="AF11" i="30"/>
  <c r="AE11" i="30"/>
  <c r="AD11" i="30"/>
  <c r="AC11" i="30"/>
  <c r="AB11" i="30"/>
  <c r="AA11" i="30"/>
  <c r="Z11" i="30"/>
  <c r="Y11" i="30"/>
  <c r="X11" i="30"/>
  <c r="W11" i="30"/>
  <c r="V11" i="30"/>
  <c r="U11" i="30"/>
  <c r="T11" i="30"/>
  <c r="S11" i="30"/>
  <c r="R11" i="30"/>
  <c r="Q11" i="30"/>
  <c r="P11" i="30"/>
  <c r="O11" i="30"/>
  <c r="N11" i="30"/>
  <c r="M11" i="30"/>
  <c r="L11" i="30"/>
  <c r="K11" i="30"/>
  <c r="J11" i="30"/>
  <c r="I11" i="30"/>
  <c r="H11" i="30"/>
  <c r="G11" i="30"/>
  <c r="F11" i="30"/>
  <c r="E11" i="30"/>
  <c r="D11" i="30"/>
  <c r="BF10" i="30"/>
  <c r="BE10" i="30"/>
  <c r="BD10" i="30"/>
  <c r="BC10" i="30"/>
  <c r="BB10" i="30"/>
  <c r="BA10" i="30"/>
  <c r="AZ10" i="30"/>
  <c r="AY10" i="30"/>
  <c r="AX10" i="30"/>
  <c r="AW10" i="30"/>
  <c r="AV10" i="30"/>
  <c r="AU10" i="30"/>
  <c r="AT10" i="30"/>
  <c r="AS10" i="30"/>
  <c r="AR10" i="30"/>
  <c r="AQ10" i="30"/>
  <c r="AP10" i="30"/>
  <c r="AO10" i="30"/>
  <c r="AN10" i="30"/>
  <c r="AM10" i="30"/>
  <c r="AL10" i="30"/>
  <c r="AK10" i="30"/>
  <c r="AJ10" i="30"/>
  <c r="AI10" i="30"/>
  <c r="AH10" i="30"/>
  <c r="AG10" i="30"/>
  <c r="AF10" i="30"/>
  <c r="AE10" i="30"/>
  <c r="AD10" i="30"/>
  <c r="AC10" i="30"/>
  <c r="AB10" i="30"/>
  <c r="AA10" i="30"/>
  <c r="Z10" i="30"/>
  <c r="Y10" i="30"/>
  <c r="X10" i="30"/>
  <c r="W10" i="30"/>
  <c r="V10" i="30"/>
  <c r="U10" i="30"/>
  <c r="T10" i="30"/>
  <c r="S10" i="30"/>
  <c r="R10" i="30"/>
  <c r="Q10" i="30"/>
  <c r="P10" i="30"/>
  <c r="O10" i="30"/>
  <c r="N10" i="30"/>
  <c r="M10" i="30"/>
  <c r="L10" i="30"/>
  <c r="K10" i="30"/>
  <c r="J10" i="30"/>
  <c r="I10" i="30"/>
  <c r="H10" i="30"/>
  <c r="G10" i="30"/>
  <c r="F10" i="30"/>
  <c r="E10" i="30"/>
  <c r="D10" i="30"/>
  <c r="BF9" i="30"/>
  <c r="BE9" i="30"/>
  <c r="BD9" i="30"/>
  <c r="BC9" i="30"/>
  <c r="BB9" i="30"/>
  <c r="BA9" i="30"/>
  <c r="AZ9" i="30"/>
  <c r="AY9" i="30"/>
  <c r="AX9" i="30"/>
  <c r="AW9" i="30"/>
  <c r="AV9" i="30"/>
  <c r="AU9" i="30"/>
  <c r="AT9" i="30"/>
  <c r="AS9" i="30"/>
  <c r="AR9" i="30"/>
  <c r="AQ9" i="30"/>
  <c r="AP9" i="30"/>
  <c r="AO9" i="30"/>
  <c r="AN9" i="30"/>
  <c r="AM9" i="30"/>
  <c r="AL9" i="30"/>
  <c r="AK9" i="30"/>
  <c r="AJ9" i="30"/>
  <c r="AI9" i="30"/>
  <c r="AH9" i="30"/>
  <c r="AG9" i="30"/>
  <c r="AF9" i="30"/>
  <c r="AE9" i="30"/>
  <c r="AD9" i="30"/>
  <c r="AC9" i="30"/>
  <c r="AB9" i="30"/>
  <c r="AA9" i="30"/>
  <c r="Z9" i="30"/>
  <c r="Y9" i="30"/>
  <c r="X9" i="30"/>
  <c r="W9" i="30"/>
  <c r="V9" i="30"/>
  <c r="U9" i="30"/>
  <c r="T9" i="30"/>
  <c r="S9" i="30"/>
  <c r="R9" i="30"/>
  <c r="Q9" i="30"/>
  <c r="P9" i="30"/>
  <c r="O9" i="30"/>
  <c r="N9" i="30"/>
  <c r="M9" i="30"/>
  <c r="L9" i="30"/>
  <c r="K9" i="30"/>
  <c r="J9" i="30"/>
  <c r="I9" i="30"/>
  <c r="H9" i="30"/>
  <c r="G9" i="30"/>
  <c r="F9" i="30"/>
  <c r="E9" i="30"/>
  <c r="D9" i="30"/>
  <c r="BF8" i="30"/>
  <c r="BE8" i="30"/>
  <c r="BD8" i="30"/>
  <c r="BC8" i="30"/>
  <c r="BB8" i="30"/>
  <c r="BA8" i="30"/>
  <c r="AZ8" i="30"/>
  <c r="AY8" i="30"/>
  <c r="AX8" i="30"/>
  <c r="AW8" i="30"/>
  <c r="AV8" i="30"/>
  <c r="AU8" i="30"/>
  <c r="AT8" i="30"/>
  <c r="AS8" i="30"/>
  <c r="AR8" i="30"/>
  <c r="AQ8" i="30"/>
  <c r="AP8" i="30"/>
  <c r="AO8" i="30"/>
  <c r="AN8" i="30"/>
  <c r="AM8" i="30"/>
  <c r="AL8" i="30"/>
  <c r="AK8" i="30"/>
  <c r="AJ8" i="30"/>
  <c r="AI8" i="30"/>
  <c r="AH8" i="30"/>
  <c r="AG8" i="30"/>
  <c r="AF8" i="30"/>
  <c r="AE8" i="30"/>
  <c r="AD8" i="30"/>
  <c r="AC8" i="30"/>
  <c r="AB8" i="30"/>
  <c r="AA8" i="30"/>
  <c r="Z8" i="30"/>
  <c r="Y8" i="30"/>
  <c r="X8" i="30"/>
  <c r="W8" i="30"/>
  <c r="V8" i="30"/>
  <c r="U8" i="30"/>
  <c r="T8" i="30"/>
  <c r="S8" i="30"/>
  <c r="R8" i="30"/>
  <c r="Q8" i="30"/>
  <c r="P8" i="30"/>
  <c r="O8" i="30"/>
  <c r="N8" i="30"/>
  <c r="M8" i="30"/>
  <c r="L8" i="30"/>
  <c r="K8" i="30"/>
  <c r="J8" i="30"/>
  <c r="I8" i="30"/>
  <c r="H8" i="30"/>
  <c r="G8" i="30"/>
  <c r="F8" i="30"/>
  <c r="E8" i="30"/>
  <c r="D8" i="30"/>
  <c r="C8" i="30" s="1"/>
  <c r="BF7" i="30"/>
  <c r="BE7" i="30"/>
  <c r="BD7" i="30"/>
  <c r="BC7" i="30"/>
  <c r="BB7" i="30"/>
  <c r="BA7" i="30"/>
  <c r="AZ7" i="30"/>
  <c r="AY7" i="30"/>
  <c r="AX7" i="30"/>
  <c r="AW7" i="30"/>
  <c r="AV7" i="30"/>
  <c r="AU7" i="30"/>
  <c r="AT7" i="30"/>
  <c r="AS7" i="30"/>
  <c r="AR7" i="30"/>
  <c r="AQ7" i="30"/>
  <c r="AP7" i="30"/>
  <c r="AO7" i="30"/>
  <c r="AN7" i="30"/>
  <c r="AM7" i="30"/>
  <c r="AL7" i="30"/>
  <c r="AK7" i="30"/>
  <c r="AJ7" i="30"/>
  <c r="AI7" i="30"/>
  <c r="AH7" i="30"/>
  <c r="AG7" i="30"/>
  <c r="AF7" i="30"/>
  <c r="AE7" i="30"/>
  <c r="AD7" i="30"/>
  <c r="AC7" i="30"/>
  <c r="AB7" i="30"/>
  <c r="AA7" i="30"/>
  <c r="Z7" i="30"/>
  <c r="Y7" i="30"/>
  <c r="X7" i="30"/>
  <c r="W7" i="30"/>
  <c r="V7" i="30"/>
  <c r="U7" i="30"/>
  <c r="T7" i="30"/>
  <c r="S7" i="30"/>
  <c r="R7" i="30"/>
  <c r="Q7" i="30"/>
  <c r="P7" i="30"/>
  <c r="O7" i="30"/>
  <c r="N7" i="30"/>
  <c r="M7" i="30"/>
  <c r="L7" i="30"/>
  <c r="K7" i="30"/>
  <c r="J7" i="30"/>
  <c r="I7" i="30"/>
  <c r="H7" i="30"/>
  <c r="G7" i="30"/>
  <c r="F7" i="30"/>
  <c r="E7" i="30"/>
  <c r="D7" i="30"/>
  <c r="BF6" i="30"/>
  <c r="BE6" i="30"/>
  <c r="BD6" i="30"/>
  <c r="BC6" i="30"/>
  <c r="BB6" i="30"/>
  <c r="BA6" i="30"/>
  <c r="BA4" i="30" s="1"/>
  <c r="AZ6" i="30"/>
  <c r="AY6" i="30"/>
  <c r="AX6" i="30"/>
  <c r="AX4" i="30" s="1"/>
  <c r="AW6" i="30"/>
  <c r="AW4" i="30" s="1"/>
  <c r="AV6" i="30"/>
  <c r="AV4" i="30" s="1"/>
  <c r="AU6" i="30"/>
  <c r="AT6" i="30"/>
  <c r="AS6" i="30"/>
  <c r="AR6" i="30"/>
  <c r="AR4" i="30" s="1"/>
  <c r="AQ6" i="30"/>
  <c r="AP6" i="30"/>
  <c r="AO6" i="30"/>
  <c r="AN6" i="30"/>
  <c r="AN4" i="30" s="1"/>
  <c r="AM6" i="30"/>
  <c r="AL6" i="30"/>
  <c r="AK6" i="30"/>
  <c r="AJ6" i="30"/>
  <c r="AJ4" i="30" s="1"/>
  <c r="AI6" i="30"/>
  <c r="AH6" i="30"/>
  <c r="AG6" i="30"/>
  <c r="AF6" i="30"/>
  <c r="AF4" i="30" s="1"/>
  <c r="AE6" i="30"/>
  <c r="AD6" i="30"/>
  <c r="AC6" i="30"/>
  <c r="AB6" i="30"/>
  <c r="AB4" i="30" s="1"/>
  <c r="AA6" i="30"/>
  <c r="Z6" i="30"/>
  <c r="Y6" i="30"/>
  <c r="X6" i="30"/>
  <c r="X4" i="30" s="1"/>
  <c r="W6" i="30"/>
  <c r="V6" i="30"/>
  <c r="U6" i="30"/>
  <c r="T6" i="30"/>
  <c r="T4" i="30" s="1"/>
  <c r="S6" i="30"/>
  <c r="R6" i="30"/>
  <c r="Q6" i="30"/>
  <c r="P6" i="30"/>
  <c r="P4" i="30" s="1"/>
  <c r="O6" i="30"/>
  <c r="N6" i="30"/>
  <c r="N4" i="30" s="1"/>
  <c r="M6" i="30"/>
  <c r="L6" i="30"/>
  <c r="L4" i="30" s="1"/>
  <c r="K6" i="30"/>
  <c r="J6" i="30"/>
  <c r="I6" i="30"/>
  <c r="H6" i="30"/>
  <c r="H4" i="30" s="1"/>
  <c r="G6" i="30"/>
  <c r="F6" i="30"/>
  <c r="F4" i="30" s="1"/>
  <c r="E6" i="30"/>
  <c r="D6" i="30"/>
  <c r="C6" i="30" s="1"/>
  <c r="C5" i="30"/>
  <c r="BE4" i="30"/>
  <c r="AY4" i="30"/>
  <c r="AU4" i="30"/>
  <c r="AT4" i="30"/>
  <c r="AS4" i="30"/>
  <c r="AQ4" i="30"/>
  <c r="AP4" i="30"/>
  <c r="AO4" i="30"/>
  <c r="AM4" i="30"/>
  <c r="AL4" i="30"/>
  <c r="AK4" i="30"/>
  <c r="AI4" i="30"/>
  <c r="AH4" i="30"/>
  <c r="AG4" i="30"/>
  <c r="AE4" i="30"/>
  <c r="AD4" i="30"/>
  <c r="AC4" i="30"/>
  <c r="AA4" i="30"/>
  <c r="Z4" i="30"/>
  <c r="Y4" i="30"/>
  <c r="W4" i="30"/>
  <c r="V4" i="30"/>
  <c r="U4" i="30"/>
  <c r="S4" i="30"/>
  <c r="R4" i="30"/>
  <c r="Q4" i="30"/>
  <c r="O4" i="30"/>
  <c r="M4" i="30"/>
  <c r="K4" i="30"/>
  <c r="J4" i="30"/>
  <c r="I4" i="30"/>
  <c r="G4" i="30"/>
  <c r="E4" i="30"/>
  <c r="D2" i="30"/>
  <c r="E2" i="30" s="1"/>
  <c r="B363" i="33" l="1"/>
  <c r="A367" i="33"/>
  <c r="A195" i="32"/>
  <c r="B191" i="32"/>
  <c r="A31" i="31"/>
  <c r="B27" i="31"/>
  <c r="C7" i="30"/>
  <c r="C10" i="30"/>
  <c r="C11" i="30"/>
  <c r="BF4" i="30"/>
  <c r="C9" i="30"/>
  <c r="C12" i="30"/>
  <c r="BB4" i="30"/>
  <c r="BC4" i="30"/>
  <c r="AZ4" i="30"/>
  <c r="BD4" i="30"/>
  <c r="F2" i="30"/>
  <c r="E3" i="30"/>
  <c r="D3" i="30"/>
  <c r="D4" i="30"/>
  <c r="A4" i="30" s="1"/>
  <c r="A371" i="33" l="1"/>
  <c r="B367" i="33"/>
  <c r="B195" i="32"/>
  <c r="A199" i="32"/>
  <c r="B31" i="31"/>
  <c r="A35" i="31"/>
  <c r="F3" i="30"/>
  <c r="G2" i="30"/>
  <c r="A375" i="33" l="1"/>
  <c r="B371" i="33"/>
  <c r="A203" i="32"/>
  <c r="B199" i="32"/>
  <c r="A39" i="31"/>
  <c r="B35" i="31"/>
  <c r="G3" i="30"/>
  <c r="H2" i="30"/>
  <c r="A379" i="33" l="1"/>
  <c r="B375" i="33"/>
  <c r="B203" i="32"/>
  <c r="A207" i="32"/>
  <c r="B39" i="31"/>
  <c r="A43" i="31"/>
  <c r="I2" i="30"/>
  <c r="H3" i="30"/>
  <c r="B379" i="33" l="1"/>
  <c r="A383" i="33"/>
  <c r="A211" i="32"/>
  <c r="B207" i="32"/>
  <c r="B43" i="31"/>
  <c r="A47" i="31"/>
  <c r="J2" i="30"/>
  <c r="I3" i="30"/>
  <c r="A387" i="33" l="1"/>
  <c r="B383" i="33"/>
  <c r="B211" i="32"/>
  <c r="A215" i="32"/>
  <c r="B47" i="31"/>
  <c r="A51" i="31"/>
  <c r="J3" i="30"/>
  <c r="K2" i="30"/>
  <c r="C134" i="29"/>
  <c r="C132" i="29"/>
  <c r="C131" i="29"/>
  <c r="C130" i="29"/>
  <c r="C129" i="29"/>
  <c r="C128" i="29"/>
  <c r="C127" i="29"/>
  <c r="C126" i="29"/>
  <c r="C125" i="29"/>
  <c r="C124" i="29"/>
  <c r="C122" i="29"/>
  <c r="C121" i="29"/>
  <c r="C120" i="29"/>
  <c r="C109" i="29"/>
  <c r="C108" i="29"/>
  <c r="C107" i="29"/>
  <c r="C106" i="29"/>
  <c r="C105" i="29"/>
  <c r="C104" i="29"/>
  <c r="C102" i="29"/>
  <c r="C101" i="29"/>
  <c r="C100" i="29"/>
  <c r="C99" i="29"/>
  <c r="C98" i="29"/>
  <c r="C97" i="29"/>
  <c r="C96" i="29"/>
  <c r="C95" i="29"/>
  <c r="C94" i="29"/>
  <c r="C92" i="29"/>
  <c r="C91" i="29"/>
  <c r="C90" i="29"/>
  <c r="C89" i="29"/>
  <c r="C88" i="29"/>
  <c r="C87" i="29"/>
  <c r="C86" i="29"/>
  <c r="C85" i="29"/>
  <c r="C84" i="29"/>
  <c r="C82" i="29"/>
  <c r="C81" i="29"/>
  <c r="C80" i="29"/>
  <c r="C79" i="29"/>
  <c r="C78" i="29"/>
  <c r="C77" i="29"/>
  <c r="C76" i="29"/>
  <c r="C75" i="29"/>
  <c r="C74" i="29"/>
  <c r="C72" i="29"/>
  <c r="C70" i="29"/>
  <c r="C69" i="29"/>
  <c r="C68" i="29"/>
  <c r="C67" i="29"/>
  <c r="C66" i="29"/>
  <c r="C65" i="29"/>
  <c r="C64" i="29"/>
  <c r="C62" i="29"/>
  <c r="C61" i="29"/>
  <c r="C60" i="29"/>
  <c r="C59" i="29"/>
  <c r="C58" i="29"/>
  <c r="C57" i="29"/>
  <c r="C56" i="29"/>
  <c r="C55" i="29"/>
  <c r="C54" i="29"/>
  <c r="C52" i="29"/>
  <c r="C51" i="29"/>
  <c r="C50" i="29"/>
  <c r="C49" i="29"/>
  <c r="C48" i="29"/>
  <c r="C47" i="29"/>
  <c r="C46" i="29"/>
  <c r="C45" i="29"/>
  <c r="C44" i="29"/>
  <c r="C42" i="29"/>
  <c r="C41" i="29"/>
  <c r="C40" i="29"/>
  <c r="C39" i="29"/>
  <c r="C38" i="29"/>
  <c r="C37" i="29"/>
  <c r="C36" i="29"/>
  <c r="C35" i="29"/>
  <c r="C34" i="29"/>
  <c r="C32" i="29"/>
  <c r="C31" i="29"/>
  <c r="C30" i="29"/>
  <c r="C29" i="29"/>
  <c r="C28" i="29"/>
  <c r="C27" i="29"/>
  <c r="C26" i="29"/>
  <c r="C25" i="29"/>
  <c r="C24" i="29"/>
  <c r="C22" i="29"/>
  <c r="C21" i="29"/>
  <c r="C20" i="29"/>
  <c r="A391" i="33" l="1"/>
  <c r="B387" i="33"/>
  <c r="A219" i="32"/>
  <c r="B215" i="32"/>
  <c r="B51" i="31"/>
  <c r="A55" i="31"/>
  <c r="K3" i="30"/>
  <c r="L2" i="30"/>
  <c r="D2" i="15"/>
  <c r="E2" i="15" s="1"/>
  <c r="D6" i="15"/>
  <c r="E6" i="15"/>
  <c r="F6" i="15"/>
  <c r="G6" i="15"/>
  <c r="H6" i="15"/>
  <c r="I6" i="15"/>
  <c r="J6" i="15"/>
  <c r="K6" i="15"/>
  <c r="L6" i="15"/>
  <c r="M6" i="15"/>
  <c r="N6" i="15"/>
  <c r="O6" i="15"/>
  <c r="P6" i="15"/>
  <c r="Q6" i="15"/>
  <c r="R6" i="15"/>
  <c r="S6" i="15"/>
  <c r="T6" i="15"/>
  <c r="U6" i="15"/>
  <c r="V6" i="15"/>
  <c r="W6" i="15"/>
  <c r="X6" i="15"/>
  <c r="Y6" i="15"/>
  <c r="Z6" i="15"/>
  <c r="AA6" i="15"/>
  <c r="AB6" i="15"/>
  <c r="AC6" i="15"/>
  <c r="AD6" i="15"/>
  <c r="AE6" i="15"/>
  <c r="AF6" i="15"/>
  <c r="AG6" i="15"/>
  <c r="AH6" i="15"/>
  <c r="D7" i="15"/>
  <c r="E7" i="15"/>
  <c r="F7" i="15"/>
  <c r="G7" i="15"/>
  <c r="H7" i="15"/>
  <c r="I7" i="15"/>
  <c r="J7" i="15"/>
  <c r="K7" i="15"/>
  <c r="L7" i="15"/>
  <c r="M7" i="15"/>
  <c r="N7" i="15"/>
  <c r="O7" i="15"/>
  <c r="P7" i="15"/>
  <c r="Q7" i="15"/>
  <c r="R7" i="15"/>
  <c r="S7" i="15"/>
  <c r="T7" i="15"/>
  <c r="U7" i="15"/>
  <c r="V7" i="15"/>
  <c r="W7" i="15"/>
  <c r="X7" i="15"/>
  <c r="Y7" i="15"/>
  <c r="Z7" i="15"/>
  <c r="AA7" i="15"/>
  <c r="AB7" i="15"/>
  <c r="AC7" i="15"/>
  <c r="AD7" i="15"/>
  <c r="AE7" i="15"/>
  <c r="AF7" i="15"/>
  <c r="AG7" i="15"/>
  <c r="AH7" i="15"/>
  <c r="D8" i="15"/>
  <c r="E8" i="15"/>
  <c r="F8" i="15"/>
  <c r="G8" i="15"/>
  <c r="H8" i="15"/>
  <c r="I8" i="15"/>
  <c r="J8" i="15"/>
  <c r="K8" i="15"/>
  <c r="L8" i="15"/>
  <c r="M8" i="15"/>
  <c r="N8" i="15"/>
  <c r="P8" i="15"/>
  <c r="Q8" i="15"/>
  <c r="R8" i="15"/>
  <c r="S8" i="15"/>
  <c r="T8" i="15"/>
  <c r="U8" i="15"/>
  <c r="V8" i="15"/>
  <c r="W8" i="15"/>
  <c r="X8" i="15"/>
  <c r="Y8" i="15"/>
  <c r="Z8" i="15"/>
  <c r="AA8" i="15"/>
  <c r="AB8" i="15"/>
  <c r="AC8" i="15"/>
  <c r="AD8" i="15"/>
  <c r="AE8" i="15"/>
  <c r="AF8" i="15"/>
  <c r="AG8" i="15"/>
  <c r="AH8" i="15"/>
  <c r="D9" i="15"/>
  <c r="E9" i="15"/>
  <c r="F9" i="15"/>
  <c r="G9" i="15"/>
  <c r="H9" i="15"/>
  <c r="I9" i="15"/>
  <c r="J9" i="15"/>
  <c r="K9" i="15"/>
  <c r="L9" i="15"/>
  <c r="M9" i="15"/>
  <c r="N9" i="15"/>
  <c r="O9" i="15"/>
  <c r="P9" i="15"/>
  <c r="Q9" i="15"/>
  <c r="R9" i="15"/>
  <c r="S9" i="15"/>
  <c r="T9" i="15"/>
  <c r="U9" i="15"/>
  <c r="V9" i="15"/>
  <c r="X9" i="15"/>
  <c r="Y9" i="15"/>
  <c r="Y4" i="15" s="1"/>
  <c r="Z9" i="15"/>
  <c r="AA9" i="15"/>
  <c r="AB9" i="15"/>
  <c r="AC9" i="15"/>
  <c r="AC4" i="15" s="1"/>
  <c r="AD9" i="15"/>
  <c r="AE9" i="15"/>
  <c r="AF9" i="15"/>
  <c r="AG9" i="15"/>
  <c r="AG4" i="15" s="1"/>
  <c r="AH9" i="15"/>
  <c r="D10" i="15"/>
  <c r="E10" i="15"/>
  <c r="F10" i="15"/>
  <c r="G10" i="15"/>
  <c r="H10" i="15"/>
  <c r="I10" i="15"/>
  <c r="J10" i="15"/>
  <c r="K10" i="15"/>
  <c r="L10" i="15"/>
  <c r="M10" i="15"/>
  <c r="N10" i="15"/>
  <c r="O10" i="15"/>
  <c r="P10" i="15"/>
  <c r="Q10" i="15"/>
  <c r="R10" i="15"/>
  <c r="S10" i="15"/>
  <c r="T10" i="15"/>
  <c r="U10" i="15"/>
  <c r="V10" i="15"/>
  <c r="W10" i="15"/>
  <c r="X10" i="15"/>
  <c r="Y10" i="15"/>
  <c r="Z10" i="15"/>
  <c r="AA10" i="15"/>
  <c r="AB10" i="15"/>
  <c r="AC10" i="15"/>
  <c r="AD10" i="15"/>
  <c r="AE10" i="15"/>
  <c r="AF10" i="15"/>
  <c r="AG10" i="15"/>
  <c r="AH10" i="15"/>
  <c r="D11" i="15"/>
  <c r="E11" i="15"/>
  <c r="F11" i="15"/>
  <c r="G11" i="15"/>
  <c r="H11" i="15"/>
  <c r="I11" i="15"/>
  <c r="J11" i="15"/>
  <c r="K11" i="15"/>
  <c r="L11" i="15"/>
  <c r="M11" i="15"/>
  <c r="N11" i="15"/>
  <c r="O11" i="15"/>
  <c r="P11" i="15"/>
  <c r="Q11" i="15"/>
  <c r="R11" i="15"/>
  <c r="S11" i="15"/>
  <c r="T11" i="15"/>
  <c r="U11" i="15"/>
  <c r="V11" i="15"/>
  <c r="W11" i="15"/>
  <c r="X11" i="15"/>
  <c r="Y11" i="15"/>
  <c r="Z11" i="15"/>
  <c r="AA11" i="15"/>
  <c r="AB11" i="15"/>
  <c r="AC11" i="15"/>
  <c r="AD11" i="15"/>
  <c r="AE11" i="15"/>
  <c r="AF11" i="15"/>
  <c r="AG11" i="15"/>
  <c r="AH11" i="15"/>
  <c r="D12" i="15"/>
  <c r="E12" i="15"/>
  <c r="F12" i="15"/>
  <c r="G12" i="15"/>
  <c r="H12" i="15"/>
  <c r="I12" i="15"/>
  <c r="J12" i="15"/>
  <c r="K12" i="15"/>
  <c r="L12" i="15"/>
  <c r="M12" i="15"/>
  <c r="N12" i="15"/>
  <c r="O12" i="15"/>
  <c r="P12" i="15"/>
  <c r="Q12" i="15"/>
  <c r="R12" i="15"/>
  <c r="S12" i="15"/>
  <c r="T12" i="15"/>
  <c r="U12" i="15"/>
  <c r="V12" i="15"/>
  <c r="W12" i="15"/>
  <c r="X12" i="15"/>
  <c r="Y12" i="15"/>
  <c r="Z12" i="15"/>
  <c r="AA12" i="15"/>
  <c r="AB12" i="15"/>
  <c r="AC12" i="15"/>
  <c r="AD12" i="15"/>
  <c r="AE12" i="15"/>
  <c r="AF12" i="15"/>
  <c r="AG12" i="15"/>
  <c r="AH12" i="15"/>
  <c r="O8" i="15"/>
  <c r="W9" i="15"/>
  <c r="A395" i="33" l="1"/>
  <c r="B391" i="33"/>
  <c r="B219" i="32"/>
  <c r="A223" i="32"/>
  <c r="A59" i="31"/>
  <c r="B55" i="31"/>
  <c r="AF4" i="15"/>
  <c r="X4" i="15"/>
  <c r="P4" i="15"/>
  <c r="H4" i="15"/>
  <c r="AE4" i="15"/>
  <c r="AA4" i="15"/>
  <c r="S4" i="15"/>
  <c r="K4" i="15"/>
  <c r="G4" i="15"/>
  <c r="AB4" i="15"/>
  <c r="T4" i="15"/>
  <c r="D4" i="15"/>
  <c r="AH4" i="15"/>
  <c r="AD4" i="15"/>
  <c r="Z4" i="15"/>
  <c r="V4" i="15"/>
  <c r="R4" i="15"/>
  <c r="N4" i="15"/>
  <c r="J4" i="15"/>
  <c r="F4" i="15"/>
  <c r="L4" i="15"/>
  <c r="U4" i="15"/>
  <c r="Q4" i="15"/>
  <c r="M4" i="15"/>
  <c r="I4" i="15"/>
  <c r="E4" i="15"/>
  <c r="D3" i="15"/>
  <c r="M2" i="30"/>
  <c r="L3" i="30"/>
  <c r="W4" i="15"/>
  <c r="O4" i="15"/>
  <c r="E3" i="15"/>
  <c r="F2" i="15"/>
  <c r="BF12" i="15"/>
  <c r="BF11" i="15"/>
  <c r="BF10" i="15"/>
  <c r="BF9" i="15"/>
  <c r="BF8" i="15"/>
  <c r="BF7" i="15"/>
  <c r="BF6" i="15"/>
  <c r="BE12" i="15"/>
  <c r="BE11" i="15"/>
  <c r="BE10" i="15"/>
  <c r="BE9" i="15"/>
  <c r="BE8" i="15"/>
  <c r="BE7" i="15"/>
  <c r="BE6" i="15"/>
  <c r="BD12" i="15"/>
  <c r="BD11" i="15"/>
  <c r="BD10" i="15"/>
  <c r="BD9" i="15"/>
  <c r="BD8" i="15"/>
  <c r="BD7" i="15"/>
  <c r="BD6" i="15"/>
  <c r="BC12" i="15"/>
  <c r="BC11" i="15"/>
  <c r="BC10" i="15"/>
  <c r="BC9" i="15"/>
  <c r="BC8" i="15"/>
  <c r="BC7" i="15"/>
  <c r="BC6" i="15"/>
  <c r="BB12" i="15"/>
  <c r="BB11" i="15"/>
  <c r="BB10" i="15"/>
  <c r="BB9" i="15"/>
  <c r="BB8" i="15"/>
  <c r="BB7" i="15"/>
  <c r="BB6" i="15"/>
  <c r="BA12" i="15"/>
  <c r="BA11" i="15"/>
  <c r="BA10" i="15"/>
  <c r="BA9" i="15"/>
  <c r="BA8" i="15"/>
  <c r="BA7" i="15"/>
  <c r="BA6" i="15"/>
  <c r="AZ12" i="15"/>
  <c r="AZ11" i="15"/>
  <c r="AZ10" i="15"/>
  <c r="AZ9" i="15"/>
  <c r="AZ8" i="15"/>
  <c r="AZ7" i="15"/>
  <c r="AZ6" i="15"/>
  <c r="AY12" i="15"/>
  <c r="AY11" i="15"/>
  <c r="AY10" i="15"/>
  <c r="AY9" i="15"/>
  <c r="AY8" i="15"/>
  <c r="AY7" i="15"/>
  <c r="AY6" i="15"/>
  <c r="B395" i="33" l="1"/>
  <c r="A399" i="33"/>
  <c r="A227" i="32"/>
  <c r="B223" i="32"/>
  <c r="B59" i="31"/>
  <c r="A63" i="31"/>
  <c r="BE4" i="15"/>
  <c r="N2" i="30"/>
  <c r="M3" i="30"/>
  <c r="F3" i="15"/>
  <c r="G2" i="15"/>
  <c r="BF4" i="15"/>
  <c r="AZ4" i="15"/>
  <c r="BA4" i="15"/>
  <c r="BB4" i="15"/>
  <c r="BC4" i="15"/>
  <c r="BD4" i="15"/>
  <c r="AY4" i="15"/>
  <c r="A403" i="33" l="1"/>
  <c r="B399" i="33"/>
  <c r="B227" i="32"/>
  <c r="A231" i="32"/>
  <c r="A67" i="31"/>
  <c r="B63" i="31"/>
  <c r="N3" i="30"/>
  <c r="O2" i="30"/>
  <c r="H2" i="15"/>
  <c r="G3" i="15"/>
  <c r="A407" i="33" l="1"/>
  <c r="B403" i="33"/>
  <c r="A235" i="32"/>
  <c r="B231" i="32"/>
  <c r="B67" i="31"/>
  <c r="A71" i="31"/>
  <c r="P2" i="30"/>
  <c r="O3" i="30"/>
  <c r="I2" i="15"/>
  <c r="H3" i="15"/>
  <c r="AX12" i="15"/>
  <c r="AX11" i="15"/>
  <c r="AX10" i="15"/>
  <c r="AX9" i="15"/>
  <c r="AX8" i="15"/>
  <c r="AX7" i="15"/>
  <c r="AX6" i="15"/>
  <c r="AW12" i="15"/>
  <c r="AW11" i="15"/>
  <c r="AW10" i="15"/>
  <c r="AW9" i="15"/>
  <c r="AW8" i="15"/>
  <c r="AW7" i="15"/>
  <c r="AW6" i="15"/>
  <c r="AV12" i="15"/>
  <c r="AV11" i="15"/>
  <c r="AV10" i="15"/>
  <c r="AV9" i="15"/>
  <c r="AV8" i="15"/>
  <c r="AV7" i="15"/>
  <c r="AV6" i="15"/>
  <c r="AU12" i="15"/>
  <c r="AU11" i="15"/>
  <c r="AU10" i="15"/>
  <c r="AU9" i="15"/>
  <c r="AU8" i="15"/>
  <c r="AU7" i="15"/>
  <c r="AU6" i="15"/>
  <c r="AT12" i="15"/>
  <c r="AT11" i="15"/>
  <c r="AT10" i="15"/>
  <c r="AT9" i="15"/>
  <c r="AT8" i="15"/>
  <c r="AT7" i="15"/>
  <c r="AT6" i="15"/>
  <c r="AS12" i="15"/>
  <c r="AS11" i="15"/>
  <c r="AS10" i="15"/>
  <c r="AS9" i="15"/>
  <c r="AS8" i="15"/>
  <c r="AS7" i="15"/>
  <c r="AS6" i="15"/>
  <c r="AR12" i="15"/>
  <c r="AR11" i="15"/>
  <c r="AR10" i="15"/>
  <c r="AR9" i="15"/>
  <c r="AR8" i="15"/>
  <c r="AR7" i="15"/>
  <c r="AR6" i="15"/>
  <c r="AQ12" i="15"/>
  <c r="AQ11" i="15"/>
  <c r="AQ10" i="15"/>
  <c r="AQ9" i="15"/>
  <c r="AQ8" i="15"/>
  <c r="AQ7" i="15"/>
  <c r="AQ6" i="15"/>
  <c r="AP12" i="15"/>
  <c r="AP11" i="15"/>
  <c r="AP10" i="15"/>
  <c r="AP9" i="15"/>
  <c r="AP8" i="15"/>
  <c r="AP7" i="15"/>
  <c r="AP6" i="15"/>
  <c r="AO12" i="15"/>
  <c r="AO11" i="15"/>
  <c r="AO10" i="15"/>
  <c r="AO9" i="15"/>
  <c r="AO8" i="15"/>
  <c r="AO7" i="15"/>
  <c r="AO6" i="15"/>
  <c r="A411" i="33" l="1"/>
  <c r="B407" i="33"/>
  <c r="B235" i="32"/>
  <c r="A239" i="32"/>
  <c r="A75" i="31"/>
  <c r="B71" i="31"/>
  <c r="Q2" i="30"/>
  <c r="P3" i="30"/>
  <c r="AX4" i="15"/>
  <c r="I3" i="15"/>
  <c r="J2" i="15"/>
  <c r="AP4" i="15"/>
  <c r="AQ4" i="15"/>
  <c r="AR4" i="15"/>
  <c r="AS4" i="15"/>
  <c r="AU4" i="15"/>
  <c r="AV4" i="15"/>
  <c r="AW4" i="15"/>
  <c r="AT4" i="15"/>
  <c r="AO4" i="15"/>
  <c r="C9" i="29"/>
  <c r="C8" i="29"/>
  <c r="C7" i="29"/>
  <c r="B411" i="33" l="1"/>
  <c r="A415" i="33"/>
  <c r="B239" i="32"/>
  <c r="A243" i="32"/>
  <c r="B75" i="31"/>
  <c r="A79" i="31"/>
  <c r="R2" i="30"/>
  <c r="Q3" i="30"/>
  <c r="J3" i="15"/>
  <c r="K2" i="15"/>
  <c r="C6" i="29"/>
  <c r="A419" i="33" l="1"/>
  <c r="B415" i="33"/>
  <c r="A247" i="32"/>
  <c r="B243" i="32"/>
  <c r="B79" i="31"/>
  <c r="A83" i="31"/>
  <c r="R3" i="30"/>
  <c r="S2" i="30"/>
  <c r="L2" i="15"/>
  <c r="K3" i="15"/>
  <c r="BL14" i="16"/>
  <c r="BL13" i="16"/>
  <c r="BL12" i="16"/>
  <c r="BL11" i="16"/>
  <c r="BL9" i="16"/>
  <c r="BL8" i="16"/>
  <c r="BL7" i="16"/>
  <c r="BL6" i="16"/>
  <c r="BL4" i="16" s="1"/>
  <c r="BL5" i="16"/>
  <c r="BK14" i="16"/>
  <c r="BK13" i="16"/>
  <c r="BK12" i="16"/>
  <c r="BK11" i="16"/>
  <c r="BK9" i="16"/>
  <c r="BK8" i="16"/>
  <c r="BK7" i="16"/>
  <c r="BK6" i="16"/>
  <c r="BK5" i="16"/>
  <c r="BJ14" i="16"/>
  <c r="BJ13" i="16"/>
  <c r="BJ12" i="16"/>
  <c r="BJ11" i="16"/>
  <c r="BJ9" i="16"/>
  <c r="BJ8" i="16"/>
  <c r="BJ7" i="16"/>
  <c r="BJ6" i="16"/>
  <c r="BJ5" i="16"/>
  <c r="BI14" i="16"/>
  <c r="BI13" i="16"/>
  <c r="BI12" i="16"/>
  <c r="BI11" i="16"/>
  <c r="BI9" i="16"/>
  <c r="BI8" i="16"/>
  <c r="BI7" i="16"/>
  <c r="BI6" i="16"/>
  <c r="BI5" i="16"/>
  <c r="BH14" i="16"/>
  <c r="BH13" i="16"/>
  <c r="BH12" i="16"/>
  <c r="BH11" i="16"/>
  <c r="BH9" i="16"/>
  <c r="BH8" i="16"/>
  <c r="BH7" i="16"/>
  <c r="BH6" i="16"/>
  <c r="BH5" i="16"/>
  <c r="BG14" i="16"/>
  <c r="BG13" i="16"/>
  <c r="BG12" i="16"/>
  <c r="BG11" i="16"/>
  <c r="BG9" i="16"/>
  <c r="BG8" i="16"/>
  <c r="BG7" i="16"/>
  <c r="BG6" i="16"/>
  <c r="BG5" i="16"/>
  <c r="BF14" i="16"/>
  <c r="BF13" i="16"/>
  <c r="BF12" i="16"/>
  <c r="BF11" i="16"/>
  <c r="BF9" i="16"/>
  <c r="BF8" i="16"/>
  <c r="BF7" i="16"/>
  <c r="BF6" i="16"/>
  <c r="BF5" i="16"/>
  <c r="BE14" i="16"/>
  <c r="BE13" i="16"/>
  <c r="BE12" i="16"/>
  <c r="BE11" i="16"/>
  <c r="BE9" i="16"/>
  <c r="BE8" i="16"/>
  <c r="BE7" i="16"/>
  <c r="BE6" i="16"/>
  <c r="BE5" i="16"/>
  <c r="BD14" i="16"/>
  <c r="BD13" i="16"/>
  <c r="BD12" i="16"/>
  <c r="BD11" i="16"/>
  <c r="BD9" i="16"/>
  <c r="BD8" i="16"/>
  <c r="BD7" i="16"/>
  <c r="BD6" i="16"/>
  <c r="BD5" i="16"/>
  <c r="BC14" i="16"/>
  <c r="BC13" i="16"/>
  <c r="BC12" i="16"/>
  <c r="BC11" i="16"/>
  <c r="BC9" i="16"/>
  <c r="BC8" i="16"/>
  <c r="BC7" i="16"/>
  <c r="BC6" i="16"/>
  <c r="BC5" i="16"/>
  <c r="BB14" i="16"/>
  <c r="BB13" i="16"/>
  <c r="BB12" i="16"/>
  <c r="BB11" i="16"/>
  <c r="BB9" i="16"/>
  <c r="BB8" i="16"/>
  <c r="BB7" i="16"/>
  <c r="BB6" i="16"/>
  <c r="BB5" i="16"/>
  <c r="BB4" i="16"/>
  <c r="BA14" i="16"/>
  <c r="BA13" i="16"/>
  <c r="BA12" i="16"/>
  <c r="BA11" i="16"/>
  <c r="BA9" i="16"/>
  <c r="BA8" i="16"/>
  <c r="BA7" i="16"/>
  <c r="BA6" i="16"/>
  <c r="BA4" i="16" s="1"/>
  <c r="BA5" i="16"/>
  <c r="AZ14" i="16"/>
  <c r="AZ13" i="16"/>
  <c r="AZ12" i="16"/>
  <c r="AZ11" i="16"/>
  <c r="AZ9" i="16"/>
  <c r="AZ8" i="16"/>
  <c r="AZ7" i="16"/>
  <c r="AZ4" i="16" s="1"/>
  <c r="AZ6" i="16"/>
  <c r="AZ5" i="16"/>
  <c r="AY14" i="16"/>
  <c r="AY13" i="16"/>
  <c r="AY12" i="16"/>
  <c r="AY11" i="16"/>
  <c r="AY9" i="16"/>
  <c r="AY8" i="16"/>
  <c r="AY7" i="16"/>
  <c r="AY6" i="16"/>
  <c r="AY5" i="16"/>
  <c r="AX14" i="16"/>
  <c r="AX13" i="16"/>
  <c r="AX12" i="16"/>
  <c r="AX11" i="16"/>
  <c r="AX9" i="16"/>
  <c r="AX8" i="16"/>
  <c r="AX7" i="16"/>
  <c r="AX6" i="16"/>
  <c r="AX4" i="16" s="1"/>
  <c r="AX5" i="16"/>
  <c r="AW14" i="16"/>
  <c r="AW13" i="16"/>
  <c r="AW12" i="16"/>
  <c r="AW11" i="16"/>
  <c r="AW9" i="16"/>
  <c r="AW8" i="16"/>
  <c r="AW7" i="16"/>
  <c r="AW6" i="16"/>
  <c r="AW5" i="16"/>
  <c r="AV14" i="16"/>
  <c r="AV13" i="16"/>
  <c r="AV12" i="16"/>
  <c r="AV11" i="16"/>
  <c r="AV9" i="16"/>
  <c r="AV8" i="16"/>
  <c r="AV7" i="16"/>
  <c r="AV6" i="16"/>
  <c r="AV5" i="16"/>
  <c r="AU14" i="16"/>
  <c r="AU13" i="16"/>
  <c r="AU12" i="16"/>
  <c r="AU11" i="16"/>
  <c r="AU9" i="16"/>
  <c r="AU8" i="16"/>
  <c r="AU7" i="16"/>
  <c r="AU6" i="16"/>
  <c r="AU5" i="16"/>
  <c r="AT14" i="16"/>
  <c r="AT13" i="16"/>
  <c r="AT12" i="16"/>
  <c r="AT11" i="16"/>
  <c r="AT9" i="16"/>
  <c r="AT8" i="16"/>
  <c r="AT7" i="16"/>
  <c r="AT6" i="16"/>
  <c r="AT5" i="16"/>
  <c r="AS14" i="16"/>
  <c r="AS13" i="16"/>
  <c r="AS12" i="16"/>
  <c r="AS11" i="16"/>
  <c r="AS9" i="16"/>
  <c r="AS8" i="16"/>
  <c r="AS7" i="16"/>
  <c r="AS6" i="16"/>
  <c r="AS5" i="16"/>
  <c r="AS4" i="16"/>
  <c r="A423" i="33" l="1"/>
  <c r="B419" i="33"/>
  <c r="B247" i="32"/>
  <c r="A251" i="32"/>
  <c r="B83" i="31"/>
  <c r="A87" i="31"/>
  <c r="AY4" i="16"/>
  <c r="BJ4" i="16"/>
  <c r="AV4" i="16"/>
  <c r="BI4" i="16"/>
  <c r="AT4" i="16"/>
  <c r="BC4" i="16"/>
  <c r="BF4" i="16"/>
  <c r="AU4" i="16"/>
  <c r="BE4" i="16"/>
  <c r="BH4" i="16"/>
  <c r="BG4" i="16"/>
  <c r="S3" i="30"/>
  <c r="T2" i="30"/>
  <c r="M2" i="15"/>
  <c r="L3" i="15"/>
  <c r="AW4" i="16"/>
  <c r="BD4" i="16"/>
  <c r="BK4" i="16"/>
  <c r="AR14" i="16"/>
  <c r="AR13" i="16"/>
  <c r="AR12" i="16"/>
  <c r="AR11" i="16"/>
  <c r="AR9" i="16"/>
  <c r="AR8" i="16"/>
  <c r="AR7" i="16"/>
  <c r="AR6" i="16"/>
  <c r="AR5" i="16"/>
  <c r="AR4" i="16"/>
  <c r="AQ14" i="16"/>
  <c r="AQ13" i="16"/>
  <c r="AQ12" i="16"/>
  <c r="AQ11" i="16"/>
  <c r="AQ9" i="16"/>
  <c r="AQ8" i="16"/>
  <c r="AQ7" i="16"/>
  <c r="AQ6" i="16"/>
  <c r="AQ5" i="16"/>
  <c r="AP14" i="16"/>
  <c r="AP13" i="16"/>
  <c r="AP12" i="16"/>
  <c r="AP11" i="16"/>
  <c r="AP9" i="16"/>
  <c r="AP8" i="16"/>
  <c r="AP7" i="16"/>
  <c r="AP4" i="16" s="1"/>
  <c r="AP6" i="16"/>
  <c r="AP5" i="16"/>
  <c r="AO14" i="16"/>
  <c r="AO13" i="16"/>
  <c r="AO12" i="16"/>
  <c r="AO11" i="16"/>
  <c r="AO9" i="16"/>
  <c r="AO8" i="16"/>
  <c r="AO7" i="16"/>
  <c r="AO6" i="16"/>
  <c r="AO5" i="16"/>
  <c r="AN14" i="16"/>
  <c r="AN13" i="16"/>
  <c r="AN12" i="16"/>
  <c r="AN11" i="16"/>
  <c r="AN9" i="16"/>
  <c r="AN8" i="16"/>
  <c r="AN7" i="16"/>
  <c r="AN6" i="16"/>
  <c r="AN5" i="16"/>
  <c r="AM14" i="16"/>
  <c r="AM13" i="16"/>
  <c r="AM12" i="16"/>
  <c r="AM11" i="16"/>
  <c r="AM9" i="16"/>
  <c r="AM8" i="16"/>
  <c r="AM7" i="16"/>
  <c r="AM6" i="16"/>
  <c r="AM5" i="16"/>
  <c r="AL14" i="16"/>
  <c r="AL13" i="16"/>
  <c r="AL12" i="16"/>
  <c r="AL11" i="16"/>
  <c r="AL9" i="16"/>
  <c r="AL8" i="16"/>
  <c r="AL7" i="16"/>
  <c r="AL4" i="16" s="1"/>
  <c r="AL6" i="16"/>
  <c r="AL5" i="16"/>
  <c r="AK14" i="16"/>
  <c r="AK13" i="16"/>
  <c r="AK12" i="16"/>
  <c r="AK11" i="16"/>
  <c r="AK9" i="16"/>
  <c r="AK8" i="16"/>
  <c r="AK7" i="16"/>
  <c r="AK6" i="16"/>
  <c r="AK5" i="16"/>
  <c r="AJ14" i="16"/>
  <c r="AJ13" i="16"/>
  <c r="AJ12" i="16"/>
  <c r="AJ11" i="16"/>
  <c r="AJ9" i="16"/>
  <c r="AJ8" i="16"/>
  <c r="AJ7" i="16"/>
  <c r="AJ6" i="16"/>
  <c r="AJ5" i="16"/>
  <c r="AI14" i="16"/>
  <c r="AI13" i="16"/>
  <c r="AI12" i="16"/>
  <c r="AI11" i="16"/>
  <c r="AI9" i="16"/>
  <c r="AI8" i="16"/>
  <c r="AI7" i="16"/>
  <c r="AI6" i="16"/>
  <c r="AI5" i="16"/>
  <c r="AR4" i="17"/>
  <c r="AQ4" i="17"/>
  <c r="AP4" i="17"/>
  <c r="AO4" i="17"/>
  <c r="AN4" i="17"/>
  <c r="AM4" i="17"/>
  <c r="AL4" i="17"/>
  <c r="AK4" i="17"/>
  <c r="AJ4" i="17"/>
  <c r="AI4" i="17"/>
  <c r="A427" i="33" l="1"/>
  <c r="B423" i="33"/>
  <c r="B251" i="32"/>
  <c r="A255" i="32"/>
  <c r="B87" i="31"/>
  <c r="A91" i="31"/>
  <c r="AJ4" i="16"/>
  <c r="AO4" i="16"/>
  <c r="AI4" i="16"/>
  <c r="AM4" i="16"/>
  <c r="AN4" i="16"/>
  <c r="AQ4" i="16"/>
  <c r="U2" i="30"/>
  <c r="T3" i="30"/>
  <c r="M3" i="15"/>
  <c r="N2" i="15"/>
  <c r="AK4" i="16"/>
  <c r="B427" i="33" l="1"/>
  <c r="A431" i="33"/>
  <c r="A259" i="32"/>
  <c r="B255" i="32"/>
  <c r="B91" i="31"/>
  <c r="A95" i="31"/>
  <c r="U3" i="30"/>
  <c r="V2" i="30"/>
  <c r="N3" i="15"/>
  <c r="O2" i="15"/>
  <c r="AN12" i="15"/>
  <c r="AN11" i="15"/>
  <c r="AN10" i="15"/>
  <c r="AN9" i="15"/>
  <c r="AN8" i="15"/>
  <c r="AN7" i="15"/>
  <c r="AN6" i="15"/>
  <c r="AM12" i="15"/>
  <c r="AM11" i="15"/>
  <c r="AM10" i="15"/>
  <c r="AM9" i="15"/>
  <c r="AM8" i="15"/>
  <c r="AM7" i="15"/>
  <c r="AM6" i="15"/>
  <c r="AL12" i="15"/>
  <c r="AL11" i="15"/>
  <c r="AL10" i="15"/>
  <c r="AL9" i="15"/>
  <c r="AL8" i="15"/>
  <c r="AL7" i="15"/>
  <c r="AL6" i="15"/>
  <c r="AK12" i="15"/>
  <c r="AK11" i="15"/>
  <c r="AK10" i="15"/>
  <c r="AK9" i="15"/>
  <c r="AK8" i="15"/>
  <c r="AK7" i="15"/>
  <c r="AK6" i="15"/>
  <c r="AJ12" i="15"/>
  <c r="AJ11" i="15"/>
  <c r="AJ10" i="15"/>
  <c r="AJ9" i="15"/>
  <c r="AJ8" i="15"/>
  <c r="AJ7" i="15"/>
  <c r="AJ6" i="15"/>
  <c r="AI12" i="15"/>
  <c r="AI11" i="15"/>
  <c r="AI10" i="15"/>
  <c r="AI9" i="15"/>
  <c r="AI8" i="15"/>
  <c r="AI7" i="15"/>
  <c r="AI6" i="15"/>
  <c r="A435" i="33" l="1"/>
  <c r="B431" i="33"/>
  <c r="B259" i="32"/>
  <c r="A263" i="32"/>
  <c r="B263" i="32" s="1"/>
  <c r="B95" i="31"/>
  <c r="A99" i="31"/>
  <c r="AN4" i="15"/>
  <c r="V3" i="30"/>
  <c r="W2" i="30"/>
  <c r="P2" i="15"/>
  <c r="O3" i="15"/>
  <c r="AJ4" i="15"/>
  <c r="AI4" i="15"/>
  <c r="AM4" i="15"/>
  <c r="AL4" i="15"/>
  <c r="AK4" i="15"/>
  <c r="A439" i="33" l="1"/>
  <c r="B435" i="33"/>
  <c r="B99" i="31"/>
  <c r="A103" i="31"/>
  <c r="W3" i="30"/>
  <c r="X2" i="30"/>
  <c r="Q2" i="15"/>
  <c r="P3" i="15"/>
  <c r="D34" i="14"/>
  <c r="D33" i="14"/>
  <c r="D32" i="14"/>
  <c r="D31" i="14"/>
  <c r="D30" i="14"/>
  <c r="D29" i="14"/>
  <c r="D28" i="14"/>
  <c r="D27" i="14"/>
  <c r="D26" i="14"/>
  <c r="D25" i="14"/>
  <c r="D24" i="14"/>
  <c r="D23" i="14"/>
  <c r="D22" i="14"/>
  <c r="D21" i="14"/>
  <c r="D20" i="14"/>
  <c r="D19" i="14"/>
  <c r="D18" i="14"/>
  <c r="D17" i="14"/>
  <c r="D16" i="14"/>
  <c r="D15" i="14"/>
  <c r="D14" i="14"/>
  <c r="D13" i="14"/>
  <c r="D12" i="14"/>
  <c r="D11" i="14"/>
  <c r="D10" i="14"/>
  <c r="D9" i="14"/>
  <c r="D8" i="14"/>
  <c r="D7" i="14"/>
  <c r="D4" i="14" s="1"/>
  <c r="D6" i="14"/>
  <c r="D5" i="14"/>
  <c r="AI4" i="14"/>
  <c r="AH4" i="14"/>
  <c r="AG4" i="14"/>
  <c r="AF4" i="14"/>
  <c r="AE4" i="14"/>
  <c r="AD4" i="14"/>
  <c r="AC4" i="14"/>
  <c r="AB4" i="14"/>
  <c r="AA4" i="14"/>
  <c r="Z4" i="14"/>
  <c r="Y4" i="14"/>
  <c r="X4" i="14"/>
  <c r="W4" i="14"/>
  <c r="V4" i="14"/>
  <c r="U4" i="14"/>
  <c r="T4" i="14"/>
  <c r="S4" i="14"/>
  <c r="R4" i="14"/>
  <c r="Q4" i="14"/>
  <c r="P4" i="14"/>
  <c r="O4" i="14"/>
  <c r="N4" i="14"/>
  <c r="M4" i="14"/>
  <c r="L4" i="14"/>
  <c r="K4" i="14"/>
  <c r="J4" i="14"/>
  <c r="I4" i="14"/>
  <c r="H4" i="14"/>
  <c r="G4" i="14"/>
  <c r="F4" i="14"/>
  <c r="E4" i="14"/>
  <c r="N2" i="14"/>
  <c r="E3" i="14" s="1"/>
  <c r="F3" i="14" s="1"/>
  <c r="G3" i="14" s="1"/>
  <c r="H3" i="14" s="1"/>
  <c r="I3" i="14" s="1"/>
  <c r="J3" i="14" s="1"/>
  <c r="K3" i="14" s="1"/>
  <c r="L3" i="14" s="1"/>
  <c r="M3" i="14" s="1"/>
  <c r="N3" i="14" s="1"/>
  <c r="O3" i="14" s="1"/>
  <c r="P3" i="14" s="1"/>
  <c r="Q3" i="14" s="1"/>
  <c r="R3" i="14" s="1"/>
  <c r="S3" i="14" s="1"/>
  <c r="T3" i="14" s="1"/>
  <c r="U3" i="14" s="1"/>
  <c r="V3" i="14" s="1"/>
  <c r="W3" i="14" s="1"/>
  <c r="X3" i="14" s="1"/>
  <c r="Y3" i="14" s="1"/>
  <c r="Z3" i="14" s="1"/>
  <c r="AA3" i="14" s="1"/>
  <c r="AB3" i="14" s="1"/>
  <c r="AC3" i="14" s="1"/>
  <c r="AD3" i="14" s="1"/>
  <c r="AE3" i="14" s="1"/>
  <c r="AF3" i="14" s="1"/>
  <c r="AG3" i="14" s="1"/>
  <c r="AH3" i="14" s="1"/>
  <c r="AI3" i="14" s="1"/>
  <c r="C31" i="17"/>
  <c r="C30" i="17"/>
  <c r="H21" i="17"/>
  <c r="C11" i="17"/>
  <c r="C10" i="17"/>
  <c r="C9" i="17"/>
  <c r="C8" i="17"/>
  <c r="C7" i="17"/>
  <c r="C6" i="17"/>
  <c r="C5" i="17"/>
  <c r="AH4" i="17"/>
  <c r="AG4" i="17"/>
  <c r="AF4" i="17"/>
  <c r="AE4" i="17"/>
  <c r="AD4" i="17"/>
  <c r="AC4" i="17"/>
  <c r="AB4" i="17"/>
  <c r="AA4" i="17"/>
  <c r="Z4" i="17"/>
  <c r="Y4" i="17"/>
  <c r="X4" i="17"/>
  <c r="W4" i="17"/>
  <c r="V4" i="17"/>
  <c r="U4" i="17"/>
  <c r="T4" i="17"/>
  <c r="S4" i="17"/>
  <c r="R4" i="17"/>
  <c r="Q4" i="17"/>
  <c r="P4" i="17"/>
  <c r="O4" i="17"/>
  <c r="N4" i="17"/>
  <c r="M4" i="17"/>
  <c r="L4" i="17"/>
  <c r="K4" i="17"/>
  <c r="J4" i="17"/>
  <c r="I4" i="17"/>
  <c r="H4" i="17"/>
  <c r="G4" i="17"/>
  <c r="F4" i="17"/>
  <c r="E4" i="17"/>
  <c r="D4" i="17"/>
  <c r="D2" i="17"/>
  <c r="AH14" i="16"/>
  <c r="AG14" i="16"/>
  <c r="AF14" i="16"/>
  <c r="AE14" i="16"/>
  <c r="AD14" i="16"/>
  <c r="AC14" i="16"/>
  <c r="AB14" i="16"/>
  <c r="AA14" i="16"/>
  <c r="Z14" i="16"/>
  <c r="Y14" i="16"/>
  <c r="X14" i="16"/>
  <c r="W14" i="16"/>
  <c r="V14" i="16"/>
  <c r="U14" i="16"/>
  <c r="T14" i="16"/>
  <c r="S14" i="16"/>
  <c r="R14" i="16"/>
  <c r="Q14" i="16"/>
  <c r="P14" i="16"/>
  <c r="O14" i="16"/>
  <c r="N14" i="16"/>
  <c r="M14" i="16"/>
  <c r="L14" i="16"/>
  <c r="K14" i="16"/>
  <c r="J14" i="16"/>
  <c r="I14" i="16"/>
  <c r="H14" i="16"/>
  <c r="G14" i="16"/>
  <c r="F14" i="16"/>
  <c r="E14" i="16"/>
  <c r="D14" i="16"/>
  <c r="AH13" i="16"/>
  <c r="AG13" i="16"/>
  <c r="AF13" i="16"/>
  <c r="AE13" i="16"/>
  <c r="AD13" i="16"/>
  <c r="AC13" i="16"/>
  <c r="AB13" i="16"/>
  <c r="AA13" i="16"/>
  <c r="Z13" i="16"/>
  <c r="Y13" i="16"/>
  <c r="X13" i="16"/>
  <c r="W13" i="16"/>
  <c r="V13" i="16"/>
  <c r="U13" i="16"/>
  <c r="T13" i="16"/>
  <c r="S13" i="16"/>
  <c r="R13" i="16"/>
  <c r="Q13" i="16"/>
  <c r="P13" i="16"/>
  <c r="O13" i="16"/>
  <c r="N13" i="16"/>
  <c r="M13" i="16"/>
  <c r="L13" i="16"/>
  <c r="K13" i="16"/>
  <c r="J13" i="16"/>
  <c r="I13" i="16"/>
  <c r="H13" i="16"/>
  <c r="G13" i="16"/>
  <c r="F13" i="16"/>
  <c r="E13" i="16"/>
  <c r="D13" i="16"/>
  <c r="AH12" i="16"/>
  <c r="AG12" i="16"/>
  <c r="AF12" i="16"/>
  <c r="AE12" i="16"/>
  <c r="AD12" i="16"/>
  <c r="AC12" i="16"/>
  <c r="AB12" i="16"/>
  <c r="AA12" i="16"/>
  <c r="Z12" i="16"/>
  <c r="Y12" i="16"/>
  <c r="X12" i="16"/>
  <c r="W12" i="16"/>
  <c r="V12" i="16"/>
  <c r="U12" i="16"/>
  <c r="T12" i="16"/>
  <c r="S12" i="16"/>
  <c r="R12" i="16"/>
  <c r="Q12" i="16"/>
  <c r="P12" i="16"/>
  <c r="O12" i="16"/>
  <c r="N12" i="16"/>
  <c r="M12" i="16"/>
  <c r="L12" i="16"/>
  <c r="K12" i="16"/>
  <c r="J12" i="16"/>
  <c r="I12" i="16"/>
  <c r="H12" i="16"/>
  <c r="G12" i="16"/>
  <c r="F12" i="16"/>
  <c r="E12" i="16"/>
  <c r="D12" i="16"/>
  <c r="AH11" i="16"/>
  <c r="AG11" i="16"/>
  <c r="AF11" i="16"/>
  <c r="AE11" i="16"/>
  <c r="AD11" i="16"/>
  <c r="AC11" i="16"/>
  <c r="AB11" i="16"/>
  <c r="AA11" i="16"/>
  <c r="Z11" i="16"/>
  <c r="Y11" i="16"/>
  <c r="X11" i="16"/>
  <c r="W11" i="16"/>
  <c r="V11" i="16"/>
  <c r="U11" i="16"/>
  <c r="T11" i="16"/>
  <c r="S11" i="16"/>
  <c r="R11" i="16"/>
  <c r="Q11" i="16"/>
  <c r="P11" i="16"/>
  <c r="O11" i="16"/>
  <c r="N11" i="16"/>
  <c r="M11" i="16"/>
  <c r="L11" i="16"/>
  <c r="K11" i="16"/>
  <c r="J11" i="16"/>
  <c r="I11" i="16"/>
  <c r="H11" i="16"/>
  <c r="G11" i="16"/>
  <c r="F11" i="16"/>
  <c r="E11" i="16"/>
  <c r="D11" i="16"/>
  <c r="C10" i="16"/>
  <c r="AH9" i="16"/>
  <c r="AG9" i="16"/>
  <c r="AF9" i="16"/>
  <c r="AE9" i="16"/>
  <c r="AD9" i="16"/>
  <c r="AC9" i="16"/>
  <c r="AB9" i="16"/>
  <c r="AA9" i="16"/>
  <c r="Z9" i="16"/>
  <c r="Y9" i="16"/>
  <c r="X9" i="16"/>
  <c r="W9" i="16"/>
  <c r="V9" i="16"/>
  <c r="U9" i="16"/>
  <c r="T9" i="16"/>
  <c r="S9" i="16"/>
  <c r="R9" i="16"/>
  <c r="Q9" i="16"/>
  <c r="P9" i="16"/>
  <c r="O9" i="16"/>
  <c r="N9" i="16"/>
  <c r="M9" i="16"/>
  <c r="L9" i="16"/>
  <c r="K9" i="16"/>
  <c r="J9" i="16"/>
  <c r="I9" i="16"/>
  <c r="H9" i="16"/>
  <c r="G9" i="16"/>
  <c r="F9" i="16"/>
  <c r="E9" i="16"/>
  <c r="D9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Q8" i="16"/>
  <c r="P8" i="16"/>
  <c r="O8" i="16"/>
  <c r="N8" i="16"/>
  <c r="M8" i="16"/>
  <c r="L8" i="16"/>
  <c r="K8" i="16"/>
  <c r="J8" i="16"/>
  <c r="I8" i="16"/>
  <c r="H8" i="16"/>
  <c r="G8" i="16"/>
  <c r="F8" i="16"/>
  <c r="E8" i="16"/>
  <c r="D8" i="16"/>
  <c r="AH7" i="16"/>
  <c r="AG7" i="16"/>
  <c r="AF7" i="16"/>
  <c r="AE7" i="16"/>
  <c r="AD7" i="16"/>
  <c r="AC7" i="16"/>
  <c r="AB7" i="16"/>
  <c r="AA7" i="16"/>
  <c r="Z7" i="16"/>
  <c r="Y7" i="16"/>
  <c r="X7" i="16"/>
  <c r="W7" i="16"/>
  <c r="W4" i="16" s="1"/>
  <c r="V7" i="16"/>
  <c r="U7" i="16"/>
  <c r="T7" i="16"/>
  <c r="S7" i="16"/>
  <c r="R7" i="16"/>
  <c r="Q7" i="16"/>
  <c r="P7" i="16"/>
  <c r="O7" i="16"/>
  <c r="O4" i="16" s="1"/>
  <c r="N7" i="16"/>
  <c r="M7" i="16"/>
  <c r="L7" i="16"/>
  <c r="K7" i="16"/>
  <c r="K4" i="16" s="1"/>
  <c r="J7" i="16"/>
  <c r="I7" i="16"/>
  <c r="H7" i="16"/>
  <c r="G7" i="16"/>
  <c r="F7" i="16"/>
  <c r="E7" i="16"/>
  <c r="D7" i="16"/>
  <c r="AH6" i="16"/>
  <c r="AH4" i="16" s="1"/>
  <c r="AG6" i="16"/>
  <c r="AF6" i="16"/>
  <c r="AE6" i="16"/>
  <c r="AD6" i="16"/>
  <c r="AC6" i="16"/>
  <c r="AB6" i="16"/>
  <c r="AA6" i="16"/>
  <c r="Z6" i="16"/>
  <c r="Y6" i="16"/>
  <c r="X6" i="16"/>
  <c r="W6" i="16"/>
  <c r="V6" i="16"/>
  <c r="V4" i="16" s="1"/>
  <c r="U6" i="16"/>
  <c r="T6" i="16"/>
  <c r="S6" i="16"/>
  <c r="R6" i="16"/>
  <c r="R4" i="16" s="1"/>
  <c r="Q6" i="16"/>
  <c r="P6" i="16"/>
  <c r="O6" i="16"/>
  <c r="N6" i="16"/>
  <c r="N4" i="16" s="1"/>
  <c r="M6" i="16"/>
  <c r="L6" i="16"/>
  <c r="K6" i="16"/>
  <c r="J6" i="16"/>
  <c r="J4" i="16" s="1"/>
  <c r="I6" i="16"/>
  <c r="H6" i="16"/>
  <c r="G6" i="16"/>
  <c r="G4" i="16" s="1"/>
  <c r="F6" i="16"/>
  <c r="F4" i="16" s="1"/>
  <c r="E6" i="16"/>
  <c r="D6" i="16"/>
  <c r="AH5" i="16"/>
  <c r="AG5" i="16"/>
  <c r="AG4" i="16" s="1"/>
  <c r="AF5" i="16"/>
  <c r="AE5" i="16"/>
  <c r="AD5" i="16"/>
  <c r="AD4" i="16" s="1"/>
  <c r="AC5" i="16"/>
  <c r="AC4" i="16" s="1"/>
  <c r="AB5" i="16"/>
  <c r="AA5" i="16"/>
  <c r="Z5" i="16"/>
  <c r="Y5" i="16"/>
  <c r="X5" i="16"/>
  <c r="W5" i="16"/>
  <c r="V5" i="16"/>
  <c r="U5" i="16"/>
  <c r="T5" i="16"/>
  <c r="S5" i="16"/>
  <c r="R5" i="16"/>
  <c r="Q5" i="16"/>
  <c r="Q4" i="16" s="1"/>
  <c r="P5" i="16"/>
  <c r="O5" i="16"/>
  <c r="N5" i="16"/>
  <c r="M5" i="16"/>
  <c r="L5" i="16"/>
  <c r="K5" i="16"/>
  <c r="J5" i="16"/>
  <c r="I5" i="16"/>
  <c r="I4" i="16" s="1"/>
  <c r="H5" i="16"/>
  <c r="G5" i="16"/>
  <c r="F5" i="16"/>
  <c r="E5" i="16"/>
  <c r="E4" i="16" s="1"/>
  <c r="D5" i="16"/>
  <c r="M4" i="16"/>
  <c r="D2" i="16"/>
  <c r="C32" i="15"/>
  <c r="C31" i="15"/>
  <c r="C12" i="15"/>
  <c r="C6" i="15"/>
  <c r="C5" i="15"/>
  <c r="K2" i="7"/>
  <c r="E3" i="7" s="1"/>
  <c r="K2" i="4"/>
  <c r="E3" i="4" s="1"/>
  <c r="F3" i="4" s="1"/>
  <c r="G3" i="4" s="1"/>
  <c r="H3" i="4" s="1"/>
  <c r="I3" i="4" s="1"/>
  <c r="J3" i="4" s="1"/>
  <c r="K3" i="4" s="1"/>
  <c r="L3" i="4" s="1"/>
  <c r="M3" i="4" s="1"/>
  <c r="N3" i="4" s="1"/>
  <c r="O3" i="4" s="1"/>
  <c r="P3" i="4" s="1"/>
  <c r="Q3" i="4" s="1"/>
  <c r="R3" i="4" s="1"/>
  <c r="S3" i="4" s="1"/>
  <c r="T3" i="4" s="1"/>
  <c r="U3" i="4" s="1"/>
  <c r="V3" i="4" s="1"/>
  <c r="W3" i="4" s="1"/>
  <c r="X3" i="4" s="1"/>
  <c r="Y3" i="4" s="1"/>
  <c r="Z3" i="4" s="1"/>
  <c r="AA3" i="4" s="1"/>
  <c r="AB3" i="4" s="1"/>
  <c r="AC3" i="4" s="1"/>
  <c r="AD3" i="4" s="1"/>
  <c r="AE3" i="4" s="1"/>
  <c r="AF3" i="4" s="1"/>
  <c r="AG3" i="4" s="1"/>
  <c r="AH3" i="4" s="1"/>
  <c r="AI3" i="4" s="1"/>
  <c r="O2" i="3"/>
  <c r="E3" i="3" s="1"/>
  <c r="F3" i="3" s="1"/>
  <c r="G3" i="3" s="1"/>
  <c r="H3" i="3" s="1"/>
  <c r="I3" i="3" s="1"/>
  <c r="J3" i="3" s="1"/>
  <c r="K3" i="3" s="1"/>
  <c r="L3" i="3" s="1"/>
  <c r="M3" i="3" s="1"/>
  <c r="N3" i="3" s="1"/>
  <c r="O3" i="3" s="1"/>
  <c r="P3" i="3" s="1"/>
  <c r="Q3" i="3" s="1"/>
  <c r="R3" i="3" s="1"/>
  <c r="S3" i="3" s="1"/>
  <c r="T3" i="3" s="1"/>
  <c r="U3" i="3" s="1"/>
  <c r="V3" i="3" s="1"/>
  <c r="W3" i="3" s="1"/>
  <c r="X3" i="3" s="1"/>
  <c r="Y3" i="3" s="1"/>
  <c r="Z3" i="3" s="1"/>
  <c r="AA3" i="3" s="1"/>
  <c r="AB3" i="3" s="1"/>
  <c r="AC3" i="3" s="1"/>
  <c r="AD3" i="3" s="1"/>
  <c r="AE3" i="3" s="1"/>
  <c r="AF3" i="3" s="1"/>
  <c r="AG3" i="3" s="1"/>
  <c r="AH3" i="3" s="1"/>
  <c r="AI3" i="3" s="1"/>
  <c r="J24" i="27"/>
  <c r="J20" i="27"/>
  <c r="J16" i="27"/>
  <c r="J12" i="27"/>
  <c r="J8" i="27"/>
  <c r="I7" i="27"/>
  <c r="J23" i="27" s="1"/>
  <c r="D7" i="25"/>
  <c r="E21" i="25" s="1"/>
  <c r="A443" i="33" l="1"/>
  <c r="B443" i="33" s="1"/>
  <c r="B439" i="33"/>
  <c r="A107" i="31"/>
  <c r="B103" i="31"/>
  <c r="E14" i="25"/>
  <c r="E11" i="25"/>
  <c r="E15" i="25"/>
  <c r="E19" i="25"/>
  <c r="E23" i="25"/>
  <c r="J9" i="27"/>
  <c r="J7" i="27" s="1"/>
  <c r="J13" i="27"/>
  <c r="J17" i="27"/>
  <c r="J21" i="27"/>
  <c r="J25" i="27"/>
  <c r="E10" i="25"/>
  <c r="E18" i="25"/>
  <c r="E8" i="25"/>
  <c r="E12" i="25"/>
  <c r="E16" i="25"/>
  <c r="E20" i="25"/>
  <c r="J10" i="27"/>
  <c r="J14" i="27"/>
  <c r="J18" i="27"/>
  <c r="J22" i="27"/>
  <c r="E22" i="25"/>
  <c r="E9" i="25"/>
  <c r="E13" i="25"/>
  <c r="E17" i="25"/>
  <c r="J11" i="27"/>
  <c r="J15" i="27"/>
  <c r="J19" i="27"/>
  <c r="C14" i="16"/>
  <c r="C8" i="16"/>
  <c r="C7" i="16"/>
  <c r="C13" i="16"/>
  <c r="U4" i="16"/>
  <c r="Y4" i="16"/>
  <c r="C6" i="16"/>
  <c r="C12" i="16"/>
  <c r="Z4" i="16"/>
  <c r="C5" i="16"/>
  <c r="AE4" i="16"/>
  <c r="C9" i="16"/>
  <c r="C11" i="16"/>
  <c r="H4" i="16"/>
  <c r="L4" i="16"/>
  <c r="P4" i="16"/>
  <c r="T4" i="16"/>
  <c r="X4" i="16"/>
  <c r="AB4" i="16"/>
  <c r="AF4" i="16"/>
  <c r="AA4" i="16"/>
  <c r="Y2" i="30"/>
  <c r="X3" i="30"/>
  <c r="Q3" i="15"/>
  <c r="R2" i="15"/>
  <c r="S4" i="16"/>
  <c r="A4" i="17"/>
  <c r="C10" i="15"/>
  <c r="D4" i="16"/>
  <c r="C11" i="15"/>
  <c r="E14" i="7"/>
  <c r="E13" i="7"/>
  <c r="E12" i="7"/>
  <c r="E11" i="7"/>
  <c r="E10" i="7"/>
  <c r="E9" i="7"/>
  <c r="E8" i="7"/>
  <c r="E7" i="7"/>
  <c r="F3" i="7"/>
  <c r="E6" i="7"/>
  <c r="D3" i="16"/>
  <c r="E2" i="16"/>
  <c r="E2" i="17"/>
  <c r="D3" i="17"/>
  <c r="C9" i="15"/>
  <c r="C7" i="15"/>
  <c r="C8" i="15"/>
  <c r="B107" i="31" l="1"/>
  <c r="A111" i="31"/>
  <c r="E7" i="25"/>
  <c r="A4" i="16"/>
  <c r="Z2" i="30"/>
  <c r="Y3" i="30"/>
  <c r="R3" i="15"/>
  <c r="S2" i="15"/>
  <c r="A4" i="15"/>
  <c r="E5" i="7"/>
  <c r="E4" i="7" s="1"/>
  <c r="C6" i="4"/>
  <c r="U6" i="4" s="1"/>
  <c r="C5" i="3"/>
  <c r="AG5" i="3" s="1"/>
  <c r="E3" i="16"/>
  <c r="F2" i="16"/>
  <c r="G3" i="7"/>
  <c r="F6" i="7"/>
  <c r="F5" i="7"/>
  <c r="F13" i="7"/>
  <c r="F12" i="7"/>
  <c r="F11" i="7"/>
  <c r="F10" i="7"/>
  <c r="F9" i="7"/>
  <c r="F8" i="7"/>
  <c r="F7" i="7"/>
  <c r="F14" i="7"/>
  <c r="E3" i="17"/>
  <c r="F2" i="17"/>
  <c r="B111" i="31" l="1"/>
  <c r="A115" i="31"/>
  <c r="Z3" i="30"/>
  <c r="AA2" i="30"/>
  <c r="T2" i="15"/>
  <c r="S3" i="15"/>
  <c r="X6" i="4"/>
  <c r="U5" i="3"/>
  <c r="I6" i="4"/>
  <c r="G6" i="4"/>
  <c r="Y6" i="4"/>
  <c r="N6" i="4"/>
  <c r="W6" i="4"/>
  <c r="S5" i="3"/>
  <c r="F6" i="4"/>
  <c r="H6" i="4"/>
  <c r="AI5" i="3"/>
  <c r="V5" i="3"/>
  <c r="T5" i="3"/>
  <c r="AD5" i="3"/>
  <c r="E5" i="3"/>
  <c r="G5" i="3"/>
  <c r="I5" i="3"/>
  <c r="AD6" i="4"/>
  <c r="L6" i="4"/>
  <c r="AC6" i="4"/>
  <c r="J5" i="3"/>
  <c r="H5" i="3"/>
  <c r="Y5" i="3"/>
  <c r="K6" i="4"/>
  <c r="AA6" i="4"/>
  <c r="AB6" i="4"/>
  <c r="M6" i="4"/>
  <c r="F5" i="3"/>
  <c r="Z5" i="3"/>
  <c r="K5" i="3"/>
  <c r="AA5" i="3"/>
  <c r="L5" i="3"/>
  <c r="AB5" i="3"/>
  <c r="M5" i="3"/>
  <c r="AC5" i="3"/>
  <c r="J6" i="4"/>
  <c r="R6" i="4"/>
  <c r="O6" i="4"/>
  <c r="AE6" i="4"/>
  <c r="P6" i="4"/>
  <c r="AF6" i="4"/>
  <c r="Q6" i="4"/>
  <c r="AG6" i="4"/>
  <c r="C5" i="4"/>
  <c r="AH5" i="4" s="1"/>
  <c r="AH5" i="3"/>
  <c r="W5" i="3"/>
  <c r="X5" i="3"/>
  <c r="V6" i="4"/>
  <c r="R5" i="3"/>
  <c r="N5" i="3"/>
  <c r="O5" i="3"/>
  <c r="AE5" i="3"/>
  <c r="P5" i="3"/>
  <c r="AF5" i="3"/>
  <c r="Q5" i="3"/>
  <c r="Z6" i="4"/>
  <c r="AH6" i="4"/>
  <c r="S6" i="4"/>
  <c r="AI6" i="4"/>
  <c r="T6" i="4"/>
  <c r="E6" i="4"/>
  <c r="C6" i="3"/>
  <c r="T6" i="3" s="1"/>
  <c r="F4" i="7"/>
  <c r="F3" i="17"/>
  <c r="G2" i="17"/>
  <c r="G13" i="7"/>
  <c r="G12" i="7"/>
  <c r="G11" i="7"/>
  <c r="G10" i="7"/>
  <c r="G9" i="7"/>
  <c r="G8" i="7"/>
  <c r="G7" i="7"/>
  <c r="G14" i="7"/>
  <c r="G6" i="7"/>
  <c r="G5" i="7"/>
  <c r="H3" i="7"/>
  <c r="G2" i="16"/>
  <c r="F3" i="16"/>
  <c r="B115" i="31" l="1"/>
  <c r="A119" i="31"/>
  <c r="AB2" i="30"/>
  <c r="AA3" i="30"/>
  <c r="U2" i="15"/>
  <c r="T3" i="15"/>
  <c r="AE5" i="4"/>
  <c r="X6" i="3"/>
  <c r="AH6" i="3"/>
  <c r="AG5" i="4"/>
  <c r="Y5" i="4"/>
  <c r="W6" i="3"/>
  <c r="S5" i="4"/>
  <c r="O5" i="4"/>
  <c r="O6" i="3"/>
  <c r="L6" i="3"/>
  <c r="AC5" i="4"/>
  <c r="U5" i="4"/>
  <c r="Q6" i="3"/>
  <c r="J6" i="3"/>
  <c r="Q5" i="4"/>
  <c r="K5" i="4"/>
  <c r="M5" i="4"/>
  <c r="G5" i="4"/>
  <c r="I5" i="4"/>
  <c r="W5" i="4"/>
  <c r="AA5" i="4"/>
  <c r="R6" i="3"/>
  <c r="AF6" i="3"/>
  <c r="AD6" i="3"/>
  <c r="AA6" i="3"/>
  <c r="Y6" i="3"/>
  <c r="V6" i="3"/>
  <c r="I6" i="3"/>
  <c r="AF5" i="4"/>
  <c r="AD5" i="4"/>
  <c r="AB5" i="4"/>
  <c r="Z5" i="4"/>
  <c r="X5" i="4"/>
  <c r="F5" i="4"/>
  <c r="E5" i="4"/>
  <c r="AI6" i="3"/>
  <c r="AC6" i="3"/>
  <c r="P6" i="3"/>
  <c r="N6" i="3"/>
  <c r="K6" i="3"/>
  <c r="E6" i="3"/>
  <c r="H6" i="3"/>
  <c r="V5" i="4"/>
  <c r="AG6" i="3"/>
  <c r="D6" i="4"/>
  <c r="R5" i="4"/>
  <c r="P5" i="4"/>
  <c r="N5" i="4"/>
  <c r="L5" i="4"/>
  <c r="J5" i="4"/>
  <c r="H5" i="4"/>
  <c r="AI5" i="4"/>
  <c r="S6" i="3"/>
  <c r="U6" i="3"/>
  <c r="AE6" i="3"/>
  <c r="M6" i="3"/>
  <c r="AB6" i="3"/>
  <c r="Z6" i="3"/>
  <c r="T5" i="4"/>
  <c r="F6" i="3"/>
  <c r="G6" i="3"/>
  <c r="D5" i="3"/>
  <c r="C7" i="4"/>
  <c r="X7" i="4" s="1"/>
  <c r="G4" i="7"/>
  <c r="H14" i="7"/>
  <c r="H6" i="7"/>
  <c r="H5" i="7"/>
  <c r="H10" i="7"/>
  <c r="H7" i="7"/>
  <c r="H13" i="7"/>
  <c r="H12" i="7"/>
  <c r="H9" i="7"/>
  <c r="H11" i="7"/>
  <c r="H8" i="7"/>
  <c r="I3" i="7"/>
  <c r="H2" i="16"/>
  <c r="G3" i="16"/>
  <c r="H2" i="17"/>
  <c r="G3" i="17"/>
  <c r="A123" i="31" l="1"/>
  <c r="B119" i="31"/>
  <c r="AC2" i="30"/>
  <c r="AB3" i="30"/>
  <c r="U3" i="15"/>
  <c r="V2" i="15"/>
  <c r="O7" i="4"/>
  <c r="E7" i="4"/>
  <c r="C8" i="4"/>
  <c r="AE8" i="4" s="1"/>
  <c r="W7" i="4"/>
  <c r="AH7" i="4"/>
  <c r="AF7" i="4"/>
  <c r="S7" i="4"/>
  <c r="F7" i="4"/>
  <c r="N7" i="4"/>
  <c r="Z7" i="4"/>
  <c r="U7" i="4"/>
  <c r="L7" i="4"/>
  <c r="AG7" i="4"/>
  <c r="H7" i="4"/>
  <c r="M7" i="4"/>
  <c r="P7" i="4"/>
  <c r="I7" i="4"/>
  <c r="T7" i="4"/>
  <c r="Y7" i="4"/>
  <c r="G7" i="4"/>
  <c r="C7" i="3"/>
  <c r="AE7" i="3" s="1"/>
  <c r="AD7" i="4"/>
  <c r="K7" i="4"/>
  <c r="AI7" i="4"/>
  <c r="R7" i="4"/>
  <c r="D6" i="3"/>
  <c r="D5" i="4"/>
  <c r="V7" i="4"/>
  <c r="AE7" i="4"/>
  <c r="Q7" i="4"/>
  <c r="J7" i="4"/>
  <c r="AC7" i="4"/>
  <c r="AB7" i="4"/>
  <c r="AA7" i="4"/>
  <c r="I14" i="7"/>
  <c r="I13" i="7"/>
  <c r="I12" i="7"/>
  <c r="I11" i="7"/>
  <c r="I10" i="7"/>
  <c r="I9" i="7"/>
  <c r="I8" i="7"/>
  <c r="I7" i="7"/>
  <c r="J3" i="7"/>
  <c r="I6" i="7"/>
  <c r="I5" i="7"/>
  <c r="H4" i="7"/>
  <c r="H3" i="16"/>
  <c r="I2" i="16"/>
  <c r="I2" i="17"/>
  <c r="H3" i="17"/>
  <c r="B123" i="31" l="1"/>
  <c r="A127" i="31"/>
  <c r="AC3" i="30"/>
  <c r="AD2" i="30"/>
  <c r="V3" i="15"/>
  <c r="W2" i="15"/>
  <c r="AI8" i="4"/>
  <c r="H8" i="4"/>
  <c r="F8" i="4"/>
  <c r="N8" i="4"/>
  <c r="T8" i="4"/>
  <c r="AG8" i="4"/>
  <c r="J8" i="4"/>
  <c r="Z8" i="4"/>
  <c r="X8" i="4"/>
  <c r="L8" i="4"/>
  <c r="AB8" i="4"/>
  <c r="AD8" i="4"/>
  <c r="AF8" i="4"/>
  <c r="AH8" i="4"/>
  <c r="E8" i="4"/>
  <c r="G8" i="4"/>
  <c r="I8" i="4"/>
  <c r="K8" i="4"/>
  <c r="M8" i="4"/>
  <c r="O8" i="4"/>
  <c r="R8" i="4"/>
  <c r="V8" i="4"/>
  <c r="P8" i="4"/>
  <c r="Q8" i="4"/>
  <c r="S8" i="4"/>
  <c r="U8" i="4"/>
  <c r="W8" i="4"/>
  <c r="Y8" i="4"/>
  <c r="AA8" i="4"/>
  <c r="AC8" i="4"/>
  <c r="C8" i="3"/>
  <c r="R8" i="3" s="1"/>
  <c r="N7" i="3"/>
  <c r="F7" i="3"/>
  <c r="AA7" i="3"/>
  <c r="V7" i="3"/>
  <c r="AF7" i="3"/>
  <c r="E7" i="3"/>
  <c r="Z7" i="3"/>
  <c r="G7" i="3"/>
  <c r="K7" i="3"/>
  <c r="Y7" i="3"/>
  <c r="U7" i="3"/>
  <c r="S7" i="3"/>
  <c r="X7" i="3"/>
  <c r="I7" i="3"/>
  <c r="AB7" i="3"/>
  <c r="W7" i="3"/>
  <c r="J7" i="3"/>
  <c r="AG7" i="3"/>
  <c r="L7" i="3"/>
  <c r="T7" i="3"/>
  <c r="M7" i="3"/>
  <c r="H7" i="3"/>
  <c r="AC7" i="3"/>
  <c r="Q7" i="3"/>
  <c r="P7" i="3"/>
  <c r="AI7" i="3"/>
  <c r="AD7" i="3"/>
  <c r="R7" i="3"/>
  <c r="O7" i="3"/>
  <c r="AH7" i="3"/>
  <c r="D7" i="4"/>
  <c r="I3" i="16"/>
  <c r="J2" i="16"/>
  <c r="J14" i="7"/>
  <c r="K3" i="7"/>
  <c r="J13" i="7"/>
  <c r="J12" i="7"/>
  <c r="J11" i="7"/>
  <c r="J10" i="7"/>
  <c r="J9" i="7"/>
  <c r="J8" i="7"/>
  <c r="J7" i="7"/>
  <c r="J6" i="7"/>
  <c r="J5" i="7"/>
  <c r="I3" i="17"/>
  <c r="J2" i="17"/>
  <c r="I4" i="7"/>
  <c r="B127" i="31" l="1"/>
  <c r="A131" i="31"/>
  <c r="AD3" i="30"/>
  <c r="AE2" i="30"/>
  <c r="X2" i="15"/>
  <c r="W3" i="15"/>
  <c r="C9" i="4"/>
  <c r="N9" i="4" s="1"/>
  <c r="C10" i="3"/>
  <c r="AB10" i="3" s="1"/>
  <c r="C9" i="3"/>
  <c r="AG9" i="3" s="1"/>
  <c r="AB8" i="3"/>
  <c r="S8" i="3"/>
  <c r="AI8" i="3"/>
  <c r="AF8" i="3"/>
  <c r="N8" i="3"/>
  <c r="F8" i="3"/>
  <c r="W8" i="3"/>
  <c r="L8" i="3"/>
  <c r="AA8" i="3"/>
  <c r="AG8" i="3"/>
  <c r="Y8" i="3"/>
  <c r="Q8" i="3"/>
  <c r="I8" i="3"/>
  <c r="T8" i="3"/>
  <c r="J8" i="3"/>
  <c r="K8" i="3"/>
  <c r="G8" i="3"/>
  <c r="O8" i="3"/>
  <c r="AE8" i="3"/>
  <c r="AD8" i="3"/>
  <c r="AH8" i="3"/>
  <c r="X8" i="3"/>
  <c r="P8" i="3"/>
  <c r="H8" i="3"/>
  <c r="AC8" i="3"/>
  <c r="U8" i="3"/>
  <c r="M8" i="3"/>
  <c r="E8" i="3"/>
  <c r="V8" i="3"/>
  <c r="Z8" i="3"/>
  <c r="D8" i="4"/>
  <c r="D7" i="3"/>
  <c r="K13" i="7"/>
  <c r="K12" i="7"/>
  <c r="K11" i="7"/>
  <c r="K10" i="7"/>
  <c r="K9" i="7"/>
  <c r="K8" i="7"/>
  <c r="K7" i="7"/>
  <c r="K6" i="7"/>
  <c r="K14" i="7"/>
  <c r="K5" i="7"/>
  <c r="L3" i="7"/>
  <c r="K2" i="16"/>
  <c r="J3" i="16"/>
  <c r="J3" i="17"/>
  <c r="K2" i="17"/>
  <c r="J4" i="7"/>
  <c r="B131" i="31" l="1"/>
  <c r="A135" i="31"/>
  <c r="AF2" i="30"/>
  <c r="AE3" i="30"/>
  <c r="Y2" i="15"/>
  <c r="X3" i="15"/>
  <c r="G9" i="3"/>
  <c r="H9" i="4"/>
  <c r="R10" i="3"/>
  <c r="C11" i="4"/>
  <c r="K11" i="4" s="1"/>
  <c r="W10" i="3"/>
  <c r="P9" i="4"/>
  <c r="AE10" i="3"/>
  <c r="I9" i="4"/>
  <c r="AI10" i="3"/>
  <c r="X9" i="4"/>
  <c r="U10" i="3"/>
  <c r="T10" i="3"/>
  <c r="X10" i="3"/>
  <c r="AF10" i="3"/>
  <c r="V9" i="4"/>
  <c r="F9" i="4"/>
  <c r="U9" i="4"/>
  <c r="Z10" i="3"/>
  <c r="E10" i="3"/>
  <c r="I10" i="3"/>
  <c r="K10" i="3"/>
  <c r="AH9" i="4"/>
  <c r="O9" i="4"/>
  <c r="AG9" i="4"/>
  <c r="G9" i="4"/>
  <c r="L10" i="3"/>
  <c r="V10" i="3"/>
  <c r="AD10" i="3"/>
  <c r="Y10" i="3"/>
  <c r="L9" i="4"/>
  <c r="AA9" i="4"/>
  <c r="AI9" i="4"/>
  <c r="AD9" i="4"/>
  <c r="AG10" i="3"/>
  <c r="Q10" i="3"/>
  <c r="AC10" i="3"/>
  <c r="G10" i="3"/>
  <c r="M10" i="3"/>
  <c r="O10" i="3"/>
  <c r="J10" i="3"/>
  <c r="AH10" i="3"/>
  <c r="AF9" i="4"/>
  <c r="T9" i="4"/>
  <c r="Z9" i="4"/>
  <c r="AE9" i="4"/>
  <c r="J9" i="4"/>
  <c r="W9" i="4"/>
  <c r="Y9" i="4"/>
  <c r="AB9" i="4"/>
  <c r="AA10" i="3"/>
  <c r="S10" i="3"/>
  <c r="F10" i="3"/>
  <c r="H10" i="3"/>
  <c r="N10" i="3"/>
  <c r="P10" i="3"/>
  <c r="C10" i="4"/>
  <c r="AI10" i="4" s="1"/>
  <c r="S9" i="4"/>
  <c r="AC9" i="4"/>
  <c r="R9" i="4"/>
  <c r="M9" i="4"/>
  <c r="Q9" i="4"/>
  <c r="E9" i="4"/>
  <c r="K9" i="4"/>
  <c r="M9" i="3"/>
  <c r="S9" i="3"/>
  <c r="F9" i="3"/>
  <c r="W9" i="3"/>
  <c r="AB9" i="3"/>
  <c r="I9" i="3"/>
  <c r="AD9" i="3"/>
  <c r="L9" i="3"/>
  <c r="U9" i="3"/>
  <c r="T9" i="3"/>
  <c r="K9" i="3"/>
  <c r="Z9" i="3"/>
  <c r="V9" i="3"/>
  <c r="O9" i="3"/>
  <c r="AH9" i="3"/>
  <c r="Q9" i="3"/>
  <c r="AF9" i="3"/>
  <c r="AI9" i="3"/>
  <c r="P9" i="3"/>
  <c r="R9" i="3"/>
  <c r="AA9" i="3"/>
  <c r="AE9" i="3"/>
  <c r="Y9" i="3"/>
  <c r="AC9" i="3"/>
  <c r="J9" i="3"/>
  <c r="X9" i="3"/>
  <c r="N9" i="3"/>
  <c r="H9" i="3"/>
  <c r="E9" i="3"/>
  <c r="D8" i="3"/>
  <c r="L14" i="7"/>
  <c r="L13" i="7"/>
  <c r="L12" i="7"/>
  <c r="L11" i="7"/>
  <c r="L10" i="7"/>
  <c r="L9" i="7"/>
  <c r="L8" i="7"/>
  <c r="L7" i="7"/>
  <c r="L6" i="7"/>
  <c r="M3" i="7"/>
  <c r="L5" i="7"/>
  <c r="L2" i="17"/>
  <c r="K3" i="17"/>
  <c r="K4" i="7"/>
  <c r="L2" i="16"/>
  <c r="K3" i="16"/>
  <c r="C11" i="3"/>
  <c r="AH11" i="3" s="1"/>
  <c r="C12" i="4"/>
  <c r="B135" i="31" l="1"/>
  <c r="A139" i="31"/>
  <c r="AG2" i="30"/>
  <c r="AF3" i="30"/>
  <c r="Y3" i="15"/>
  <c r="Z2" i="15"/>
  <c r="F11" i="4"/>
  <c r="H11" i="4"/>
  <c r="AB11" i="4"/>
  <c r="R11" i="4"/>
  <c r="T11" i="4"/>
  <c r="Z11" i="4"/>
  <c r="AD11" i="4"/>
  <c r="AE11" i="4"/>
  <c r="U11" i="4"/>
  <c r="P11" i="4"/>
  <c r="V11" i="4"/>
  <c r="AA11" i="4"/>
  <c r="O11" i="4"/>
  <c r="S11" i="4"/>
  <c r="X11" i="4"/>
  <c r="Y11" i="4"/>
  <c r="E11" i="4"/>
  <c r="AC11" i="4"/>
  <c r="AI11" i="4"/>
  <c r="Q11" i="4"/>
  <c r="M11" i="4"/>
  <c r="W11" i="4"/>
  <c r="J11" i="4"/>
  <c r="L11" i="4"/>
  <c r="AF11" i="4"/>
  <c r="AH11" i="4"/>
  <c r="N11" i="4"/>
  <c r="G11" i="4"/>
  <c r="I11" i="4"/>
  <c r="AG11" i="4"/>
  <c r="J10" i="4"/>
  <c r="G10" i="4"/>
  <c r="D10" i="3"/>
  <c r="F10" i="4"/>
  <c r="AC10" i="4"/>
  <c r="R10" i="4"/>
  <c r="O10" i="4"/>
  <c r="N10" i="4"/>
  <c r="D9" i="4"/>
  <c r="M10" i="4"/>
  <c r="E10" i="4"/>
  <c r="L10" i="4"/>
  <c r="U10" i="4"/>
  <c r="AB10" i="4"/>
  <c r="AG10" i="4"/>
  <c r="K10" i="4"/>
  <c r="V10" i="4"/>
  <c r="AH10" i="4"/>
  <c r="S10" i="4"/>
  <c r="Z10" i="4"/>
  <c r="AE10" i="4"/>
  <c r="Q10" i="4"/>
  <c r="I10" i="4"/>
  <c r="P10" i="4"/>
  <c r="H10" i="4"/>
  <c r="AF10" i="4"/>
  <c r="X10" i="4"/>
  <c r="AA10" i="4"/>
  <c r="AD10" i="4"/>
  <c r="T10" i="4"/>
  <c r="Y10" i="4"/>
  <c r="W10" i="4"/>
  <c r="D9" i="3"/>
  <c r="L4" i="7"/>
  <c r="M14" i="7"/>
  <c r="M13" i="7"/>
  <c r="M12" i="7"/>
  <c r="M11" i="7"/>
  <c r="M10" i="7"/>
  <c r="M9" i="7"/>
  <c r="M8" i="7"/>
  <c r="M7" i="7"/>
  <c r="M6" i="7"/>
  <c r="N3" i="7"/>
  <c r="M5" i="7"/>
  <c r="L3" i="16"/>
  <c r="M2" i="16"/>
  <c r="M2" i="17"/>
  <c r="L3" i="17"/>
  <c r="K11" i="3"/>
  <c r="Q11" i="3"/>
  <c r="U11" i="3"/>
  <c r="M11" i="3"/>
  <c r="I11" i="3"/>
  <c r="O11" i="3"/>
  <c r="G11" i="3"/>
  <c r="S11" i="3"/>
  <c r="C12" i="3"/>
  <c r="N12" i="3" s="1"/>
  <c r="C13" i="4"/>
  <c r="V11" i="3"/>
  <c r="Y11" i="3"/>
  <c r="AA11" i="3"/>
  <c r="W11" i="3"/>
  <c r="AC11" i="3"/>
  <c r="AE11" i="3"/>
  <c r="AG11" i="3"/>
  <c r="AI11" i="3"/>
  <c r="AB11" i="3"/>
  <c r="J11" i="3"/>
  <c r="E11" i="3"/>
  <c r="AF11" i="3"/>
  <c r="N11" i="3"/>
  <c r="L11" i="3"/>
  <c r="R11" i="3"/>
  <c r="P11" i="3"/>
  <c r="T11" i="3"/>
  <c r="Z11" i="3"/>
  <c r="F11" i="3"/>
  <c r="H11" i="3"/>
  <c r="AD11" i="3"/>
  <c r="X11" i="3"/>
  <c r="T12" i="4"/>
  <c r="W12" i="4"/>
  <c r="G12" i="4"/>
  <c r="V12" i="4"/>
  <c r="F12" i="4"/>
  <c r="U12" i="4"/>
  <c r="E12" i="4"/>
  <c r="H12" i="4"/>
  <c r="AI12" i="4"/>
  <c r="AH12" i="4"/>
  <c r="AG12" i="4"/>
  <c r="AB12" i="4"/>
  <c r="AE12" i="4"/>
  <c r="O12" i="4"/>
  <c r="AD12" i="4"/>
  <c r="N12" i="4"/>
  <c r="AC12" i="4"/>
  <c r="M12" i="4"/>
  <c r="L12" i="4"/>
  <c r="AF12" i="4"/>
  <c r="AA12" i="4"/>
  <c r="K12" i="4"/>
  <c r="Z12" i="4"/>
  <c r="J12" i="4"/>
  <c r="Y12" i="4"/>
  <c r="I12" i="4"/>
  <c r="X12" i="4"/>
  <c r="P12" i="4"/>
  <c r="S12" i="4"/>
  <c r="R12" i="4"/>
  <c r="Q12" i="4"/>
  <c r="B139" i="31" l="1"/>
  <c r="A143" i="31"/>
  <c r="AG3" i="30"/>
  <c r="AH2" i="30"/>
  <c r="Z3" i="15"/>
  <c r="AA2" i="15"/>
  <c r="D11" i="4"/>
  <c r="D10" i="4"/>
  <c r="O3" i="7"/>
  <c r="N5" i="7"/>
  <c r="N14" i="7"/>
  <c r="N13" i="7"/>
  <c r="N12" i="7"/>
  <c r="N11" i="7"/>
  <c r="N10" i="7"/>
  <c r="N9" i="7"/>
  <c r="N8" i="7"/>
  <c r="N7" i="7"/>
  <c r="N6" i="7"/>
  <c r="M3" i="17"/>
  <c r="N2" i="17"/>
  <c r="M3" i="16"/>
  <c r="N2" i="16"/>
  <c r="M4" i="7"/>
  <c r="AH12" i="3"/>
  <c r="AB12" i="3"/>
  <c r="E12" i="3"/>
  <c r="AD12" i="3"/>
  <c r="J12" i="3"/>
  <c r="AA12" i="3"/>
  <c r="AF12" i="3"/>
  <c r="Z12" i="3"/>
  <c r="K12" i="3"/>
  <c r="Q12" i="3"/>
  <c r="O12" i="3"/>
  <c r="U12" i="3"/>
  <c r="H12" i="3"/>
  <c r="AE12" i="3"/>
  <c r="M12" i="3"/>
  <c r="S12" i="3"/>
  <c r="G12" i="3"/>
  <c r="AG12" i="3"/>
  <c r="W12" i="3"/>
  <c r="F12" i="3"/>
  <c r="X12" i="3"/>
  <c r="AI12" i="3"/>
  <c r="AC12" i="3"/>
  <c r="I12" i="3"/>
  <c r="P12" i="3"/>
  <c r="R12" i="3"/>
  <c r="T12" i="3"/>
  <c r="V12" i="3"/>
  <c r="Y12" i="3"/>
  <c r="L12" i="3"/>
  <c r="C13" i="3"/>
  <c r="I13" i="3" s="1"/>
  <c r="D11" i="3"/>
  <c r="C14" i="3"/>
  <c r="C14" i="4"/>
  <c r="V13" i="4"/>
  <c r="F13" i="4"/>
  <c r="U13" i="4"/>
  <c r="E13" i="4"/>
  <c r="T13" i="4"/>
  <c r="AA13" i="4"/>
  <c r="AI13" i="4"/>
  <c r="AH13" i="4"/>
  <c r="AG13" i="4"/>
  <c r="Q13" i="4"/>
  <c r="P13" i="4"/>
  <c r="K13" i="4"/>
  <c r="Z13" i="4"/>
  <c r="Y13" i="4"/>
  <c r="H13" i="4"/>
  <c r="R13" i="4"/>
  <c r="AF13" i="4"/>
  <c r="S13" i="4"/>
  <c r="G13" i="4"/>
  <c r="AD13" i="4"/>
  <c r="N13" i="4"/>
  <c r="AC13" i="4"/>
  <c r="M13" i="4"/>
  <c r="AB13" i="4"/>
  <c r="L13" i="4"/>
  <c r="W13" i="4"/>
  <c r="AE13" i="4"/>
  <c r="J13" i="4"/>
  <c r="I13" i="4"/>
  <c r="X13" i="4"/>
  <c r="O13" i="4"/>
  <c r="D12" i="4"/>
  <c r="B143" i="31" l="1"/>
  <c r="A147" i="31"/>
  <c r="AH3" i="30"/>
  <c r="AI2" i="30"/>
  <c r="AB2" i="15"/>
  <c r="AA3" i="15"/>
  <c r="Y13" i="3"/>
  <c r="O2" i="16"/>
  <c r="N3" i="16"/>
  <c r="N4" i="7"/>
  <c r="N3" i="17"/>
  <c r="O2" i="17"/>
  <c r="O14" i="7"/>
  <c r="O13" i="7"/>
  <c r="O12" i="7"/>
  <c r="O11" i="7"/>
  <c r="O10" i="7"/>
  <c r="O9" i="7"/>
  <c r="O8" i="7"/>
  <c r="O7" i="7"/>
  <c r="O6" i="7"/>
  <c r="O5" i="7"/>
  <c r="P3" i="7"/>
  <c r="U13" i="3"/>
  <c r="Q13" i="3"/>
  <c r="W13" i="3"/>
  <c r="D12" i="3"/>
  <c r="L13" i="3"/>
  <c r="AC13" i="3"/>
  <c r="O13" i="3"/>
  <c r="E13" i="3"/>
  <c r="M13" i="3"/>
  <c r="AE13" i="3"/>
  <c r="AG13" i="3"/>
  <c r="AD13" i="3"/>
  <c r="N13" i="3"/>
  <c r="Z13" i="3"/>
  <c r="H13" i="3"/>
  <c r="AH13" i="3"/>
  <c r="J13" i="3"/>
  <c r="P13" i="3"/>
  <c r="S13" i="3"/>
  <c r="K13" i="3"/>
  <c r="V13" i="3"/>
  <c r="R13" i="3"/>
  <c r="X13" i="3"/>
  <c r="AA13" i="3"/>
  <c r="F13" i="3"/>
  <c r="AF13" i="3"/>
  <c r="T13" i="3"/>
  <c r="AB13" i="3"/>
  <c r="AI13" i="3"/>
  <c r="G13" i="3"/>
  <c r="C15" i="3"/>
  <c r="AC14" i="4"/>
  <c r="M14" i="4"/>
  <c r="AB14" i="4"/>
  <c r="L14" i="4"/>
  <c r="AA14" i="4"/>
  <c r="K14" i="4"/>
  <c r="V14" i="4"/>
  <c r="AD14" i="4"/>
  <c r="U14" i="4"/>
  <c r="AI14" i="4"/>
  <c r="Z14" i="4"/>
  <c r="AH14" i="4"/>
  <c r="Q14" i="4"/>
  <c r="O14" i="4"/>
  <c r="Y14" i="4"/>
  <c r="I14" i="4"/>
  <c r="X14" i="4"/>
  <c r="H14" i="4"/>
  <c r="W14" i="4"/>
  <c r="G14" i="4"/>
  <c r="F14" i="4"/>
  <c r="N14" i="4"/>
  <c r="T14" i="4"/>
  <c r="S14" i="4"/>
  <c r="AG14" i="4"/>
  <c r="AF14" i="4"/>
  <c r="AE14" i="4"/>
  <c r="J14" i="4"/>
  <c r="E14" i="4"/>
  <c r="P14" i="4"/>
  <c r="R14" i="4"/>
  <c r="W14" i="3"/>
  <c r="F14" i="3"/>
  <c r="T14" i="3"/>
  <c r="AI14" i="3"/>
  <c r="S14" i="3"/>
  <c r="AH14" i="3"/>
  <c r="R14" i="3"/>
  <c r="U14" i="3"/>
  <c r="M14" i="3"/>
  <c r="L14" i="3"/>
  <c r="K14" i="3"/>
  <c r="J14" i="3"/>
  <c r="AC14" i="3"/>
  <c r="G14" i="3"/>
  <c r="AF14" i="3"/>
  <c r="P14" i="3"/>
  <c r="AE14" i="3"/>
  <c r="O14" i="3"/>
  <c r="AD14" i="3"/>
  <c r="N14" i="3"/>
  <c r="E14" i="3"/>
  <c r="I14" i="3"/>
  <c r="AB14" i="3"/>
  <c r="AA14" i="3"/>
  <c r="Z14" i="3"/>
  <c r="AG14" i="3"/>
  <c r="X14" i="3"/>
  <c r="H14" i="3"/>
  <c r="V14" i="3"/>
  <c r="Q14" i="3"/>
  <c r="Y14" i="3"/>
  <c r="D13" i="4"/>
  <c r="A151" i="31" l="1"/>
  <c r="B147" i="31"/>
  <c r="AI3" i="30"/>
  <c r="AJ2" i="30"/>
  <c r="AC2" i="15"/>
  <c r="AB3" i="15"/>
  <c r="P2" i="16"/>
  <c r="O3" i="16"/>
  <c r="P2" i="17"/>
  <c r="O3" i="17"/>
  <c r="P5" i="7"/>
  <c r="P14" i="7"/>
  <c r="P13" i="7"/>
  <c r="P12" i="7"/>
  <c r="P11" i="7"/>
  <c r="P10" i="7"/>
  <c r="P9" i="7"/>
  <c r="P8" i="7"/>
  <c r="P7" i="7"/>
  <c r="P6" i="7"/>
  <c r="Q3" i="7"/>
  <c r="O4" i="7"/>
  <c r="C15" i="4"/>
  <c r="AH15" i="4" s="1"/>
  <c r="D13" i="3"/>
  <c r="G15" i="3"/>
  <c r="F15" i="3"/>
  <c r="E15" i="3"/>
  <c r="AI15" i="3"/>
  <c r="S15" i="3"/>
  <c r="AH15" i="3"/>
  <c r="R15" i="3"/>
  <c r="AG15" i="3"/>
  <c r="Q15" i="3"/>
  <c r="T15" i="3"/>
  <c r="H15" i="3"/>
  <c r="AF15" i="3"/>
  <c r="AE15" i="3"/>
  <c r="O15" i="3"/>
  <c r="AD15" i="3"/>
  <c r="N15" i="3"/>
  <c r="AC15" i="3"/>
  <c r="M15" i="3"/>
  <c r="AB15" i="3"/>
  <c r="AA15" i="3"/>
  <c r="K15" i="3"/>
  <c r="Z15" i="3"/>
  <c r="J15" i="3"/>
  <c r="Y15" i="3"/>
  <c r="I15" i="3"/>
  <c r="P15" i="3"/>
  <c r="X15" i="3"/>
  <c r="W15" i="3"/>
  <c r="V15" i="3"/>
  <c r="U15" i="3"/>
  <c r="L15" i="3"/>
  <c r="D14" i="4"/>
  <c r="D14" i="3"/>
  <c r="A155" i="31" l="1"/>
  <c r="B151" i="31"/>
  <c r="AK2" i="30"/>
  <c r="AJ3" i="30"/>
  <c r="AC3" i="15"/>
  <c r="AD2" i="15"/>
  <c r="Q14" i="7"/>
  <c r="Q13" i="7"/>
  <c r="Q12" i="7"/>
  <c r="Q11" i="7"/>
  <c r="Q10" i="7"/>
  <c r="Q9" i="7"/>
  <c r="Q8" i="7"/>
  <c r="Q7" i="7"/>
  <c r="Q6" i="7"/>
  <c r="R3" i="7"/>
  <c r="Q5" i="7"/>
  <c r="Q2" i="17"/>
  <c r="P3" i="17"/>
  <c r="P4" i="7"/>
  <c r="P3" i="16"/>
  <c r="Q2" i="16"/>
  <c r="Z15" i="4"/>
  <c r="AI15" i="4"/>
  <c r="R15" i="4"/>
  <c r="K15" i="4"/>
  <c r="W15" i="4"/>
  <c r="P15" i="4"/>
  <c r="E15" i="4"/>
  <c r="N15" i="4"/>
  <c r="S15" i="4"/>
  <c r="F15" i="4"/>
  <c r="H15" i="4"/>
  <c r="AA15" i="4"/>
  <c r="L15" i="4"/>
  <c r="AD15" i="4"/>
  <c r="AF15" i="4"/>
  <c r="J15" i="4"/>
  <c r="T15" i="4"/>
  <c r="V15" i="4"/>
  <c r="X15" i="4"/>
  <c r="AB15" i="4"/>
  <c r="Q15" i="4"/>
  <c r="O15" i="4"/>
  <c r="AG15" i="4"/>
  <c r="Y15" i="4"/>
  <c r="M15" i="4"/>
  <c r="G15" i="4"/>
  <c r="AC15" i="4"/>
  <c r="U15" i="4"/>
  <c r="I15" i="4"/>
  <c r="AE15" i="4"/>
  <c r="C16" i="3"/>
  <c r="AA16" i="3" s="1"/>
  <c r="C16" i="4"/>
  <c r="AB16" i="4" s="1"/>
  <c r="D15" i="3"/>
  <c r="B155" i="31" l="1"/>
  <c r="A159" i="31"/>
  <c r="B159" i="31" s="1"/>
  <c r="AL2" i="30"/>
  <c r="AK3" i="30"/>
  <c r="AD3" i="15"/>
  <c r="AE2" i="15"/>
  <c r="Q3" i="17"/>
  <c r="R2" i="17"/>
  <c r="Q4" i="7"/>
  <c r="R14" i="7"/>
  <c r="R13" i="7"/>
  <c r="S3" i="7"/>
  <c r="R12" i="7"/>
  <c r="R11" i="7"/>
  <c r="R10" i="7"/>
  <c r="R9" i="7"/>
  <c r="R8" i="7"/>
  <c r="R7" i="7"/>
  <c r="R6" i="7"/>
  <c r="R5" i="7"/>
  <c r="Q3" i="16"/>
  <c r="R2" i="16"/>
  <c r="G16" i="3"/>
  <c r="O16" i="3"/>
  <c r="D15" i="4"/>
  <c r="K16" i="3"/>
  <c r="AB16" i="3"/>
  <c r="R16" i="4"/>
  <c r="Q16" i="3"/>
  <c r="Y16" i="3"/>
  <c r="L16" i="3"/>
  <c r="AI16" i="3"/>
  <c r="T16" i="3"/>
  <c r="M16" i="3"/>
  <c r="AG16" i="3"/>
  <c r="H16" i="3"/>
  <c r="AD16" i="3"/>
  <c r="R16" i="3"/>
  <c r="Z16" i="4"/>
  <c r="S16" i="3"/>
  <c r="U16" i="3"/>
  <c r="J16" i="3"/>
  <c r="AC16" i="3"/>
  <c r="P16" i="3"/>
  <c r="E16" i="3"/>
  <c r="F16" i="3"/>
  <c r="X16" i="3"/>
  <c r="Z16" i="3"/>
  <c r="AE16" i="3"/>
  <c r="N16" i="3"/>
  <c r="AF16" i="3"/>
  <c r="AH16" i="3"/>
  <c r="V16" i="3"/>
  <c r="W16" i="3"/>
  <c r="I16" i="3"/>
  <c r="AC16" i="4"/>
  <c r="M16" i="4"/>
  <c r="V16" i="4"/>
  <c r="E16" i="4"/>
  <c r="P16" i="4"/>
  <c r="T16" i="4"/>
  <c r="AD16" i="4"/>
  <c r="Q16" i="4"/>
  <c r="S16" i="4"/>
  <c r="U16" i="4"/>
  <c r="W16" i="4"/>
  <c r="Y16" i="4"/>
  <c r="AA16" i="4"/>
  <c r="N16" i="4"/>
  <c r="X16" i="4"/>
  <c r="AH16" i="4"/>
  <c r="AF16" i="4"/>
  <c r="G16" i="4"/>
  <c r="I16" i="4"/>
  <c r="K16" i="4"/>
  <c r="O16" i="4"/>
  <c r="H16" i="4"/>
  <c r="AE16" i="4"/>
  <c r="AG16" i="4"/>
  <c r="AI16" i="4"/>
  <c r="F16" i="4"/>
  <c r="L16" i="4"/>
  <c r="J16" i="4"/>
  <c r="C17" i="3"/>
  <c r="I17" i="3" s="1"/>
  <c r="C17" i="4"/>
  <c r="V17" i="4" s="1"/>
  <c r="C18" i="3"/>
  <c r="C18" i="4"/>
  <c r="AL3" i="30" l="1"/>
  <c r="AM2" i="30"/>
  <c r="AF2" i="15"/>
  <c r="AE3" i="15"/>
  <c r="R4" i="7"/>
  <c r="S12" i="7"/>
  <c r="S11" i="7"/>
  <c r="S10" i="7"/>
  <c r="S9" i="7"/>
  <c r="S8" i="7"/>
  <c r="S7" i="7"/>
  <c r="S6" i="7"/>
  <c r="S5" i="7"/>
  <c r="S14" i="7"/>
  <c r="S13" i="7"/>
  <c r="T3" i="7"/>
  <c r="R3" i="17"/>
  <c r="S2" i="17"/>
  <c r="S2" i="16"/>
  <c r="R3" i="16"/>
  <c r="D16" i="3"/>
  <c r="D16" i="4"/>
  <c r="J17" i="3"/>
  <c r="AD17" i="4"/>
  <c r="AC17" i="3"/>
  <c r="M17" i="3"/>
  <c r="U17" i="3"/>
  <c r="AE17" i="3"/>
  <c r="W17" i="3"/>
  <c r="AG17" i="3"/>
  <c r="Y17" i="3"/>
  <c r="F17" i="3"/>
  <c r="P17" i="3"/>
  <c r="AH17" i="3"/>
  <c r="V17" i="3"/>
  <c r="H17" i="3"/>
  <c r="AD17" i="3"/>
  <c r="K17" i="3"/>
  <c r="R17" i="3"/>
  <c r="AF17" i="3"/>
  <c r="T17" i="3"/>
  <c r="AI17" i="3"/>
  <c r="N17" i="3"/>
  <c r="X17" i="3"/>
  <c r="Z17" i="3"/>
  <c r="S17" i="3"/>
  <c r="L17" i="3"/>
  <c r="AB17" i="3"/>
  <c r="O17" i="3"/>
  <c r="Q17" i="3"/>
  <c r="AA17" i="3"/>
  <c r="E17" i="3"/>
  <c r="G17" i="3"/>
  <c r="K17" i="4"/>
  <c r="AF17" i="4"/>
  <c r="X17" i="4"/>
  <c r="L17" i="4"/>
  <c r="I17" i="4"/>
  <c r="AB17" i="4"/>
  <c r="AH17" i="4"/>
  <c r="Z17" i="4"/>
  <c r="N17" i="4"/>
  <c r="E17" i="4"/>
  <c r="S17" i="4"/>
  <c r="Y17" i="4"/>
  <c r="AA17" i="4"/>
  <c r="M17" i="4"/>
  <c r="O17" i="4"/>
  <c r="Q17" i="4"/>
  <c r="AE17" i="4"/>
  <c r="U17" i="4"/>
  <c r="H17" i="4"/>
  <c r="J17" i="4"/>
  <c r="AI17" i="4"/>
  <c r="AC17" i="4"/>
  <c r="G17" i="4"/>
  <c r="AG17" i="4"/>
  <c r="W17" i="4"/>
  <c r="F17" i="4"/>
  <c r="P17" i="4"/>
  <c r="R17" i="4"/>
  <c r="T17" i="4"/>
  <c r="E18" i="3"/>
  <c r="AB18" i="3"/>
  <c r="L18" i="3"/>
  <c r="AA18" i="3"/>
  <c r="K18" i="3"/>
  <c r="Z18" i="3"/>
  <c r="J18" i="3"/>
  <c r="AC18" i="3"/>
  <c r="Y18" i="3"/>
  <c r="X18" i="3"/>
  <c r="H18" i="3"/>
  <c r="W18" i="3"/>
  <c r="G18" i="3"/>
  <c r="V18" i="3"/>
  <c r="F18" i="3"/>
  <c r="M18" i="3"/>
  <c r="U18" i="3"/>
  <c r="T18" i="3"/>
  <c r="AI18" i="3"/>
  <c r="S18" i="3"/>
  <c r="AH18" i="3"/>
  <c r="R18" i="3"/>
  <c r="AG18" i="3"/>
  <c r="I18" i="3"/>
  <c r="AF18" i="3"/>
  <c r="P18" i="3"/>
  <c r="AE18" i="3"/>
  <c r="O18" i="3"/>
  <c r="AD18" i="3"/>
  <c r="N18" i="3"/>
  <c r="Q18" i="3"/>
  <c r="C19" i="4"/>
  <c r="C19" i="3"/>
  <c r="AG18" i="4"/>
  <c r="Q18" i="4"/>
  <c r="AF18" i="4"/>
  <c r="P18" i="4"/>
  <c r="AE18" i="4"/>
  <c r="O18" i="4"/>
  <c r="F18" i="4"/>
  <c r="N18" i="4"/>
  <c r="AC18" i="4"/>
  <c r="M18" i="4"/>
  <c r="AB18" i="4"/>
  <c r="L18" i="4"/>
  <c r="AA18" i="4"/>
  <c r="K18" i="4"/>
  <c r="AH18" i="4"/>
  <c r="Z18" i="4"/>
  <c r="Y18" i="4"/>
  <c r="I18" i="4"/>
  <c r="X18" i="4"/>
  <c r="H18" i="4"/>
  <c r="W18" i="4"/>
  <c r="G18" i="4"/>
  <c r="R18" i="4"/>
  <c r="J18" i="4"/>
  <c r="U18" i="4"/>
  <c r="E18" i="4"/>
  <c r="T18" i="4"/>
  <c r="AI18" i="4"/>
  <c r="S18" i="4"/>
  <c r="V18" i="4"/>
  <c r="AD18" i="4"/>
  <c r="AM3" i="30" l="1"/>
  <c r="AN2" i="30"/>
  <c r="AG2" i="15"/>
  <c r="AF3" i="15"/>
  <c r="T2" i="16"/>
  <c r="S3" i="16"/>
  <c r="T2" i="17"/>
  <c r="S3" i="17"/>
  <c r="S4" i="7"/>
  <c r="T14" i="7"/>
  <c r="T13" i="7"/>
  <c r="T12" i="7"/>
  <c r="T11" i="7"/>
  <c r="T10" i="7"/>
  <c r="T9" i="7"/>
  <c r="T8" i="7"/>
  <c r="T7" i="7"/>
  <c r="T6" i="7"/>
  <c r="U3" i="7"/>
  <c r="T5" i="7"/>
  <c r="D17" i="3"/>
  <c r="D17" i="4"/>
  <c r="X19" i="4"/>
  <c r="H19" i="4"/>
  <c r="W19" i="4"/>
  <c r="G19" i="4"/>
  <c r="V19" i="4"/>
  <c r="F19" i="4"/>
  <c r="Q19" i="4"/>
  <c r="I19" i="4"/>
  <c r="T19" i="4"/>
  <c r="AI19" i="4"/>
  <c r="S19" i="4"/>
  <c r="AH19" i="4"/>
  <c r="R19" i="4"/>
  <c r="U19" i="4"/>
  <c r="AC19" i="4"/>
  <c r="AF19" i="4"/>
  <c r="N19" i="4"/>
  <c r="M19" i="4"/>
  <c r="P19" i="4"/>
  <c r="AE19" i="4"/>
  <c r="O19" i="4"/>
  <c r="AD19" i="4"/>
  <c r="E19" i="4"/>
  <c r="AB19" i="4"/>
  <c r="L19" i="4"/>
  <c r="AA19" i="4"/>
  <c r="K19" i="4"/>
  <c r="Z19" i="4"/>
  <c r="J19" i="4"/>
  <c r="AG19" i="4"/>
  <c r="Y19" i="4"/>
  <c r="C20" i="4"/>
  <c r="C20" i="3"/>
  <c r="D18" i="4"/>
  <c r="O19" i="3"/>
  <c r="AC19" i="3"/>
  <c r="X19" i="3"/>
  <c r="W19" i="3"/>
  <c r="F19" i="3"/>
  <c r="E19" i="3"/>
  <c r="AA19" i="3"/>
  <c r="K19" i="3"/>
  <c r="Z19" i="3"/>
  <c r="J19" i="3"/>
  <c r="Y19" i="3"/>
  <c r="I19" i="3"/>
  <c r="AB19" i="3"/>
  <c r="T19" i="3"/>
  <c r="V19" i="3"/>
  <c r="G19" i="3"/>
  <c r="U19" i="3"/>
  <c r="L19" i="3"/>
  <c r="AI19" i="3"/>
  <c r="S19" i="3"/>
  <c r="AH19" i="3"/>
  <c r="R19" i="3"/>
  <c r="AG19" i="3"/>
  <c r="Q19" i="3"/>
  <c r="AF19" i="3"/>
  <c r="H19" i="3"/>
  <c r="AE19" i="3"/>
  <c r="AD19" i="3"/>
  <c r="N19" i="3"/>
  <c r="M19" i="3"/>
  <c r="P19" i="3"/>
  <c r="D18" i="3"/>
  <c r="AO2" i="30" l="1"/>
  <c r="AN3" i="30"/>
  <c r="AG3" i="15"/>
  <c r="AH2" i="15"/>
  <c r="AH3" i="15" s="1"/>
  <c r="T4" i="7"/>
  <c r="U2" i="17"/>
  <c r="T3" i="17"/>
  <c r="U14" i="7"/>
  <c r="U13" i="7"/>
  <c r="U12" i="7"/>
  <c r="U11" i="7"/>
  <c r="U10" i="7"/>
  <c r="U9" i="7"/>
  <c r="U8" i="7"/>
  <c r="U7" i="7"/>
  <c r="U6" i="7"/>
  <c r="V3" i="7"/>
  <c r="U5" i="7"/>
  <c r="T3" i="16"/>
  <c r="U2" i="16"/>
  <c r="D19" i="3"/>
  <c r="G20" i="4"/>
  <c r="F20" i="4"/>
  <c r="E20" i="4"/>
  <c r="AI20" i="4"/>
  <c r="S20" i="4"/>
  <c r="AH20" i="4"/>
  <c r="R20" i="4"/>
  <c r="AG20" i="4"/>
  <c r="Q20" i="4"/>
  <c r="T20" i="4"/>
  <c r="L20" i="4"/>
  <c r="O20" i="4"/>
  <c r="AD20" i="4"/>
  <c r="AC20" i="4"/>
  <c r="AF20" i="4"/>
  <c r="AE20" i="4"/>
  <c r="N20" i="4"/>
  <c r="M20" i="4"/>
  <c r="X20" i="4"/>
  <c r="AA20" i="4"/>
  <c r="K20" i="4"/>
  <c r="Z20" i="4"/>
  <c r="J20" i="4"/>
  <c r="Y20" i="4"/>
  <c r="I20" i="4"/>
  <c r="P20" i="4"/>
  <c r="H20" i="4"/>
  <c r="W20" i="4"/>
  <c r="V20" i="4"/>
  <c r="U20" i="4"/>
  <c r="AB20" i="4"/>
  <c r="D19" i="4"/>
  <c r="C21" i="4"/>
  <c r="C21" i="3"/>
  <c r="Z20" i="3"/>
  <c r="Y20" i="3"/>
  <c r="X20" i="3"/>
  <c r="K20" i="3"/>
  <c r="V20" i="3"/>
  <c r="F20" i="3"/>
  <c r="U20" i="3"/>
  <c r="E20" i="3"/>
  <c r="T20" i="3"/>
  <c r="AE20" i="3"/>
  <c r="G20" i="3"/>
  <c r="AH20" i="3"/>
  <c r="AG20" i="3"/>
  <c r="Q20" i="3"/>
  <c r="P20" i="3"/>
  <c r="AI20" i="3"/>
  <c r="J20" i="3"/>
  <c r="I20" i="3"/>
  <c r="H20" i="3"/>
  <c r="S20" i="3"/>
  <c r="R20" i="3"/>
  <c r="AF20" i="3"/>
  <c r="O20" i="3"/>
  <c r="AD20" i="3"/>
  <c r="N20" i="3"/>
  <c r="AC20" i="3"/>
  <c r="M20" i="3"/>
  <c r="AB20" i="3"/>
  <c r="L20" i="3"/>
  <c r="AA20" i="3"/>
  <c r="W20" i="3"/>
  <c r="AO3" i="30" l="1"/>
  <c r="AP2" i="30"/>
  <c r="V14" i="7"/>
  <c r="V13" i="7"/>
  <c r="W3" i="7"/>
  <c r="V5" i="7"/>
  <c r="V12" i="7"/>
  <c r="V11" i="7"/>
  <c r="V10" i="7"/>
  <c r="V9" i="7"/>
  <c r="V8" i="7"/>
  <c r="V7" i="7"/>
  <c r="V6" i="7"/>
  <c r="U3" i="16"/>
  <c r="V2" i="16"/>
  <c r="U4" i="7"/>
  <c r="U3" i="17"/>
  <c r="V2" i="17"/>
  <c r="AI21" i="3"/>
  <c r="F21" i="3"/>
  <c r="AG21" i="3"/>
  <c r="Q21" i="3"/>
  <c r="AF21" i="3"/>
  <c r="P21" i="3"/>
  <c r="AE21" i="3"/>
  <c r="O21" i="3"/>
  <c r="N21" i="3"/>
  <c r="AH21" i="3"/>
  <c r="AC21" i="3"/>
  <c r="M21" i="3"/>
  <c r="AB21" i="3"/>
  <c r="L21" i="3"/>
  <c r="AA21" i="3"/>
  <c r="K21" i="3"/>
  <c r="Z21" i="3"/>
  <c r="V21" i="3"/>
  <c r="Y21" i="3"/>
  <c r="I21" i="3"/>
  <c r="X21" i="3"/>
  <c r="H21" i="3"/>
  <c r="W21" i="3"/>
  <c r="G21" i="3"/>
  <c r="J21" i="3"/>
  <c r="R21" i="3"/>
  <c r="U21" i="3"/>
  <c r="E21" i="3"/>
  <c r="T21" i="3"/>
  <c r="S21" i="3"/>
  <c r="AD21" i="3"/>
  <c r="D20" i="3"/>
  <c r="R21" i="4"/>
  <c r="Q21" i="4"/>
  <c r="P21" i="4"/>
  <c r="K21" i="4"/>
  <c r="AD21" i="4"/>
  <c r="N21" i="4"/>
  <c r="AC21" i="4"/>
  <c r="M21" i="4"/>
  <c r="AB21" i="4"/>
  <c r="L21" i="4"/>
  <c r="AE21" i="4"/>
  <c r="W21" i="4"/>
  <c r="Y21" i="4"/>
  <c r="X21" i="4"/>
  <c r="G21" i="4"/>
  <c r="Z21" i="4"/>
  <c r="J21" i="4"/>
  <c r="I21" i="4"/>
  <c r="H21" i="4"/>
  <c r="O21" i="4"/>
  <c r="V21" i="4"/>
  <c r="F21" i="4"/>
  <c r="U21" i="4"/>
  <c r="E21" i="4"/>
  <c r="T21" i="4"/>
  <c r="AI21" i="4"/>
  <c r="AA21" i="4"/>
  <c r="AH21" i="4"/>
  <c r="AG21" i="4"/>
  <c r="AF21" i="4"/>
  <c r="S21" i="4"/>
  <c r="D20" i="4"/>
  <c r="C22" i="4"/>
  <c r="C22" i="3"/>
  <c r="AP3" i="30" l="1"/>
  <c r="AQ2" i="30"/>
  <c r="W2" i="16"/>
  <c r="V3" i="16"/>
  <c r="V4" i="7"/>
  <c r="V3" i="17"/>
  <c r="W2" i="17"/>
  <c r="W12" i="7"/>
  <c r="W11" i="7"/>
  <c r="W10" i="7"/>
  <c r="W9" i="7"/>
  <c r="W8" i="7"/>
  <c r="W7" i="7"/>
  <c r="W6" i="7"/>
  <c r="W14" i="7"/>
  <c r="W13" i="7"/>
  <c r="W5" i="7"/>
  <c r="X3" i="7"/>
  <c r="AB22" i="3"/>
  <c r="AA22" i="3"/>
  <c r="K22" i="3"/>
  <c r="J22" i="3"/>
  <c r="U22" i="3"/>
  <c r="X22" i="3"/>
  <c r="H22" i="3"/>
  <c r="W22" i="3"/>
  <c r="G22" i="3"/>
  <c r="V22" i="3"/>
  <c r="F22" i="3"/>
  <c r="I22" i="3"/>
  <c r="Q22" i="3"/>
  <c r="T22" i="3"/>
  <c r="S22" i="3"/>
  <c r="R22" i="3"/>
  <c r="AC22" i="3"/>
  <c r="AI22" i="3"/>
  <c r="AH22" i="3"/>
  <c r="E22" i="3"/>
  <c r="AF22" i="3"/>
  <c r="P22" i="3"/>
  <c r="AE22" i="3"/>
  <c r="O22" i="3"/>
  <c r="AD22" i="3"/>
  <c r="N22" i="3"/>
  <c r="M22" i="3"/>
  <c r="AG22" i="3"/>
  <c r="L22" i="3"/>
  <c r="Z22" i="3"/>
  <c r="Y22" i="3"/>
  <c r="M22" i="4"/>
  <c r="L22" i="4"/>
  <c r="K22" i="4"/>
  <c r="Y22" i="4"/>
  <c r="I22" i="4"/>
  <c r="X22" i="4"/>
  <c r="H22" i="4"/>
  <c r="W22" i="4"/>
  <c r="G22" i="4"/>
  <c r="N22" i="4"/>
  <c r="F22" i="4"/>
  <c r="E22" i="4"/>
  <c r="AI22" i="4"/>
  <c r="AH22" i="4"/>
  <c r="Z22" i="4"/>
  <c r="U22" i="4"/>
  <c r="T22" i="4"/>
  <c r="S22" i="4"/>
  <c r="AD22" i="4"/>
  <c r="AG22" i="4"/>
  <c r="Q22" i="4"/>
  <c r="AF22" i="4"/>
  <c r="P22" i="4"/>
  <c r="AE22" i="4"/>
  <c r="O22" i="4"/>
  <c r="R22" i="4"/>
  <c r="J22" i="4"/>
  <c r="AC22" i="4"/>
  <c r="AB22" i="4"/>
  <c r="AA22" i="4"/>
  <c r="V22" i="4"/>
  <c r="C23" i="4"/>
  <c r="C23" i="3"/>
  <c r="D21" i="4"/>
  <c r="D21" i="3"/>
  <c r="AR2" i="30" l="1"/>
  <c r="AQ3" i="30"/>
  <c r="W4" i="7"/>
  <c r="X2" i="17"/>
  <c r="W3" i="17"/>
  <c r="X13" i="7"/>
  <c r="X5" i="7"/>
  <c r="X11" i="7"/>
  <c r="X8" i="7"/>
  <c r="X10" i="7"/>
  <c r="X7" i="7"/>
  <c r="X14" i="7"/>
  <c r="X12" i="7"/>
  <c r="X9" i="7"/>
  <c r="X6" i="7"/>
  <c r="Y3" i="7"/>
  <c r="X2" i="16"/>
  <c r="W3" i="16"/>
  <c r="AF23" i="4"/>
  <c r="P23" i="4"/>
  <c r="AE23" i="4"/>
  <c r="O23" i="4"/>
  <c r="AD23" i="4"/>
  <c r="N23" i="4"/>
  <c r="Q23" i="4"/>
  <c r="I23" i="4"/>
  <c r="AB23" i="4"/>
  <c r="L23" i="4"/>
  <c r="AA23" i="4"/>
  <c r="K23" i="4"/>
  <c r="Z23" i="4"/>
  <c r="J23" i="4"/>
  <c r="AC23" i="4"/>
  <c r="U23" i="4"/>
  <c r="X23" i="4"/>
  <c r="H23" i="4"/>
  <c r="W23" i="4"/>
  <c r="G23" i="4"/>
  <c r="V23" i="4"/>
  <c r="F23" i="4"/>
  <c r="M23" i="4"/>
  <c r="E23" i="4"/>
  <c r="T23" i="4"/>
  <c r="AI23" i="4"/>
  <c r="S23" i="4"/>
  <c r="AH23" i="4"/>
  <c r="R23" i="4"/>
  <c r="AG23" i="4"/>
  <c r="Y23" i="4"/>
  <c r="D22" i="3"/>
  <c r="C24" i="4"/>
  <c r="C24" i="3"/>
  <c r="D22" i="4"/>
  <c r="AE23" i="3"/>
  <c r="O23" i="3"/>
  <c r="AD23" i="3"/>
  <c r="N23" i="3"/>
  <c r="AC23" i="3"/>
  <c r="M23" i="3"/>
  <c r="L23" i="3"/>
  <c r="T23" i="3"/>
  <c r="AA23" i="3"/>
  <c r="K23" i="3"/>
  <c r="Z23" i="3"/>
  <c r="J23" i="3"/>
  <c r="Y23" i="3"/>
  <c r="I23" i="3"/>
  <c r="X23" i="3"/>
  <c r="P23" i="3"/>
  <c r="F23" i="3"/>
  <c r="H23" i="3"/>
  <c r="W23" i="3"/>
  <c r="G23" i="3"/>
  <c r="V23" i="3"/>
  <c r="U23" i="3"/>
  <c r="E23" i="3"/>
  <c r="AI23" i="3"/>
  <c r="S23" i="3"/>
  <c r="AH23" i="3"/>
  <c r="R23" i="3"/>
  <c r="AG23" i="3"/>
  <c r="Q23" i="3"/>
  <c r="AB23" i="3"/>
  <c r="AF23" i="3"/>
  <c r="AS2" i="30" l="1"/>
  <c r="AR3" i="30"/>
  <c r="X3" i="16"/>
  <c r="Y2" i="16"/>
  <c r="Y14" i="7"/>
  <c r="Y13" i="7"/>
  <c r="Y12" i="7"/>
  <c r="Y11" i="7"/>
  <c r="Y10" i="7"/>
  <c r="Y9" i="7"/>
  <c r="Y8" i="7"/>
  <c r="Y7" i="7"/>
  <c r="Y6" i="7"/>
  <c r="Z3" i="7"/>
  <c r="Y5" i="7"/>
  <c r="Y2" i="17"/>
  <c r="X3" i="17"/>
  <c r="X4" i="7"/>
  <c r="C25" i="3"/>
  <c r="C25" i="4"/>
  <c r="O24" i="4"/>
  <c r="AC24" i="4"/>
  <c r="P24" i="4"/>
  <c r="W24" i="4"/>
  <c r="F24" i="4"/>
  <c r="L24" i="4"/>
  <c r="AA24" i="4"/>
  <c r="K24" i="4"/>
  <c r="Z24" i="4"/>
  <c r="J24" i="4"/>
  <c r="Y24" i="4"/>
  <c r="I24" i="4"/>
  <c r="AB24" i="4"/>
  <c r="T24" i="4"/>
  <c r="V24" i="4"/>
  <c r="U24" i="4"/>
  <c r="AI24" i="4"/>
  <c r="S24" i="4"/>
  <c r="AH24" i="4"/>
  <c r="R24" i="4"/>
  <c r="AG24" i="4"/>
  <c r="Q24" i="4"/>
  <c r="AF24" i="4"/>
  <c r="X24" i="4"/>
  <c r="AE24" i="4"/>
  <c r="AD24" i="4"/>
  <c r="N24" i="4"/>
  <c r="M24" i="4"/>
  <c r="H24" i="4"/>
  <c r="G24" i="4"/>
  <c r="E24" i="4"/>
  <c r="D23" i="3"/>
  <c r="D23" i="4"/>
  <c r="P24" i="3"/>
  <c r="AA24" i="3"/>
  <c r="N24" i="3"/>
  <c r="AG24" i="3"/>
  <c r="Q24" i="3"/>
  <c r="AE24" i="3"/>
  <c r="O24" i="3"/>
  <c r="V24" i="3"/>
  <c r="T24" i="3"/>
  <c r="Z24" i="3"/>
  <c r="H24" i="3"/>
  <c r="AC24" i="3"/>
  <c r="M24" i="3"/>
  <c r="K24" i="3"/>
  <c r="L24" i="3"/>
  <c r="R24" i="3"/>
  <c r="Y24" i="3"/>
  <c r="I24" i="3"/>
  <c r="W24" i="3"/>
  <c r="G24" i="3"/>
  <c r="F24" i="3"/>
  <c r="E24" i="3"/>
  <c r="J24" i="3"/>
  <c r="X24" i="3"/>
  <c r="U24" i="3"/>
  <c r="AI24" i="3"/>
  <c r="S24" i="3"/>
  <c r="AD24" i="3"/>
  <c r="AB24" i="3"/>
  <c r="AH24" i="3"/>
  <c r="AF24" i="3"/>
  <c r="AT2" i="30" l="1"/>
  <c r="AS3" i="30"/>
  <c r="Y4" i="7"/>
  <c r="Y3" i="17"/>
  <c r="Z2" i="17"/>
  <c r="Y3" i="16"/>
  <c r="Z2" i="16"/>
  <c r="Z14" i="7"/>
  <c r="Z13" i="7"/>
  <c r="AA3" i="7"/>
  <c r="Z12" i="7"/>
  <c r="Z11" i="7"/>
  <c r="Z10" i="7"/>
  <c r="Z9" i="7"/>
  <c r="Z8" i="7"/>
  <c r="Z7" i="7"/>
  <c r="Z6" i="7"/>
  <c r="Z5" i="7"/>
  <c r="D24" i="3"/>
  <c r="D24" i="4"/>
  <c r="AD25" i="4"/>
  <c r="N25" i="4"/>
  <c r="AC25" i="4"/>
  <c r="M25" i="4"/>
  <c r="AB25" i="4"/>
  <c r="L25" i="4"/>
  <c r="AA25" i="4"/>
  <c r="AI25" i="4"/>
  <c r="R25" i="4"/>
  <c r="Q25" i="4"/>
  <c r="P25" i="4"/>
  <c r="G25" i="4"/>
  <c r="Z25" i="4"/>
  <c r="J25" i="4"/>
  <c r="Y25" i="4"/>
  <c r="I25" i="4"/>
  <c r="X25" i="4"/>
  <c r="H25" i="4"/>
  <c r="K25" i="4"/>
  <c r="S25" i="4"/>
  <c r="F25" i="4"/>
  <c r="T25" i="4"/>
  <c r="W25" i="4"/>
  <c r="V25" i="4"/>
  <c r="U25" i="4"/>
  <c r="E25" i="4"/>
  <c r="AE25" i="4"/>
  <c r="AH25" i="4"/>
  <c r="AG25" i="4"/>
  <c r="AF25" i="4"/>
  <c r="O25" i="4"/>
  <c r="C26" i="3"/>
  <c r="C26" i="4"/>
  <c r="T25" i="3"/>
  <c r="AH25" i="3"/>
  <c r="R25" i="3"/>
  <c r="AC25" i="3"/>
  <c r="AI25" i="3"/>
  <c r="AG25" i="3"/>
  <c r="W25" i="3"/>
  <c r="H25" i="3"/>
  <c r="V25" i="3"/>
  <c r="E25" i="3"/>
  <c r="K25" i="3"/>
  <c r="AE25" i="3"/>
  <c r="AF25" i="3"/>
  <c r="P25" i="3"/>
  <c r="AD25" i="3"/>
  <c r="N25" i="3"/>
  <c r="U25" i="3"/>
  <c r="AA25" i="3"/>
  <c r="Y25" i="3"/>
  <c r="O25" i="3"/>
  <c r="L25" i="3"/>
  <c r="J25" i="3"/>
  <c r="S25" i="3"/>
  <c r="G25" i="3"/>
  <c r="AB25" i="3"/>
  <c r="Z25" i="3"/>
  <c r="M25" i="3"/>
  <c r="Q25" i="3"/>
  <c r="X25" i="3"/>
  <c r="F25" i="3"/>
  <c r="I25" i="3"/>
  <c r="AT3" i="30" l="1"/>
  <c r="AU2" i="30"/>
  <c r="AA2" i="16"/>
  <c r="Z3" i="16"/>
  <c r="Z3" i="17"/>
  <c r="AA2" i="17"/>
  <c r="Z4" i="7"/>
  <c r="AA12" i="7"/>
  <c r="AA11" i="7"/>
  <c r="AA10" i="7"/>
  <c r="AA9" i="7"/>
  <c r="AA8" i="7"/>
  <c r="AA7" i="7"/>
  <c r="AA6" i="7"/>
  <c r="AA5" i="7"/>
  <c r="AA14" i="7"/>
  <c r="AB3" i="7"/>
  <c r="AA13" i="7"/>
  <c r="AC26" i="4"/>
  <c r="M26" i="4"/>
  <c r="AB26" i="4"/>
  <c r="L26" i="4"/>
  <c r="AA26" i="4"/>
  <c r="K26" i="4"/>
  <c r="Z26" i="4"/>
  <c r="R26" i="4"/>
  <c r="I26" i="4"/>
  <c r="H26" i="4"/>
  <c r="W26" i="4"/>
  <c r="J26" i="4"/>
  <c r="AH26" i="4"/>
  <c r="AI26" i="4"/>
  <c r="V26" i="4"/>
  <c r="Y26" i="4"/>
  <c r="X26" i="4"/>
  <c r="G26" i="4"/>
  <c r="T26" i="4"/>
  <c r="AD26" i="4"/>
  <c r="Q26" i="4"/>
  <c r="P26" i="4"/>
  <c r="F26" i="4"/>
  <c r="U26" i="4"/>
  <c r="E26" i="4"/>
  <c r="S26" i="4"/>
  <c r="AE26" i="4"/>
  <c r="N26" i="4"/>
  <c r="AG26" i="4"/>
  <c r="AF26" i="4"/>
  <c r="O26" i="4"/>
  <c r="D25" i="4"/>
  <c r="D25" i="3"/>
  <c r="AI26" i="3"/>
  <c r="S26" i="3"/>
  <c r="AG26" i="3"/>
  <c r="Q26" i="3"/>
  <c r="AB26" i="3"/>
  <c r="Z26" i="3"/>
  <c r="X26" i="3"/>
  <c r="N26" i="3"/>
  <c r="AE26" i="3"/>
  <c r="AC26" i="3"/>
  <c r="M26" i="3"/>
  <c r="R26" i="3"/>
  <c r="F26" i="3"/>
  <c r="O26" i="3"/>
  <c r="T26" i="3"/>
  <c r="P26" i="3"/>
  <c r="AF26" i="3"/>
  <c r="AA26" i="3"/>
  <c r="K26" i="3"/>
  <c r="Y26" i="3"/>
  <c r="I26" i="3"/>
  <c r="L26" i="3"/>
  <c r="J26" i="3"/>
  <c r="H26" i="3"/>
  <c r="AD26" i="3"/>
  <c r="W26" i="3"/>
  <c r="G26" i="3"/>
  <c r="U26" i="3"/>
  <c r="E26" i="3"/>
  <c r="AH26" i="3"/>
  <c r="V26" i="3"/>
  <c r="C27" i="4"/>
  <c r="C27" i="3"/>
  <c r="AU3" i="30" l="1"/>
  <c r="AV2" i="30"/>
  <c r="AA4" i="7"/>
  <c r="AB2" i="17"/>
  <c r="AA3" i="17"/>
  <c r="AB14" i="7"/>
  <c r="AB13" i="7"/>
  <c r="AB12" i="7"/>
  <c r="AB11" i="7"/>
  <c r="AB10" i="7"/>
  <c r="AB9" i="7"/>
  <c r="AB8" i="7"/>
  <c r="AB7" i="7"/>
  <c r="AB6" i="7"/>
  <c r="AC3" i="7"/>
  <c r="AB5" i="7"/>
  <c r="AB2" i="16"/>
  <c r="AA3" i="16"/>
  <c r="D26" i="4"/>
  <c r="I27" i="3"/>
  <c r="AH27" i="3"/>
  <c r="R27" i="3"/>
  <c r="AF27" i="3"/>
  <c r="P27" i="3"/>
  <c r="AA27" i="3"/>
  <c r="Y27" i="3"/>
  <c r="W27" i="3"/>
  <c r="M27" i="3"/>
  <c r="Z27" i="3"/>
  <c r="X27" i="3"/>
  <c r="K27" i="3"/>
  <c r="AC27" i="3"/>
  <c r="AD27" i="3"/>
  <c r="N27" i="3"/>
  <c r="AB27" i="3"/>
  <c r="L27" i="3"/>
  <c r="S27" i="3"/>
  <c r="Q27" i="3"/>
  <c r="O27" i="3"/>
  <c r="E27" i="3"/>
  <c r="J27" i="3"/>
  <c r="H27" i="3"/>
  <c r="G27" i="3"/>
  <c r="T27" i="3"/>
  <c r="U27" i="3"/>
  <c r="AI27" i="3"/>
  <c r="V27" i="3"/>
  <c r="AG27" i="3"/>
  <c r="F27" i="3"/>
  <c r="AE27" i="3"/>
  <c r="W27" i="4"/>
  <c r="AF27" i="4"/>
  <c r="P27" i="4"/>
  <c r="AE27" i="4"/>
  <c r="O27" i="4"/>
  <c r="AD27" i="4"/>
  <c r="N27" i="4"/>
  <c r="M27" i="4"/>
  <c r="E27" i="4"/>
  <c r="X27" i="4"/>
  <c r="G27" i="4"/>
  <c r="F27" i="4"/>
  <c r="Q27" i="4"/>
  <c r="AB27" i="4"/>
  <c r="L27" i="4"/>
  <c r="AA27" i="4"/>
  <c r="K27" i="4"/>
  <c r="Z27" i="4"/>
  <c r="J27" i="4"/>
  <c r="Y27" i="4"/>
  <c r="AG27" i="4"/>
  <c r="H27" i="4"/>
  <c r="V27" i="4"/>
  <c r="I27" i="4"/>
  <c r="S27" i="4"/>
  <c r="U27" i="4"/>
  <c r="AH27" i="4"/>
  <c r="T27" i="4"/>
  <c r="R27" i="4"/>
  <c r="AI27" i="4"/>
  <c r="AC27" i="4"/>
  <c r="D26" i="3"/>
  <c r="C28" i="3"/>
  <c r="C28" i="4"/>
  <c r="AW2" i="30" l="1"/>
  <c r="AV3" i="30"/>
  <c r="AB4" i="7"/>
  <c r="AC2" i="17"/>
  <c r="AB3" i="17"/>
  <c r="AC14" i="7"/>
  <c r="AC13" i="7"/>
  <c r="AC12" i="7"/>
  <c r="AC11" i="7"/>
  <c r="AC10" i="7"/>
  <c r="AC9" i="7"/>
  <c r="AC8" i="7"/>
  <c r="AC7" i="7"/>
  <c r="AC6" i="7"/>
  <c r="AD3" i="7"/>
  <c r="AC5" i="7"/>
  <c r="AB3" i="16"/>
  <c r="AC2" i="16"/>
  <c r="D27" i="4"/>
  <c r="AI28" i="4"/>
  <c r="S28" i="4"/>
  <c r="AH28" i="4"/>
  <c r="R28" i="4"/>
  <c r="AG28" i="4"/>
  <c r="Q28" i="4"/>
  <c r="AB28" i="4"/>
  <c r="T28" i="4"/>
  <c r="G28" i="4"/>
  <c r="E28" i="4"/>
  <c r="AE28" i="4"/>
  <c r="O28" i="4"/>
  <c r="AD28" i="4"/>
  <c r="N28" i="4"/>
  <c r="AC28" i="4"/>
  <c r="M28" i="4"/>
  <c r="L28" i="4"/>
  <c r="P28" i="4"/>
  <c r="W28" i="4"/>
  <c r="U28" i="4"/>
  <c r="AA28" i="4"/>
  <c r="K28" i="4"/>
  <c r="Z28" i="4"/>
  <c r="J28" i="4"/>
  <c r="Y28" i="4"/>
  <c r="I28" i="4"/>
  <c r="X28" i="4"/>
  <c r="AF28" i="4"/>
  <c r="F28" i="4"/>
  <c r="V28" i="4"/>
  <c r="H28" i="4"/>
  <c r="C29" i="3"/>
  <c r="C29" i="4"/>
  <c r="Y28" i="3"/>
  <c r="I28" i="3"/>
  <c r="AA28" i="3"/>
  <c r="K28" i="3"/>
  <c r="R28" i="3"/>
  <c r="P28" i="3"/>
  <c r="N28" i="3"/>
  <c r="AB28" i="3"/>
  <c r="U28" i="3"/>
  <c r="E28" i="3"/>
  <c r="W28" i="3"/>
  <c r="G28" i="3"/>
  <c r="J28" i="3"/>
  <c r="H28" i="3"/>
  <c r="F28" i="3"/>
  <c r="AG28" i="3"/>
  <c r="Q28" i="3"/>
  <c r="AI28" i="3"/>
  <c r="S28" i="3"/>
  <c r="AH28" i="3"/>
  <c r="AF28" i="3"/>
  <c r="AD28" i="3"/>
  <c r="T28" i="3"/>
  <c r="M28" i="3"/>
  <c r="O28" i="3"/>
  <c r="X28" i="3"/>
  <c r="L28" i="3"/>
  <c r="AC28" i="3"/>
  <c r="AE28" i="3"/>
  <c r="Z28" i="3"/>
  <c r="V28" i="3"/>
  <c r="D27" i="3"/>
  <c r="AX2" i="30" l="1"/>
  <c r="AW3" i="30"/>
  <c r="AC4" i="7"/>
  <c r="AE3" i="7"/>
  <c r="AD14" i="7"/>
  <c r="AD13" i="7"/>
  <c r="AD5" i="7"/>
  <c r="AD12" i="7"/>
  <c r="AD11" i="7"/>
  <c r="AD10" i="7"/>
  <c r="AD9" i="7"/>
  <c r="AD8" i="7"/>
  <c r="AD7" i="7"/>
  <c r="AD6" i="7"/>
  <c r="AC3" i="17"/>
  <c r="AD2" i="17"/>
  <c r="AC3" i="16"/>
  <c r="AD2" i="16"/>
  <c r="C30" i="3"/>
  <c r="C30" i="4"/>
  <c r="O29" i="4"/>
  <c r="M29" i="4"/>
  <c r="AF29" i="4"/>
  <c r="AA29" i="4"/>
  <c r="K29" i="4"/>
  <c r="Y29" i="4"/>
  <c r="I29" i="4"/>
  <c r="F29" i="4"/>
  <c r="E29" i="4"/>
  <c r="J29" i="4"/>
  <c r="X29" i="4"/>
  <c r="W29" i="4"/>
  <c r="U29" i="4"/>
  <c r="AD29" i="4"/>
  <c r="P29" i="4"/>
  <c r="R29" i="4"/>
  <c r="G29" i="4"/>
  <c r="AB29" i="4"/>
  <c r="AH29" i="4"/>
  <c r="L29" i="4"/>
  <c r="AI29" i="4"/>
  <c r="S29" i="4"/>
  <c r="AG29" i="4"/>
  <c r="Q29" i="4"/>
  <c r="V29" i="4"/>
  <c r="T29" i="4"/>
  <c r="Z29" i="4"/>
  <c r="H29" i="4"/>
  <c r="AE29" i="4"/>
  <c r="AC29" i="4"/>
  <c r="N29" i="4"/>
  <c r="D28" i="4"/>
  <c r="D28" i="3"/>
  <c r="I29" i="3"/>
  <c r="E29" i="3"/>
  <c r="T29" i="3"/>
  <c r="AH29" i="3"/>
  <c r="R29" i="3"/>
  <c r="AG29" i="3"/>
  <c r="AE29" i="3"/>
  <c r="AC29" i="3"/>
  <c r="S29" i="3"/>
  <c r="AF29" i="3"/>
  <c r="P29" i="3"/>
  <c r="AD29" i="3"/>
  <c r="N29" i="3"/>
  <c r="Y29" i="3"/>
  <c r="U29" i="3"/>
  <c r="K29" i="3"/>
  <c r="W29" i="3"/>
  <c r="AB29" i="3"/>
  <c r="L29" i="3"/>
  <c r="Z29" i="3"/>
  <c r="J29" i="3"/>
  <c r="Q29" i="3"/>
  <c r="O29" i="3"/>
  <c r="M29" i="3"/>
  <c r="AI29" i="3"/>
  <c r="X29" i="3"/>
  <c r="H29" i="3"/>
  <c r="V29" i="3"/>
  <c r="F29" i="3"/>
  <c r="G29" i="3"/>
  <c r="AA29" i="3"/>
  <c r="AX3" i="30" l="1"/>
  <c r="AY2" i="30"/>
  <c r="AE2" i="16"/>
  <c r="AD3" i="16"/>
  <c r="AD4" i="7"/>
  <c r="AD3" i="17"/>
  <c r="AE2" i="17"/>
  <c r="AE14" i="7"/>
  <c r="AE13" i="7"/>
  <c r="AE12" i="7"/>
  <c r="AE11" i="7"/>
  <c r="AE10" i="7"/>
  <c r="AE9" i="7"/>
  <c r="AE8" i="7"/>
  <c r="AE7" i="7"/>
  <c r="AE6" i="7"/>
  <c r="AE5" i="7"/>
  <c r="AF3" i="7"/>
  <c r="D29" i="3"/>
  <c r="C31" i="4"/>
  <c r="C31" i="3"/>
  <c r="Z30" i="4"/>
  <c r="J30" i="4"/>
  <c r="X30" i="4"/>
  <c r="H30" i="4"/>
  <c r="E30" i="4"/>
  <c r="K30" i="4"/>
  <c r="I30" i="4"/>
  <c r="W30" i="4"/>
  <c r="V30" i="4"/>
  <c r="F30" i="4"/>
  <c r="T30" i="4"/>
  <c r="AC30" i="4"/>
  <c r="AI30" i="4"/>
  <c r="AG30" i="4"/>
  <c r="O30" i="4"/>
  <c r="AD30" i="4"/>
  <c r="M30" i="4"/>
  <c r="AE30" i="4"/>
  <c r="AB30" i="4"/>
  <c r="AH30" i="4"/>
  <c r="R30" i="4"/>
  <c r="AF30" i="4"/>
  <c r="P30" i="4"/>
  <c r="U30" i="4"/>
  <c r="AA30" i="4"/>
  <c r="Y30" i="4"/>
  <c r="G30" i="4"/>
  <c r="N30" i="4"/>
  <c r="L30" i="4"/>
  <c r="S30" i="4"/>
  <c r="Q30" i="4"/>
  <c r="D29" i="4"/>
  <c r="AI30" i="3"/>
  <c r="P30" i="3"/>
  <c r="AE30" i="3"/>
  <c r="O30" i="3"/>
  <c r="AD30" i="3"/>
  <c r="Y30" i="3"/>
  <c r="I30" i="3"/>
  <c r="H30" i="3"/>
  <c r="AF30" i="3"/>
  <c r="J30" i="3"/>
  <c r="AA30" i="3"/>
  <c r="Z30" i="3"/>
  <c r="U30" i="3"/>
  <c r="E30" i="3"/>
  <c r="V30" i="3"/>
  <c r="AB30" i="3"/>
  <c r="AH30" i="3"/>
  <c r="F30" i="3"/>
  <c r="K30" i="3"/>
  <c r="T30" i="3"/>
  <c r="AC30" i="3"/>
  <c r="R30" i="3"/>
  <c r="W30" i="3"/>
  <c r="G30" i="3"/>
  <c r="AG30" i="3"/>
  <c r="Q30" i="3"/>
  <c r="X30" i="3"/>
  <c r="N30" i="3"/>
  <c r="L30" i="3"/>
  <c r="S30" i="3"/>
  <c r="M30" i="3"/>
  <c r="AZ2" i="30" l="1"/>
  <c r="AY3" i="30"/>
  <c r="AE4" i="7"/>
  <c r="AF14" i="7"/>
  <c r="AF13" i="7"/>
  <c r="AF5" i="7"/>
  <c r="AF12" i="7"/>
  <c r="AF11" i="7"/>
  <c r="AF10" i="7"/>
  <c r="AF9" i="7"/>
  <c r="AF8" i="7"/>
  <c r="AF7" i="7"/>
  <c r="AF6" i="7"/>
  <c r="AG3" i="7"/>
  <c r="AF2" i="17"/>
  <c r="AE3" i="17"/>
  <c r="AF2" i="16"/>
  <c r="AE3" i="16"/>
  <c r="D30" i="4"/>
  <c r="AD31" i="3"/>
  <c r="M31" i="3"/>
  <c r="L31" i="3"/>
  <c r="AA31" i="3"/>
  <c r="Z31" i="3"/>
  <c r="J31" i="3"/>
  <c r="Y31" i="3"/>
  <c r="I31" i="3"/>
  <c r="X31" i="3"/>
  <c r="H31" i="3"/>
  <c r="S31" i="3"/>
  <c r="K31" i="3"/>
  <c r="V31" i="3"/>
  <c r="F31" i="3"/>
  <c r="U31" i="3"/>
  <c r="E31" i="3"/>
  <c r="T31" i="3"/>
  <c r="AE31" i="3"/>
  <c r="W31" i="3"/>
  <c r="AH31" i="3"/>
  <c r="R31" i="3"/>
  <c r="AG31" i="3"/>
  <c r="Q31" i="3"/>
  <c r="AF31" i="3"/>
  <c r="P31" i="3"/>
  <c r="G31" i="3"/>
  <c r="O31" i="3"/>
  <c r="N31" i="3"/>
  <c r="AC31" i="3"/>
  <c r="AB31" i="3"/>
  <c r="AI31" i="3"/>
  <c r="C32" i="4"/>
  <c r="C32" i="3"/>
  <c r="D30" i="3"/>
  <c r="AC31" i="4"/>
  <c r="AE31" i="4"/>
  <c r="T31" i="4"/>
  <c r="P31" i="4"/>
  <c r="Y31" i="4"/>
  <c r="I31" i="4"/>
  <c r="AA31" i="4"/>
  <c r="K31" i="4"/>
  <c r="L31" i="4"/>
  <c r="J31" i="4"/>
  <c r="H31" i="4"/>
  <c r="V31" i="4"/>
  <c r="N31" i="4"/>
  <c r="U31" i="4"/>
  <c r="E31" i="4"/>
  <c r="W31" i="4"/>
  <c r="G31" i="4"/>
  <c r="AH31" i="4"/>
  <c r="AF31" i="4"/>
  <c r="AG31" i="4"/>
  <c r="Q31" i="4"/>
  <c r="AI31" i="4"/>
  <c r="S31" i="4"/>
  <c r="AB31" i="4"/>
  <c r="Z31" i="4"/>
  <c r="X31" i="4"/>
  <c r="F31" i="4"/>
  <c r="M31" i="4"/>
  <c r="O31" i="4"/>
  <c r="R31" i="4"/>
  <c r="AD31" i="4"/>
  <c r="BA2" i="30" l="1"/>
  <c r="AZ3" i="30"/>
  <c r="AF3" i="16"/>
  <c r="AG2" i="16"/>
  <c r="AG14" i="7"/>
  <c r="AG13" i="7"/>
  <c r="AG12" i="7"/>
  <c r="AG11" i="7"/>
  <c r="AG10" i="7"/>
  <c r="AG9" i="7"/>
  <c r="AG8" i="7"/>
  <c r="AG7" i="7"/>
  <c r="AG6" i="7"/>
  <c r="AH3" i="7"/>
  <c r="AG5" i="7"/>
  <c r="AF4" i="7"/>
  <c r="AG2" i="17"/>
  <c r="AF3" i="17"/>
  <c r="D31" i="3"/>
  <c r="C33" i="4"/>
  <c r="C33" i="3"/>
  <c r="D31" i="4"/>
  <c r="Q32" i="3"/>
  <c r="P32" i="3"/>
  <c r="O32" i="3"/>
  <c r="F32" i="3"/>
  <c r="AC32" i="3"/>
  <c r="M32" i="3"/>
  <c r="AB32" i="3"/>
  <c r="L32" i="3"/>
  <c r="AA32" i="3"/>
  <c r="K32" i="3"/>
  <c r="AH32" i="3"/>
  <c r="J32" i="3"/>
  <c r="Y32" i="3"/>
  <c r="X32" i="3"/>
  <c r="H32" i="3"/>
  <c r="G32" i="3"/>
  <c r="Z32" i="3"/>
  <c r="I32" i="3"/>
  <c r="W32" i="3"/>
  <c r="R32" i="3"/>
  <c r="U32" i="3"/>
  <c r="E32" i="3"/>
  <c r="T32" i="3"/>
  <c r="AI32" i="3"/>
  <c r="S32" i="3"/>
  <c r="V32" i="3"/>
  <c r="AD32" i="3"/>
  <c r="AG32" i="3"/>
  <c r="AF32" i="3"/>
  <c r="AE32" i="3"/>
  <c r="N32" i="3"/>
  <c r="P32" i="4"/>
  <c r="AD32" i="4"/>
  <c r="AA32" i="4"/>
  <c r="W32" i="4"/>
  <c r="AB32" i="4"/>
  <c r="L32" i="4"/>
  <c r="Z32" i="4"/>
  <c r="J32" i="4"/>
  <c r="S32" i="4"/>
  <c r="Q32" i="4"/>
  <c r="O32" i="4"/>
  <c r="AC32" i="4"/>
  <c r="X32" i="4"/>
  <c r="V32" i="4"/>
  <c r="F32" i="4"/>
  <c r="I32" i="4"/>
  <c r="U32" i="4"/>
  <c r="H32" i="4"/>
  <c r="K32" i="4"/>
  <c r="G32" i="4"/>
  <c r="T32" i="4"/>
  <c r="AH32" i="4"/>
  <c r="R32" i="4"/>
  <c r="AI32" i="4"/>
  <c r="AG32" i="4"/>
  <c r="AE32" i="4"/>
  <c r="M32" i="4"/>
  <c r="AF32" i="4"/>
  <c r="N32" i="4"/>
  <c r="Y32" i="4"/>
  <c r="E32" i="4"/>
  <c r="BA3" i="30" l="1"/>
  <c r="BB2" i="30"/>
  <c r="AG4" i="7"/>
  <c r="AG3" i="17"/>
  <c r="AH2" i="17"/>
  <c r="AH14" i="7"/>
  <c r="AH13" i="7"/>
  <c r="AI3" i="7"/>
  <c r="AH12" i="7"/>
  <c r="AH11" i="7"/>
  <c r="AH10" i="7"/>
  <c r="AH9" i="7"/>
  <c r="AH8" i="7"/>
  <c r="AH7" i="7"/>
  <c r="AH6" i="7"/>
  <c r="AH5" i="7"/>
  <c r="AG3" i="16"/>
  <c r="AH2" i="16"/>
  <c r="D32" i="4"/>
  <c r="D32" i="3"/>
  <c r="T33" i="3"/>
  <c r="AI33" i="3"/>
  <c r="S33" i="3"/>
  <c r="AH33" i="3"/>
  <c r="R33" i="3"/>
  <c r="U33" i="3"/>
  <c r="AF33" i="3"/>
  <c r="P33" i="3"/>
  <c r="AE33" i="3"/>
  <c r="O33" i="3"/>
  <c r="AD33" i="3"/>
  <c r="N33" i="3"/>
  <c r="E33" i="3"/>
  <c r="M33" i="3"/>
  <c r="L33" i="3"/>
  <c r="K33" i="3"/>
  <c r="J33" i="3"/>
  <c r="Y33" i="3"/>
  <c r="AB33" i="3"/>
  <c r="AA33" i="3"/>
  <c r="Z33" i="3"/>
  <c r="AG33" i="3"/>
  <c r="X33" i="3"/>
  <c r="H33" i="3"/>
  <c r="W33" i="3"/>
  <c r="G33" i="3"/>
  <c r="V33" i="3"/>
  <c r="F33" i="3"/>
  <c r="Q33" i="3"/>
  <c r="I33" i="3"/>
  <c r="AC33" i="3"/>
  <c r="C34" i="3"/>
  <c r="C34" i="4"/>
  <c r="O33" i="4"/>
  <c r="U33" i="4"/>
  <c r="L33" i="4"/>
  <c r="AA33" i="4"/>
  <c r="K33" i="4"/>
  <c r="Z33" i="4"/>
  <c r="AG33" i="4"/>
  <c r="Q33" i="4"/>
  <c r="X33" i="4"/>
  <c r="AF33" i="4"/>
  <c r="AB33" i="4"/>
  <c r="W33" i="4"/>
  <c r="V33" i="4"/>
  <c r="AC33" i="4"/>
  <c r="J33" i="4"/>
  <c r="N33" i="4"/>
  <c r="G33" i="4"/>
  <c r="M33" i="4"/>
  <c r="P33" i="4"/>
  <c r="E33" i="4"/>
  <c r="AI33" i="4"/>
  <c r="S33" i="4"/>
  <c r="AH33" i="4"/>
  <c r="R33" i="4"/>
  <c r="Y33" i="4"/>
  <c r="I33" i="4"/>
  <c r="T33" i="4"/>
  <c r="F33" i="4"/>
  <c r="AE33" i="4"/>
  <c r="AD33" i="4"/>
  <c r="H33" i="4"/>
  <c r="AH3" i="17" l="1"/>
  <c r="AI2" i="17"/>
  <c r="AH3" i="16"/>
  <c r="AI2" i="16"/>
  <c r="BB3" i="30"/>
  <c r="BC2" i="30"/>
  <c r="AI2" i="15"/>
  <c r="AH4" i="7"/>
  <c r="AI12" i="7"/>
  <c r="D12" i="7" s="1"/>
  <c r="AI11" i="7"/>
  <c r="D11" i="7" s="1"/>
  <c r="AI10" i="7"/>
  <c r="D10" i="7" s="1"/>
  <c r="AI9" i="7"/>
  <c r="D9" i="7" s="1"/>
  <c r="AI8" i="7"/>
  <c r="D8" i="7" s="1"/>
  <c r="AI7" i="7"/>
  <c r="D7" i="7" s="1"/>
  <c r="AI6" i="7"/>
  <c r="D6" i="7" s="1"/>
  <c r="AI5" i="7"/>
  <c r="AI14" i="7"/>
  <c r="D14" i="7" s="1"/>
  <c r="AI13" i="7"/>
  <c r="D13" i="7" s="1"/>
  <c r="D33" i="3"/>
  <c r="D33" i="4"/>
  <c r="Z34" i="4"/>
  <c r="Z4" i="4" s="1"/>
  <c r="J34" i="4"/>
  <c r="J4" i="4" s="1"/>
  <c r="Y34" i="4"/>
  <c r="Y4" i="4" s="1"/>
  <c r="I34" i="4"/>
  <c r="I4" i="4" s="1"/>
  <c r="X34" i="4"/>
  <c r="X4" i="4" s="1"/>
  <c r="H34" i="4"/>
  <c r="H4" i="4" s="1"/>
  <c r="S34" i="4"/>
  <c r="S4" i="4" s="1"/>
  <c r="K34" i="4"/>
  <c r="K4" i="4" s="1"/>
  <c r="V34" i="4"/>
  <c r="V4" i="4" s="1"/>
  <c r="F34" i="4"/>
  <c r="F4" i="4" s="1"/>
  <c r="U34" i="4"/>
  <c r="U4" i="4" s="1"/>
  <c r="E34" i="4"/>
  <c r="T34" i="4"/>
  <c r="T4" i="4" s="1"/>
  <c r="W34" i="4"/>
  <c r="W4" i="4" s="1"/>
  <c r="AE34" i="4"/>
  <c r="AE4" i="4" s="1"/>
  <c r="AH34" i="4"/>
  <c r="AH4" i="4" s="1"/>
  <c r="R34" i="4"/>
  <c r="R4" i="4" s="1"/>
  <c r="AG34" i="4"/>
  <c r="AG4" i="4" s="1"/>
  <c r="Q34" i="4"/>
  <c r="Q4" i="4" s="1"/>
  <c r="AF34" i="4"/>
  <c r="AF4" i="4" s="1"/>
  <c r="P34" i="4"/>
  <c r="P4" i="4" s="1"/>
  <c r="G34" i="4"/>
  <c r="G4" i="4" s="1"/>
  <c r="O34" i="4"/>
  <c r="O4" i="4" s="1"/>
  <c r="AD34" i="4"/>
  <c r="AD4" i="4" s="1"/>
  <c r="N34" i="4"/>
  <c r="N4" i="4" s="1"/>
  <c r="AC34" i="4"/>
  <c r="AC4" i="4" s="1"/>
  <c r="M34" i="4"/>
  <c r="M4" i="4" s="1"/>
  <c r="AB34" i="4"/>
  <c r="AB4" i="4" s="1"/>
  <c r="L34" i="4"/>
  <c r="L4" i="4" s="1"/>
  <c r="AI34" i="4"/>
  <c r="AI4" i="4" s="1"/>
  <c r="AA34" i="4"/>
  <c r="AA4" i="4" s="1"/>
  <c r="AI34" i="3"/>
  <c r="AI4" i="3" s="1"/>
  <c r="S34" i="3"/>
  <c r="S4" i="3" s="1"/>
  <c r="AH34" i="3"/>
  <c r="AH4" i="3" s="1"/>
  <c r="R34" i="3"/>
  <c r="R4" i="3" s="1"/>
  <c r="AG34" i="3"/>
  <c r="AG4" i="3" s="1"/>
  <c r="Q34" i="3"/>
  <c r="Q4" i="3" s="1"/>
  <c r="T34" i="3"/>
  <c r="T4" i="3" s="1"/>
  <c r="L34" i="3"/>
  <c r="L4" i="3" s="1"/>
  <c r="AE34" i="3"/>
  <c r="AE4" i="3" s="1"/>
  <c r="O34" i="3"/>
  <c r="O4" i="3" s="1"/>
  <c r="AD34" i="3"/>
  <c r="AD4" i="3" s="1"/>
  <c r="N34" i="3"/>
  <c r="N4" i="3" s="1"/>
  <c r="AC34" i="3"/>
  <c r="AC4" i="3" s="1"/>
  <c r="M34" i="3"/>
  <c r="M4" i="3" s="1"/>
  <c r="AF34" i="3"/>
  <c r="AF4" i="3" s="1"/>
  <c r="H34" i="3"/>
  <c r="H4" i="3" s="1"/>
  <c r="AA34" i="3"/>
  <c r="AA4" i="3" s="1"/>
  <c r="K34" i="3"/>
  <c r="K4" i="3" s="1"/>
  <c r="Z34" i="3"/>
  <c r="Z4" i="3" s="1"/>
  <c r="J34" i="3"/>
  <c r="J4" i="3" s="1"/>
  <c r="Y34" i="3"/>
  <c r="Y4" i="3" s="1"/>
  <c r="I34" i="3"/>
  <c r="I4" i="3" s="1"/>
  <c r="P34" i="3"/>
  <c r="P4" i="3" s="1"/>
  <c r="X34" i="3"/>
  <c r="X4" i="3" s="1"/>
  <c r="W34" i="3"/>
  <c r="W4" i="3" s="1"/>
  <c r="G34" i="3"/>
  <c r="G4" i="3" s="1"/>
  <c r="V34" i="3"/>
  <c r="V4" i="3" s="1"/>
  <c r="F34" i="3"/>
  <c r="F4" i="3" s="1"/>
  <c r="U34" i="3"/>
  <c r="U4" i="3" s="1"/>
  <c r="E34" i="3"/>
  <c r="AB34" i="3"/>
  <c r="AB4" i="3" s="1"/>
  <c r="AI3" i="17" l="1"/>
  <c r="AJ2" i="17"/>
  <c r="AI3" i="16"/>
  <c r="AJ2" i="16"/>
  <c r="BD2" i="30"/>
  <c r="BC3" i="30"/>
  <c r="AI3" i="15"/>
  <c r="AJ2" i="15"/>
  <c r="AI4" i="7"/>
  <c r="D4" i="7" s="1"/>
  <c r="D5" i="7"/>
  <c r="E4" i="3"/>
  <c r="D4" i="3" s="1"/>
  <c r="D34" i="3"/>
  <c r="D34" i="4"/>
  <c r="E4" i="4"/>
  <c r="D4" i="4" s="1"/>
  <c r="AJ3" i="17" l="1"/>
  <c r="AK2" i="17"/>
  <c r="AJ3" i="16"/>
  <c r="AK2" i="16"/>
  <c r="BE2" i="30"/>
  <c r="BD3" i="30"/>
  <c r="AJ3" i="15"/>
  <c r="AK2" i="15"/>
  <c r="AK3" i="17" l="1"/>
  <c r="AL2" i="17"/>
  <c r="AK3" i="16"/>
  <c r="AL2" i="16"/>
  <c r="BE3" i="30"/>
  <c r="BF2" i="30"/>
  <c r="BF3" i="30" s="1"/>
  <c r="AK3" i="15"/>
  <c r="AL2" i="15"/>
  <c r="AL3" i="17" l="1"/>
  <c r="AM2" i="17"/>
  <c r="AL3" i="16"/>
  <c r="AM2" i="16"/>
  <c r="AL3" i="15"/>
  <c r="AM2" i="15"/>
  <c r="AM3" i="17" l="1"/>
  <c r="AN2" i="17"/>
  <c r="AM3" i="16"/>
  <c r="AN2" i="16"/>
  <c r="AN2" i="15"/>
  <c r="AM3" i="15"/>
  <c r="AN3" i="17" l="1"/>
  <c r="AO2" i="17"/>
  <c r="AN3" i="16"/>
  <c r="AO2" i="16"/>
  <c r="AN3" i="15"/>
  <c r="AO2" i="15"/>
  <c r="AO3" i="17" l="1"/>
  <c r="AP2" i="17"/>
  <c r="AO3" i="16"/>
  <c r="AP2" i="16"/>
  <c r="AO3" i="15"/>
  <c r="AP2" i="15"/>
  <c r="AP3" i="17" l="1"/>
  <c r="AQ2" i="17"/>
  <c r="AP3" i="16"/>
  <c r="AQ2" i="16"/>
  <c r="AP3" i="15"/>
  <c r="AQ2" i="15"/>
  <c r="AQ3" i="17" l="1"/>
  <c r="AR2" i="17"/>
  <c r="AR3" i="17" s="1"/>
  <c r="AQ3" i="16"/>
  <c r="AR2" i="16"/>
  <c r="AQ3" i="15"/>
  <c r="AR2" i="15"/>
  <c r="AR3" i="16" l="1"/>
  <c r="AS2" i="16"/>
  <c r="AR3" i="15"/>
  <c r="AS2" i="15"/>
  <c r="AT2" i="16" l="1"/>
  <c r="AS3" i="16"/>
  <c r="AS3" i="15"/>
  <c r="AT2" i="15"/>
  <c r="AT3" i="16" l="1"/>
  <c r="AU2" i="16"/>
  <c r="AT3" i="15"/>
  <c r="AU2" i="15"/>
  <c r="AU3" i="16" l="1"/>
  <c r="AV2" i="16"/>
  <c r="AU3" i="15"/>
  <c r="AV2" i="15"/>
  <c r="AV3" i="16" l="1"/>
  <c r="AW2" i="16"/>
  <c r="AV3" i="15"/>
  <c r="AW2" i="15"/>
  <c r="B7" i="29"/>
  <c r="A11" i="29"/>
  <c r="A15" i="29" l="1"/>
  <c r="B11" i="29"/>
  <c r="AW3" i="16"/>
  <c r="AX2" i="16"/>
  <c r="AW3" i="15"/>
  <c r="AX2" i="15"/>
  <c r="A19" i="29" l="1"/>
  <c r="B15" i="29"/>
  <c r="AX3" i="16"/>
  <c r="AY2" i="16"/>
  <c r="AX3" i="15"/>
  <c r="AY2" i="15"/>
  <c r="B19" i="29" l="1"/>
  <c r="A23" i="29"/>
  <c r="AY3" i="16"/>
  <c r="AZ2" i="16"/>
  <c r="AY3" i="15"/>
  <c r="AZ2" i="15"/>
  <c r="A27" i="29" l="1"/>
  <c r="B23" i="29"/>
  <c r="AZ3" i="16"/>
  <c r="BA2" i="16"/>
  <c r="AZ3" i="15"/>
  <c r="BA2" i="15"/>
  <c r="BA3" i="16" l="1"/>
  <c r="BB2" i="16"/>
  <c r="B27" i="29"/>
  <c r="A31" i="29"/>
  <c r="BB2" i="15"/>
  <c r="BA3" i="15"/>
  <c r="BB3" i="16" l="1"/>
  <c r="BC2" i="16"/>
  <c r="A35" i="29"/>
  <c r="B31" i="29"/>
  <c r="BB3" i="15"/>
  <c r="BC2" i="15"/>
  <c r="BC3" i="16" l="1"/>
  <c r="BD2" i="16"/>
  <c r="B35" i="29"/>
  <c r="A39" i="29"/>
  <c r="BC3" i="15"/>
  <c r="BD2" i="15"/>
  <c r="BD3" i="16" l="1"/>
  <c r="BE2" i="16"/>
  <c r="B39" i="29"/>
  <c r="A43" i="29"/>
  <c r="BE2" i="15"/>
  <c r="BD3" i="15"/>
  <c r="A47" i="29" l="1"/>
  <c r="B43" i="29"/>
  <c r="BE3" i="16"/>
  <c r="BF2" i="16"/>
  <c r="BE3" i="15"/>
  <c r="BF2" i="15"/>
  <c r="BF3" i="15" l="1"/>
  <c r="BG2" i="15"/>
  <c r="BF3" i="16"/>
  <c r="BG2" i="16"/>
  <c r="B47" i="29"/>
  <c r="A51" i="29"/>
  <c r="BG3" i="15" l="1"/>
  <c r="BH2" i="15"/>
  <c r="BG3" i="16"/>
  <c r="BH2" i="16"/>
  <c r="B51" i="29"/>
  <c r="A55" i="29"/>
  <c r="BH3" i="15" l="1"/>
  <c r="BI2" i="15"/>
  <c r="BH3" i="16"/>
  <c r="BI2" i="16"/>
  <c r="A59" i="29"/>
  <c r="B55" i="29"/>
  <c r="BI3" i="15" l="1"/>
  <c r="BJ2" i="15"/>
  <c r="BI3" i="16"/>
  <c r="BJ2" i="16"/>
  <c r="B59" i="29"/>
  <c r="A63" i="29"/>
  <c r="A67" i="29" l="1"/>
  <c r="B63" i="29"/>
  <c r="BJ3" i="15"/>
  <c r="BK2" i="15"/>
  <c r="BJ3" i="16"/>
  <c r="BK2" i="16"/>
  <c r="BK3" i="15" l="1"/>
  <c r="BL2" i="15"/>
  <c r="BK3" i="16"/>
  <c r="BL2" i="16"/>
  <c r="BL3" i="16" s="1"/>
  <c r="A71" i="29"/>
  <c r="B67" i="29"/>
  <c r="BL3" i="15" l="1"/>
  <c r="BM2" i="15"/>
  <c r="BM3" i="15" s="1"/>
  <c r="B71" i="29"/>
  <c r="A75" i="29"/>
  <c r="B75" i="29" l="1"/>
  <c r="A79" i="29"/>
  <c r="A83" i="29" l="1"/>
  <c r="B79" i="29"/>
  <c r="A87" i="29" l="1"/>
  <c r="B83" i="29"/>
  <c r="B87" i="29"/>
  <c r="A91" i="29"/>
  <c r="A95" i="29" l="1"/>
  <c r="B91" i="29"/>
  <c r="B95" i="29" l="1"/>
  <c r="A99" i="29"/>
  <c r="B99" i="29" l="1"/>
  <c r="A103" i="29"/>
  <c r="A107" i="29" l="1"/>
  <c r="B107" i="29" s="1"/>
  <c r="B103" i="29"/>
  <c r="A111" i="29" l="1"/>
  <c r="A115" i="29" s="1"/>
  <c r="B111" i="29" l="1"/>
  <c r="B115" i="29"/>
  <c r="A119" i="29"/>
  <c r="A123" i="29" l="1"/>
  <c r="B119" i="29"/>
  <c r="A127" i="29" l="1"/>
  <c r="B123" i="29"/>
  <c r="A131" i="29" l="1"/>
  <c r="B127" i="29"/>
  <c r="B131" i="29" l="1"/>
  <c r="A135" i="29"/>
  <c r="A139" i="29" l="1"/>
  <c r="B135" i="29"/>
  <c r="B139" i="29" l="1"/>
  <c r="A143" i="29"/>
  <c r="B143" i="29" l="1"/>
  <c r="A147" i="29"/>
  <c r="A151" i="29" l="1"/>
  <c r="B147" i="29"/>
  <c r="B151" i="29" l="1"/>
  <c r="A155" i="29"/>
  <c r="B155" i="29" l="1"/>
  <c r="A159" i="29"/>
  <c r="B159" i="29" s="1"/>
</calcChain>
</file>

<file path=xl/comments1.xml><?xml version="1.0" encoding="utf-8"?>
<comments xmlns="http://schemas.openxmlformats.org/spreadsheetml/2006/main">
  <authors>
    <author>FILLER MASTERBATCH</author>
  </authors>
  <commentList>
    <comment ref="AY8" authorId="0" shapeId="0">
      <text>
        <r>
          <rPr>
            <b/>
            <sz val="9"/>
            <color indexed="81"/>
            <rFont val="Tahoma"/>
            <family val="2"/>
          </rPr>
          <t>8803qc=163t
8513ak=324t
8514hh=48t
thừa 34 tấn vmi15
11/11/2022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FILLER MASTERBATCH</author>
  </authors>
  <commentList>
    <comment ref="AY8" authorId="0" shapeId="0">
      <text>
        <r>
          <rPr>
            <b/>
            <sz val="9"/>
            <color indexed="81"/>
            <rFont val="Tahoma"/>
            <family val="2"/>
          </rPr>
          <t>8803qc=163t
8513ak=324t
8514hh=48t
thừa 34 tấn vmi15
11/11/2022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<sst xmlns="http://schemas.openxmlformats.org/spreadsheetml/2006/main" count="2152" uniqueCount="237">
  <si>
    <t>M2</t>
  </si>
  <si>
    <t>M3</t>
  </si>
  <si>
    <t>TT</t>
  </si>
  <si>
    <t>TÊN SẢN PHẨM</t>
  </si>
  <si>
    <t>FILE THEO DÕI SẢN LƯỢNG BTP DỞ DANG THỰC TẾ HẰNG NGÀY</t>
  </si>
  <si>
    <t>FILE THEO DÕI SẢN LƯỢNG PHẾ THỰC TẾ HẰNG NGÀY</t>
  </si>
  <si>
    <t>Tổng SL Phế Thực Tế (kg)</t>
  </si>
  <si>
    <t>TỔNG</t>
  </si>
  <si>
    <t>SL</t>
  </si>
  <si>
    <t>Tổng SL Theo Đơn Hàng</t>
  </si>
  <si>
    <t>FILE THEO DÕI SẢN LƯỢNG THÀNH PHẨM XUẤT KHO</t>
  </si>
  <si>
    <t>BTP Thực Tế (kg)</t>
  </si>
  <si>
    <t>YBM</t>
  </si>
  <si>
    <t>VMI</t>
  </si>
  <si>
    <t>BL</t>
  </si>
  <si>
    <t>THỨ</t>
  </si>
  <si>
    <t>25TL</t>
  </si>
  <si>
    <t>30TL</t>
  </si>
  <si>
    <t>15TL</t>
  </si>
  <si>
    <t>20TL</t>
  </si>
  <si>
    <t>M1</t>
  </si>
  <si>
    <t>Ngày tháng</t>
  </si>
  <si>
    <t>USD</t>
  </si>
  <si>
    <t>LIÊN HỆ PHÒNG HỖ TRỢ LẤY BÁO CÁO CÔNG NỢ</t>
  </si>
  <si>
    <t>THỜI HẠN THANH TOÁN</t>
  </si>
  <si>
    <t>QUÁ HẠN THANH TOÁN</t>
  </si>
  <si>
    <t>STT</t>
  </si>
  <si>
    <t>PHÂN TÍCH CƠ CẤU SẢN PHẨM</t>
  </si>
  <si>
    <t>Loại sản phẩm</t>
  </si>
  <si>
    <t>TỔNG SẢN PHẨM THÁNG</t>
  </si>
  <si>
    <t>Tỷ lệ % trong tháng</t>
  </si>
  <si>
    <t>BIỂU ĐỒ ĐÁNH GIÁ CƠ CẤU SẢN PHẨM</t>
  </si>
  <si>
    <t>ĐVT</t>
  </si>
  <si>
    <t>Kg</t>
  </si>
  <si>
    <t>Tổng</t>
  </si>
  <si>
    <t>TỔNG SẢN PHẨM THEO VÙNG</t>
  </si>
  <si>
    <t>Mã quốc gia lãnh thổ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</si>
  <si>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</si>
  <si>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</si>
  <si>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</si>
  <si>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</si>
  <si>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</si>
  <si>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</si>
  <si>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</si>
  <si>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</si>
  <si>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</si>
  <si>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</si>
  <si>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</si>
  <si>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</si>
  <si>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</si>
  <si>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</si>
  <si>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</si>
  <si>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</si>
  <si>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Sản lượng vùng</t>
  </si>
  <si>
    <t>BIỂU ĐỒ ĐÁNH GIÁ CƠ CẤU VÙNG MIỀN</t>
  </si>
  <si>
    <t>PHÂN TÍCH CƠ CẤU VÙNG MIỀN</t>
  </si>
  <si>
    <t>Phân loại giá</t>
  </si>
  <si>
    <t>Mức giá</t>
  </si>
  <si>
    <t>PHÂN LOẠI GIÁ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</si>
  <si>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</si>
  <si>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</si>
  <si>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</si>
  <si>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</si>
  <si>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</si>
  <si>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</si>
  <si>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</si>
  <si>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</si>
  <si>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</si>
  <si>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</si>
  <si>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</si>
  <si>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</si>
  <si>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</si>
  <si>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</si>
  <si>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</si>
  <si>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</si>
  <si>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</si>
  <si>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</si>
  <si>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240-250</t>
  </si>
  <si>
    <t>251-260</t>
  </si>
  <si>
    <t>261-270</t>
  </si>
  <si>
    <t>271-280</t>
  </si>
  <si>
    <t>281-290</t>
  </si>
  <si>
    <t>291-300</t>
  </si>
  <si>
    <t>301-310</t>
  </si>
  <si>
    <t>311-320</t>
  </si>
  <si>
    <t>321-330</t>
  </si>
  <si>
    <t>331-340</t>
  </si>
  <si>
    <t>341-350</t>
  </si>
  <si>
    <t>351-360</t>
  </si>
  <si>
    <t>361-370</t>
  </si>
  <si>
    <t>371-380</t>
  </si>
  <si>
    <t>381-390</t>
  </si>
  <si>
    <t>391-400</t>
  </si>
  <si>
    <t>401-410</t>
  </si>
  <si>
    <t>411-420</t>
  </si>
  <si>
    <t>Tổng doanh thu</t>
  </si>
  <si>
    <t>PHÂN TÍCH CƠ CẤU GIÁ</t>
  </si>
  <si>
    <t>1</t>
  </si>
  <si>
    <t>PHÂN TÍCH CƠ CẤU SẢN PHẨM, EM LẤY THÔNG TIN TỪ BẢNG THEO DÕI HỢP ĐỒNG</t>
  </si>
  <si>
    <t>2</t>
  </si>
  <si>
    <t>3</t>
  </si>
  <si>
    <t>Mã SX</t>
  </si>
  <si>
    <t>Luồng dự kiến</t>
  </si>
  <si>
    <t>HĐ</t>
  </si>
  <si>
    <t>8511S</t>
  </si>
  <si>
    <t>8802SCR</t>
  </si>
  <si>
    <t>Luồng</t>
  </si>
  <si>
    <t>MÁY 01-PE</t>
  </si>
  <si>
    <t>MÁY 03-PE-PP</t>
  </si>
  <si>
    <t>PHÂN BỔ SẢN XUẤT</t>
  </si>
  <si>
    <t>Máy sản xuất</t>
  </si>
  <si>
    <t>Luồng ưu tiên</t>
  </si>
  <si>
    <t>Luồng sản xuất</t>
  </si>
  <si>
    <t>Thứ</t>
  </si>
  <si>
    <t>MÁY 02-PP</t>
  </si>
  <si>
    <t>8803</t>
  </si>
  <si>
    <t>NGHỈ</t>
  </si>
  <si>
    <t>8803QC</t>
  </si>
  <si>
    <t>MGC-VSTAR</t>
  </si>
  <si>
    <t>8802S</t>
  </si>
  <si>
    <t>WJ22</t>
  </si>
  <si>
    <t>8514HH</t>
  </si>
  <si>
    <t>MGC-VMI 01</t>
  </si>
  <si>
    <t>8805</t>
  </si>
  <si>
    <t>8804SI</t>
  </si>
  <si>
    <t>8513AK</t>
  </si>
  <si>
    <t>WJ23</t>
  </si>
  <si>
    <t>WJ24</t>
  </si>
  <si>
    <t>WJ26</t>
  </si>
  <si>
    <t>NGHỈ SƯA MÁY</t>
  </si>
  <si>
    <t>NGHỈ SỬA MÁY</t>
  </si>
  <si>
    <t>8514HD</t>
  </si>
  <si>
    <t>VTM159</t>
  </si>
  <si>
    <t>VTM164</t>
  </si>
  <si>
    <t>VTM165</t>
  </si>
  <si>
    <t>0105/FM-AFP</t>
  </si>
  <si>
    <t>8518BD</t>
  </si>
  <si>
    <t>8808RC</t>
  </si>
  <si>
    <t>8616SC</t>
  </si>
  <si>
    <t>8517B</t>
  </si>
  <si>
    <t>8514BD</t>
  </si>
  <si>
    <t>8512VS</t>
  </si>
  <si>
    <t>8517</t>
  </si>
  <si>
    <t>8514B</t>
  </si>
  <si>
    <t>Thời gian</t>
  </si>
  <si>
    <t>Em kính nhờ anh Đại sản xuất cho em ngày Chủ nhật,chị Sam sẽ mua trà sữa cho cả nhà máy anh</t>
  </si>
  <si>
    <t>có thể dư 12 tiếng</t>
  </si>
  <si>
    <t>8320T</t>
  </si>
  <si>
    <t>W8345</t>
  </si>
  <si>
    <t>KT lại Kho TP</t>
  </si>
  <si>
    <t>SX 1 ca</t>
  </si>
  <si>
    <t>được  chen 02 ngày</t>
  </si>
  <si>
    <t>8804TK</t>
  </si>
  <si>
    <t>lùi đc 2 ngày</t>
  </si>
  <si>
    <t>VTM</t>
  </si>
  <si>
    <t>(RBD:6T)</t>
  </si>
  <si>
    <t>RBD</t>
  </si>
  <si>
    <t>8323W</t>
  </si>
  <si>
    <t>Lùi lịch giao hàng 1/2 ngày</t>
  </si>
  <si>
    <t>SAM +Dũng lịch giao hàng</t>
  </si>
  <si>
    <t>JT 30+ 8802SCR</t>
  </si>
  <si>
    <t>(ưu tiên 10T LT)</t>
  </si>
  <si>
    <t>zd69</t>
  </si>
  <si>
    <t>RBDB</t>
  </si>
  <si>
    <t>QC</t>
  </si>
  <si>
    <t>RDB</t>
  </si>
  <si>
    <t>WZ</t>
  </si>
  <si>
    <t>8805TK</t>
  </si>
  <si>
    <t>SAM</t>
  </si>
  <si>
    <t>VTM167</t>
  </si>
  <si>
    <t>WJ25</t>
  </si>
  <si>
    <t>8804 SI</t>
  </si>
  <si>
    <t>VTM161</t>
  </si>
  <si>
    <t>KẾ HOẠCH GIAO HÀNG</t>
  </si>
  <si>
    <t>MAHA</t>
  </si>
  <si>
    <t>EV01</t>
  </si>
  <si>
    <t>W8323W</t>
  </si>
  <si>
    <t>8800</t>
  </si>
  <si>
    <t>VTM 169</t>
  </si>
  <si>
    <t>WZ30</t>
  </si>
  <si>
    <t>WZ31</t>
  </si>
  <si>
    <t>WZ32</t>
  </si>
  <si>
    <t>WZ33</t>
  </si>
  <si>
    <t>BBHD</t>
  </si>
  <si>
    <t>TK</t>
  </si>
  <si>
    <t>SC</t>
  </si>
  <si>
    <t>VTM 160</t>
  </si>
  <si>
    <t>ZD68</t>
  </si>
  <si>
    <t>ZD69</t>
  </si>
  <si>
    <t>8517BD</t>
  </si>
  <si>
    <t>ZD70</t>
  </si>
  <si>
    <t>VTM 168</t>
  </si>
  <si>
    <t>HH</t>
  </si>
  <si>
    <t>MP</t>
  </si>
  <si>
    <t>REHMAN</t>
  </si>
  <si>
    <t>chạy 2 máy</t>
  </si>
  <si>
    <t>DỪNG SỬA MÁY</t>
  </si>
  <si>
    <t>VTM162</t>
  </si>
  <si>
    <t>VTM163</t>
  </si>
  <si>
    <t>8804</t>
  </si>
  <si>
    <t>TRUNG KIÊN</t>
  </si>
  <si>
    <t>W8323</t>
  </si>
  <si>
    <t>wz</t>
  </si>
  <si>
    <t>8808</t>
  </si>
  <si>
    <t>8515JK</t>
  </si>
  <si>
    <t>8808DR</t>
  </si>
  <si>
    <t>BĐL</t>
  </si>
  <si>
    <t>ANH PHƯƠNG</t>
  </si>
  <si>
    <t>WZ37</t>
  </si>
  <si>
    <t>WZ38</t>
  </si>
  <si>
    <t>WZ39</t>
  </si>
  <si>
    <t>nghỉ</t>
  </si>
  <si>
    <t>8802</t>
  </si>
  <si>
    <t>W8340</t>
  </si>
  <si>
    <t>W8320</t>
  </si>
  <si>
    <t>VTM160</t>
  </si>
  <si>
    <t>WZ25</t>
  </si>
  <si>
    <t>wz27</t>
  </si>
  <si>
    <t>VTM170</t>
  </si>
  <si>
    <t>VTM172</t>
  </si>
  <si>
    <t>VTM169</t>
  </si>
  <si>
    <t>VTM171</t>
  </si>
  <si>
    <t>VTM173</t>
  </si>
  <si>
    <t>WZ190523-30</t>
  </si>
  <si>
    <t>SL THỰC</t>
  </si>
  <si>
    <t>SL THƯC</t>
  </si>
  <si>
    <t>WZ190523-32</t>
  </si>
  <si>
    <t>WZ190523-29</t>
  </si>
  <si>
    <t>WZ-190523-33</t>
  </si>
  <si>
    <t>WZ-190523-34</t>
  </si>
  <si>
    <t>WZ-190523-35</t>
  </si>
  <si>
    <t>WZ36</t>
  </si>
  <si>
    <t>WZ190523-31</t>
  </si>
  <si>
    <t>DIGITEQ</t>
  </si>
  <si>
    <t>PE6S</t>
  </si>
  <si>
    <t>HLT</t>
  </si>
  <si>
    <t>SAM-UAE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</si>
</sst>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_ * #,##0.00_ ;_ * \-#,##0.00_ ;_ * &quot;-&quot;??_ ;_ @_ "/>
    <numFmt numFmtId="165" formatCode="_ * #,##0_ ;_ * \-#,##0_ ;_ * &quot;-&quot;??_ ;_ @_ "/>
    <numFmt numFmtId="166" formatCode="_(* #,##0_);_(* \(#,##0\);_(* &quot;-&quot;??_);_(@_)"/>
    <numFmt numFmtId="167" formatCode="d/m;@"/>
    <numFmt numFmtId="168" formatCode="dd/m;@"/>
    <numFmt numFmtId="169" formatCode="dd/mm"/>
    <numFmt numFmtId="170" formatCode="_ * #,###_ ;_ * \-#,###_ ;_ * &quot;-&quot;??_ ;_ @_ "/>
    <numFmt numFmtId="171" formatCode="_ * #,##0.0_ ;_ * \-#,##0.0_ ;_ * &quot;-&quot;??_ ;_ @_ "/>
  </numFmts>
  <fonts count="69" x14ac:knownFonts="1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Times New Roman"/>
      <family val="1"/>
    </font>
    <font>
      <sz val="14"/>
      <color theme="1"/>
      <name val="Times New Roman"/>
      <family val="1"/>
    </font>
    <font>
      <b/>
      <sz val="14"/>
      <color rgb="FF008000"/>
      <name val="Times New Roman"/>
      <family val="1"/>
    </font>
    <font>
      <b/>
      <sz val="12"/>
      <color rgb="FF008000"/>
      <name val="Times New Roman"/>
      <family val="1"/>
    </font>
    <font>
      <b/>
      <sz val="12"/>
      <color theme="1"/>
      <name val="Times New Roman"/>
      <family val="1"/>
    </font>
    <font>
      <b/>
      <sz val="16"/>
      <color rgb="FF0000FF"/>
      <name val="Times New Roman"/>
      <family val="1"/>
    </font>
    <font>
      <sz val="12"/>
      <color theme="1"/>
      <name val="Times New Roman"/>
      <family val="1"/>
    </font>
    <font>
      <b/>
      <sz val="14"/>
      <color theme="1"/>
      <name val="Times New Roman"/>
      <family val="1"/>
    </font>
    <font>
      <b/>
      <sz val="12"/>
      <name val="Times New Roman"/>
      <family val="1"/>
    </font>
    <font>
      <b/>
      <sz val="14"/>
      <color rgb="FF0000FF"/>
      <name val="Times New Roman"/>
      <family val="1"/>
    </font>
    <font>
      <b/>
      <sz val="13"/>
      <color rgb="FF0000FF"/>
      <name val="Times New Roman"/>
      <family val="1"/>
    </font>
    <font>
      <sz val="10"/>
      <name val="Cambria"/>
      <family val="1"/>
    </font>
    <font>
      <sz val="14"/>
      <color theme="1"/>
      <name val="Cambria"/>
      <family val="1"/>
    </font>
    <font>
      <b/>
      <sz val="12"/>
      <color theme="0"/>
      <name val="Cambria"/>
      <family val="1"/>
    </font>
    <font>
      <b/>
      <sz val="14"/>
      <color theme="1"/>
      <name val="Cambria"/>
      <family val="1"/>
    </font>
    <font>
      <b/>
      <sz val="12"/>
      <color theme="1"/>
      <name val="Cambria"/>
      <family val="1"/>
    </font>
    <font>
      <b/>
      <sz val="12"/>
      <name val="Cambria"/>
      <family val="1"/>
    </font>
    <font>
      <sz val="12"/>
      <name val="Cambria"/>
      <family val="1"/>
    </font>
    <font>
      <b/>
      <sz val="13"/>
      <name val="Cambria"/>
      <family val="1"/>
    </font>
    <font>
      <sz val="13"/>
      <name val="Cambria"/>
      <family val="1"/>
    </font>
    <font>
      <sz val="11"/>
      <color theme="1"/>
      <name val="Cambria"/>
      <family val="1"/>
    </font>
    <font>
      <b/>
      <sz val="12"/>
      <color rgb="FF0000FF"/>
      <name val="Cambria"/>
      <family val="1"/>
    </font>
    <font>
      <b/>
      <sz val="12"/>
      <color rgb="FF008000"/>
      <name val="Cambria"/>
      <family val="1"/>
    </font>
    <font>
      <b/>
      <sz val="14"/>
      <color rgb="FF008000"/>
      <name val="Cambria"/>
      <family val="1"/>
    </font>
    <font>
      <b/>
      <sz val="12"/>
      <color rgb="FF002060"/>
      <name val="Cambria"/>
      <family val="1"/>
    </font>
    <font>
      <b/>
      <sz val="14"/>
      <name val="Cambria"/>
      <family val="1"/>
    </font>
    <font>
      <sz val="12"/>
      <color theme="1"/>
      <name val="Cambria"/>
      <family val="1"/>
    </font>
    <font>
      <b/>
      <sz val="16"/>
      <color rgb="FF0000FF"/>
      <name val="Cambria"/>
      <family val="1"/>
    </font>
    <font>
      <b/>
      <sz val="11"/>
      <color theme="1"/>
      <name val="Cambria"/>
      <family val="1"/>
    </font>
    <font>
      <b/>
      <sz val="14"/>
      <color theme="8" tint="-0.249977111117893"/>
      <name val="Cambria"/>
      <family val="1"/>
    </font>
    <font>
      <b/>
      <sz val="14"/>
      <color rgb="FFFF0000"/>
      <name val="Cambria"/>
      <family val="1"/>
    </font>
    <font>
      <b/>
      <sz val="12"/>
      <color theme="8" tint="-0.499984740745262"/>
      <name val="Cambria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6"/>
      <color theme="0"/>
      <name val="Cambria"/>
      <family val="1"/>
    </font>
    <font>
      <b/>
      <sz val="13"/>
      <color theme="0"/>
      <name val="Cambria"/>
      <family val="1"/>
    </font>
    <font>
      <b/>
      <sz val="24"/>
      <color theme="0"/>
      <name val="Cambria"/>
      <family val="1"/>
    </font>
    <font>
      <b/>
      <sz val="16"/>
      <name val="Cambria"/>
      <family val="1"/>
    </font>
    <font>
      <sz val="16"/>
      <name val="Cambria"/>
      <family val="1"/>
    </font>
    <font>
      <b/>
      <sz val="10"/>
      <name val="Cambria"/>
      <family val="1"/>
    </font>
    <font>
      <b/>
      <i/>
      <sz val="10"/>
      <name val="Cambria"/>
      <family val="1"/>
    </font>
    <font>
      <sz val="14"/>
      <name val="Cambria"/>
      <family val="1"/>
    </font>
    <font>
      <b/>
      <sz val="20"/>
      <color theme="0"/>
      <name val="Cambria"/>
      <family val="1"/>
    </font>
    <font>
      <sz val="20"/>
      <name val="Cambria"/>
      <family val="1"/>
    </font>
    <font>
      <b/>
      <sz val="10"/>
      <color theme="8" tint="-0.499984740745262"/>
      <name val="Cambria"/>
      <family val="1"/>
    </font>
    <font>
      <b/>
      <sz val="16"/>
      <color theme="8" tint="-0.499984740745262"/>
      <name val="Cambria"/>
      <family val="1"/>
    </font>
    <font>
      <b/>
      <sz val="10"/>
      <color rgb="FFFF0000"/>
      <name val="Cambria"/>
      <family val="1"/>
    </font>
    <font>
      <b/>
      <sz val="10"/>
      <color theme="1"/>
      <name val="Cambria"/>
      <family val="1"/>
    </font>
    <font>
      <sz val="10"/>
      <color theme="1"/>
      <name val="Cambria"/>
      <family val="1"/>
    </font>
    <font>
      <b/>
      <sz val="10"/>
      <color rgb="FFD8F5FC"/>
      <name val="Cambria"/>
      <family val="1"/>
    </font>
    <font>
      <sz val="10"/>
      <color rgb="FFD8F5FC"/>
      <name val="Cambria"/>
      <family val="1"/>
    </font>
    <font>
      <b/>
      <sz val="8"/>
      <color theme="0"/>
      <name val="Cambria"/>
      <family val="1"/>
    </font>
    <font>
      <b/>
      <sz val="8"/>
      <color theme="8" tint="-0.499984740745262"/>
      <name val="Cambria"/>
      <family val="1"/>
    </font>
    <font>
      <b/>
      <sz val="8"/>
      <name val="Cambria"/>
      <family val="1"/>
    </font>
    <font>
      <b/>
      <sz val="8"/>
      <color rgb="FFFF0000"/>
      <name val="Cambria"/>
      <family val="1"/>
    </font>
    <font>
      <b/>
      <sz val="20"/>
      <name val="Cambria"/>
      <family val="1"/>
    </font>
    <font>
      <b/>
      <sz val="9"/>
      <name val="Cambria"/>
      <family val="1"/>
    </font>
    <font>
      <b/>
      <sz val="9"/>
      <color rgb="FFD8F5FC"/>
      <name val="Cambria"/>
      <family val="1"/>
    </font>
  </fonts>
  <fills count="3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D3FFD8"/>
        <bgColor indexed="64"/>
      </patternFill>
    </fill>
    <fill>
      <patternFill patternType="solid">
        <fgColor rgb="FFCAFEE6"/>
        <bgColor indexed="64"/>
      </patternFill>
    </fill>
    <fill>
      <patternFill patternType="solid">
        <fgColor rgb="FFAFEA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EF6F0"/>
        <bgColor indexed="64"/>
      </patternFill>
    </fill>
    <fill>
      <patternFill patternType="solid">
        <fgColor rgb="FFBDFFDB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8F5FC"/>
        <bgColor indexed="64"/>
      </patternFill>
    </fill>
    <fill>
      <patternFill patternType="solid">
        <fgColor rgb="FF0097CC"/>
        <bgColor indexed="64"/>
      </patternFill>
    </fill>
    <fill>
      <patternFill patternType="solid">
        <fgColor rgb="FFFDECE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BFAE5"/>
        <bgColor indexed="64"/>
      </patternFill>
    </fill>
    <fill>
      <patternFill patternType="solid">
        <fgColor theme="0" tint="-4.9989318521683403E-2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32">
    <xf numFmtId="0" fontId="0" fillId="0" borderId="0">
      <alignment vertical="center"/>
    </xf>
    <xf numFmtId="164" fontId="10" fillId="0" borderId="0" applyFont="0" applyFill="0" applyBorder="0" applyAlignment="0" applyProtection="0">
      <alignment vertical="center"/>
    </xf>
    <xf numFmtId="0" fontId="17" fillId="0" borderId="0"/>
    <xf numFmtId="0" fontId="9" fillId="0" borderId="0"/>
    <xf numFmtId="0" fontId="10" fillId="0" borderId="0">
      <alignment vertical="center"/>
    </xf>
    <xf numFmtId="164" fontId="10" fillId="0" borderId="0" applyFont="0" applyFill="0" applyBorder="0" applyAlignment="0" applyProtection="0">
      <alignment vertical="center"/>
    </xf>
    <xf numFmtId="0" fontId="8" fillId="0" borderId="0"/>
    <xf numFmtId="0" fontId="10" fillId="0" borderId="0">
      <alignment vertical="center"/>
    </xf>
    <xf numFmtId="164" fontId="10" fillId="0" borderId="0" applyFont="0" applyFill="0" applyBorder="0" applyAlignment="0" applyProtection="0">
      <alignment vertical="center"/>
    </xf>
    <xf numFmtId="0" fontId="8" fillId="0" borderId="0"/>
    <xf numFmtId="0" fontId="7" fillId="0" borderId="0"/>
    <xf numFmtId="0" fontId="10" fillId="0" borderId="0">
      <alignment vertical="center"/>
    </xf>
    <xf numFmtId="164" fontId="10" fillId="0" borderId="0" applyFont="0" applyFill="0" applyBorder="0" applyAlignment="0" applyProtection="0">
      <alignment vertical="center"/>
    </xf>
    <xf numFmtId="0" fontId="7" fillId="0" borderId="0"/>
    <xf numFmtId="0" fontId="7" fillId="0" borderId="0"/>
    <xf numFmtId="0" fontId="7" fillId="0" borderId="0"/>
    <xf numFmtId="0" fontId="6" fillId="0" borderId="0"/>
    <xf numFmtId="0" fontId="10" fillId="0" borderId="0">
      <alignment vertical="center"/>
    </xf>
    <xf numFmtId="164" fontId="10" fillId="0" borderId="0" applyFont="0" applyFill="0" applyBorder="0" applyAlignment="0" applyProtection="0">
      <alignment vertical="center"/>
    </xf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10" fillId="0" borderId="0">
      <alignment vertical="center"/>
    </xf>
    <xf numFmtId="164" fontId="10" fillId="0" borderId="0" applyFont="0" applyFill="0" applyBorder="0" applyAlignment="0" applyProtection="0">
      <alignment vertic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10" fillId="0" borderId="0">
      <alignment vertical="center"/>
    </xf>
    <xf numFmtId="164" fontId="10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10" fillId="0" borderId="0">
      <alignment vertical="center"/>
    </xf>
    <xf numFmtId="164" fontId="10" fillId="0" borderId="0" applyFont="0" applyFill="0" applyBorder="0" applyAlignment="0" applyProtection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10" fillId="0" borderId="0">
      <alignment vertical="center"/>
    </xf>
    <xf numFmtId="164" fontId="10" fillId="0" borderId="0" applyFont="0" applyFill="0" applyBorder="0" applyAlignment="0" applyProtection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" fillId="0" borderId="0"/>
    <xf numFmtId="0" fontId="10" fillId="0" borderId="0">
      <alignment vertical="center"/>
    </xf>
    <xf numFmtId="164" fontId="10" fillId="0" borderId="0" applyFont="0" applyFill="0" applyBorder="0" applyAlignment="0" applyProtection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431">
    <xf numFmtId="0" fontId="0" fillId="0" borderId="0" xfId="0">
      <alignment vertical="center"/>
    </xf>
    <xf numFmtId="0" fontId="15" fillId="5" borderId="4" xfId="0" applyFont="1" applyFill="1" applyBorder="1" applyAlignment="1">
      <alignment horizontal="left" vertical="center" indent="1"/>
    </xf>
    <xf numFmtId="0" fontId="0" fillId="0" borderId="0" xfId="0" applyAlignment="1"/>
    <xf numFmtId="0" fontId="11" fillId="0" borderId="0" xfId="0" applyFont="1" applyAlignment="1"/>
    <xf numFmtId="0" fontId="12" fillId="0" borderId="0" xfId="0" applyFont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166" fontId="17" fillId="0" borderId="1" xfId="1" applyNumberFormat="1" applyFont="1" applyBorder="1" applyAlignment="1"/>
    <xf numFmtId="0" fontId="13" fillId="6" borderId="1" xfId="0" applyFont="1" applyFill="1" applyBorder="1" applyAlignment="1">
      <alignment horizontal="center" vertical="center"/>
    </xf>
    <xf numFmtId="0" fontId="13" fillId="6" borderId="1" xfId="0" applyFont="1" applyFill="1" applyBorder="1" applyAlignment="1">
      <alignment horizontal="center" vertical="center" wrapText="1"/>
    </xf>
    <xf numFmtId="0" fontId="13" fillId="2" borderId="3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 wrapText="1"/>
    </xf>
    <xf numFmtId="166" fontId="13" fillId="2" borderId="1" xfId="0" applyNumberFormat="1" applyFont="1" applyFill="1" applyBorder="1" applyAlignment="1">
      <alignment horizontal="center" vertical="center" wrapText="1"/>
    </xf>
    <xf numFmtId="166" fontId="18" fillId="0" borderId="1" xfId="1" applyNumberFormat="1" applyFont="1" applyBorder="1" applyAlignment="1"/>
    <xf numFmtId="168" fontId="21" fillId="6" borderId="1" xfId="0" applyNumberFormat="1" applyFont="1" applyFill="1" applyBorder="1" applyAlignment="1">
      <alignment horizontal="center" vertical="center"/>
    </xf>
    <xf numFmtId="0" fontId="19" fillId="5" borderId="1" xfId="17" applyFont="1" applyFill="1" applyBorder="1" applyAlignment="1" applyProtection="1">
      <alignment horizontal="left" vertical="center"/>
    </xf>
    <xf numFmtId="0" fontId="19" fillId="5" borderId="1" xfId="17" applyFont="1" applyFill="1" applyBorder="1" applyAlignment="1" applyProtection="1">
      <alignment horizontal="left" vertical="top"/>
    </xf>
    <xf numFmtId="0" fontId="31" fillId="0" borderId="0" xfId="0" applyFont="1" applyFill="1" applyBorder="1" applyAlignment="1" applyProtection="1">
      <protection locked="0"/>
    </xf>
    <xf numFmtId="0" fontId="34" fillId="6" borderId="1" xfId="0" applyFont="1" applyFill="1" applyBorder="1" applyAlignment="1" applyProtection="1">
      <alignment horizontal="center" vertical="center"/>
      <protection locked="0"/>
    </xf>
    <xf numFmtId="0" fontId="34" fillId="6" borderId="1" xfId="0" applyFont="1" applyFill="1" applyBorder="1" applyAlignment="1" applyProtection="1">
      <alignment horizontal="center" vertical="center" wrapText="1"/>
      <protection locked="0"/>
    </xf>
    <xf numFmtId="0" fontId="23" fillId="0" borderId="0" xfId="0" applyFont="1" applyFill="1" applyBorder="1" applyAlignment="1" applyProtection="1">
      <alignment horizontal="center" vertical="center"/>
      <protection locked="0"/>
    </xf>
    <xf numFmtId="0" fontId="34" fillId="2" borderId="3" xfId="0" applyFont="1" applyFill="1" applyBorder="1" applyAlignment="1" applyProtection="1">
      <alignment horizontal="center" vertical="center"/>
      <protection locked="0"/>
    </xf>
    <xf numFmtId="0" fontId="34" fillId="2" borderId="1" xfId="0" applyFont="1" applyFill="1" applyBorder="1" applyAlignment="1" applyProtection="1">
      <alignment horizontal="center" vertical="center" wrapText="1"/>
      <protection locked="0"/>
    </xf>
    <xf numFmtId="165" fontId="40" fillId="2" borderId="1" xfId="1" applyNumberFormat="1" applyFont="1" applyFill="1" applyBorder="1" applyAlignment="1" applyProtection="1">
      <alignment horizontal="center" vertical="center" wrapText="1"/>
    </xf>
    <xf numFmtId="166" fontId="32" fillId="2" borderId="1" xfId="1" applyNumberFormat="1" applyFont="1" applyFill="1" applyBorder="1" applyAlignment="1" applyProtection="1">
      <alignment horizontal="center" vertical="center"/>
    </xf>
    <xf numFmtId="0" fontId="33" fillId="0" borderId="1" xfId="0" applyFont="1" applyFill="1" applyBorder="1" applyAlignment="1" applyProtection="1">
      <alignment horizontal="center" vertical="center"/>
      <protection locked="0"/>
    </xf>
    <xf numFmtId="166" fontId="25" fillId="0" borderId="1" xfId="1" applyNumberFormat="1" applyFont="1" applyBorder="1" applyAlignment="1" applyProtection="1"/>
    <xf numFmtId="166" fontId="37" fillId="0" borderId="1" xfId="1" applyNumberFormat="1" applyFont="1" applyBorder="1" applyAlignment="1" applyProtection="1"/>
    <xf numFmtId="168" fontId="35" fillId="0" borderId="1" xfId="0" applyNumberFormat="1" applyFont="1" applyBorder="1" applyProtection="1">
      <alignment vertical="center"/>
    </xf>
    <xf numFmtId="0" fontId="27" fillId="5" borderId="1" xfId="17" applyFont="1" applyFill="1" applyBorder="1" applyAlignment="1" applyProtection="1">
      <alignment horizontal="left" vertical="center"/>
    </xf>
    <xf numFmtId="0" fontId="38" fillId="4" borderId="1" xfId="0" applyFont="1" applyFill="1" applyBorder="1" applyAlignment="1" applyProtection="1">
      <alignment vertical="center" wrapText="1"/>
      <protection locked="0"/>
    </xf>
    <xf numFmtId="0" fontId="41" fillId="6" borderId="1" xfId="0" applyFont="1" applyFill="1" applyBorder="1" applyAlignment="1" applyProtection="1">
      <alignment horizontal="center" vertical="center" wrapText="1"/>
      <protection locked="0"/>
    </xf>
    <xf numFmtId="167" fontId="35" fillId="0" borderId="1" xfId="0" applyNumberFormat="1" applyFont="1" applyBorder="1" applyProtection="1">
      <alignment vertical="center"/>
    </xf>
    <xf numFmtId="0" fontId="26" fillId="5" borderId="4" xfId="0" applyFont="1" applyFill="1" applyBorder="1" applyAlignment="1" applyProtection="1">
      <alignment horizontal="left" vertical="center" indent="1"/>
      <protection locked="0"/>
    </xf>
    <xf numFmtId="0" fontId="39" fillId="0" borderId="1" xfId="0" applyFont="1" applyFill="1" applyBorder="1" applyAlignment="1" applyProtection="1">
      <protection locked="0"/>
    </xf>
    <xf numFmtId="0" fontId="22" fillId="0" borderId="0" xfId="0" applyFont="1" applyProtection="1">
      <alignment vertical="center"/>
      <protection locked="0"/>
    </xf>
    <xf numFmtId="0" fontId="28" fillId="0" borderId="0" xfId="0" applyFont="1">
      <alignment vertical="center"/>
    </xf>
    <xf numFmtId="0" fontId="24" fillId="11" borderId="3" xfId="0" applyFont="1" applyFill="1" applyBorder="1" applyAlignment="1">
      <alignment horizontal="centerContinuous" vertical="center"/>
    </xf>
    <xf numFmtId="169" fontId="24" fillId="9" borderId="1" xfId="0" applyNumberFormat="1" applyFont="1" applyFill="1" applyBorder="1" applyAlignment="1">
      <alignment horizontal="center" vertical="center"/>
    </xf>
    <xf numFmtId="0" fontId="27" fillId="3" borderId="4" xfId="0" applyFont="1" applyFill="1" applyBorder="1" applyAlignment="1">
      <alignment horizontal="centerContinuous" vertical="center"/>
    </xf>
    <xf numFmtId="0" fontId="27" fillId="3" borderId="2" xfId="0" applyFont="1" applyFill="1" applyBorder="1" applyAlignment="1">
      <alignment horizontal="centerContinuous" vertical="center"/>
    </xf>
    <xf numFmtId="0" fontId="24" fillId="11" borderId="7" xfId="0" applyFont="1" applyFill="1" applyBorder="1" applyAlignment="1">
      <alignment horizontal="centerContinuous" vertical="center"/>
    </xf>
    <xf numFmtId="0" fontId="27" fillId="3" borderId="1" xfId="0" applyFont="1" applyFill="1" applyBorder="1" applyAlignment="1">
      <alignment horizontal="center" vertical="center"/>
    </xf>
    <xf numFmtId="1" fontId="27" fillId="10" borderId="4" xfId="0" applyNumberFormat="1" applyFont="1" applyFill="1" applyBorder="1" applyAlignment="1">
      <alignment horizontal="centerContinuous" vertical="center"/>
    </xf>
    <xf numFmtId="1" fontId="27" fillId="10" borderId="2" xfId="0" applyNumberFormat="1" applyFont="1" applyFill="1" applyBorder="1" applyAlignment="1">
      <alignment horizontal="centerContinuous" vertical="center"/>
    </xf>
    <xf numFmtId="0" fontId="24" fillId="11" borderId="5" xfId="0" applyFont="1" applyFill="1" applyBorder="1" applyAlignment="1">
      <alignment horizontal="centerContinuous" vertical="center"/>
    </xf>
    <xf numFmtId="166" fontId="27" fillId="10" borderId="1" xfId="0" applyNumberFormat="1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166" fontId="42" fillId="5" borderId="8" xfId="0" applyNumberFormat="1" applyFont="1" applyFill="1" applyBorder="1">
      <alignment vertical="center"/>
    </xf>
    <xf numFmtId="0" fontId="30" fillId="5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166" fontId="42" fillId="5" borderId="9" xfId="0" applyNumberFormat="1" applyFont="1" applyFill="1" applyBorder="1">
      <alignment vertical="center"/>
    </xf>
    <xf numFmtId="0" fontId="30" fillId="5" borderId="9" xfId="0" applyFont="1" applyFill="1" applyBorder="1" applyAlignment="1">
      <alignment horizontal="center" vertical="center"/>
    </xf>
    <xf numFmtId="0" fontId="27" fillId="12" borderId="11" xfId="0" applyFont="1" applyFill="1" applyBorder="1" applyAlignment="1">
      <alignment horizontal="center" vertical="center"/>
    </xf>
    <xf numFmtId="166" fontId="42" fillId="5" borderId="11" xfId="0" applyNumberFormat="1" applyFont="1" applyFill="1" applyBorder="1">
      <alignment vertical="center"/>
    </xf>
    <xf numFmtId="0" fontId="30" fillId="5" borderId="11" xfId="0" applyFont="1" applyFill="1" applyBorder="1" applyAlignment="1">
      <alignment horizontal="center" vertical="center"/>
    </xf>
    <xf numFmtId="0" fontId="42" fillId="13" borderId="1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166" fontId="42" fillId="5" borderId="10" xfId="0" applyNumberFormat="1" applyFont="1" applyFill="1" applyBorder="1">
      <alignment vertical="center"/>
    </xf>
    <xf numFmtId="0" fontId="29" fillId="5" borderId="11" xfId="0" applyFont="1" applyFill="1" applyBorder="1" applyAlignment="1">
      <alignment horizontal="center" vertical="center"/>
    </xf>
    <xf numFmtId="0" fontId="29" fillId="5" borderId="8" xfId="0" applyFont="1" applyFill="1" applyBorder="1" applyAlignment="1">
      <alignment horizontal="center" vertical="center"/>
    </xf>
    <xf numFmtId="0" fontId="29" fillId="5" borderId="9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166" fontId="29" fillId="5" borderId="8" xfId="0" applyNumberFormat="1" applyFont="1" applyFill="1" applyBorder="1" applyAlignment="1">
      <alignment horizontal="center" vertical="center"/>
    </xf>
    <xf numFmtId="166" fontId="29" fillId="5" borderId="11" xfId="0" applyNumberFormat="1" applyFont="1" applyFill="1" applyBorder="1" applyAlignment="1">
      <alignment horizontal="center" vertical="center"/>
    </xf>
    <xf numFmtId="0" fontId="27" fillId="12" borderId="3" xfId="0" applyFont="1" applyFill="1" applyBorder="1" applyAlignment="1" applyProtection="1">
      <alignment horizontal="center" vertical="center"/>
    </xf>
    <xf numFmtId="166" fontId="42" fillId="5" borderId="3" xfId="0" applyNumberFormat="1" applyFont="1" applyFill="1" applyBorder="1" applyProtection="1">
      <alignment vertical="center"/>
    </xf>
    <xf numFmtId="0" fontId="30" fillId="5" borderId="3" xfId="0" applyFont="1" applyFill="1" applyBorder="1" applyAlignment="1" applyProtection="1">
      <alignment horizontal="center" vertical="center"/>
    </xf>
    <xf numFmtId="0" fontId="29" fillId="5" borderId="3" xfId="0" applyFont="1" applyFill="1" applyBorder="1" applyAlignment="1" applyProtection="1">
      <alignment horizontal="center" vertical="center"/>
    </xf>
    <xf numFmtId="0" fontId="27" fillId="12" borderId="8" xfId="0" applyFont="1" applyFill="1" applyBorder="1" applyAlignment="1" applyProtection="1">
      <alignment horizontal="center" vertical="center"/>
    </xf>
    <xf numFmtId="166" fontId="42" fillId="5" borderId="8" xfId="0" applyNumberFormat="1" applyFont="1" applyFill="1" applyBorder="1" applyProtection="1">
      <alignment vertical="center"/>
    </xf>
    <xf numFmtId="166" fontId="29" fillId="5" borderId="8" xfId="0" applyNumberFormat="1" applyFont="1" applyFill="1" applyBorder="1" applyAlignment="1" applyProtection="1">
      <alignment horizontal="center" vertical="center"/>
    </xf>
    <xf numFmtId="0" fontId="27" fillId="12" borderId="11" xfId="0" applyFont="1" applyFill="1" applyBorder="1" applyAlignment="1" applyProtection="1">
      <alignment horizontal="center" vertical="center"/>
    </xf>
    <xf numFmtId="166" fontId="42" fillId="5" borderId="11" xfId="0" applyNumberFormat="1" applyFont="1" applyFill="1" applyBorder="1" applyProtection="1">
      <alignment vertical="center"/>
    </xf>
    <xf numFmtId="166" fontId="29" fillId="5" borderId="11" xfId="0" applyNumberFormat="1" applyFont="1" applyFill="1" applyBorder="1" applyAlignment="1" applyProtection="1">
      <alignment horizontal="center" vertical="center"/>
    </xf>
    <xf numFmtId="166" fontId="42" fillId="10" borderId="8" xfId="0" applyNumberFormat="1" applyFont="1" applyFill="1" applyBorder="1">
      <alignment vertical="center"/>
    </xf>
    <xf numFmtId="0" fontId="29" fillId="10" borderId="8" xfId="0" applyFont="1" applyFill="1" applyBorder="1" applyAlignment="1">
      <alignment horizontal="center" vertical="center"/>
    </xf>
    <xf numFmtId="166" fontId="42" fillId="14" borderId="8" xfId="0" applyNumberFormat="1" applyFont="1" applyFill="1" applyBorder="1">
      <alignment vertical="center"/>
    </xf>
    <xf numFmtId="0" fontId="29" fillId="14" borderId="8" xfId="0" applyFont="1" applyFill="1" applyBorder="1" applyAlignment="1">
      <alignment horizontal="center" vertical="center"/>
    </xf>
    <xf numFmtId="166" fontId="42" fillId="13" borderId="11" xfId="0" applyNumberFormat="1" applyFont="1" applyFill="1" applyBorder="1">
      <alignment vertical="center"/>
    </xf>
    <xf numFmtId="0" fontId="29" fillId="13" borderId="11" xfId="0" applyFont="1" applyFill="1" applyBorder="1" applyAlignment="1">
      <alignment horizontal="center" vertical="center"/>
    </xf>
    <xf numFmtId="166" fontId="42" fillId="10" borderId="10" xfId="0" applyNumberFormat="1" applyFont="1" applyFill="1" applyBorder="1">
      <alignment vertical="center"/>
    </xf>
    <xf numFmtId="0" fontId="29" fillId="10" borderId="10" xfId="0" applyFont="1" applyFill="1" applyBorder="1" applyAlignment="1">
      <alignment horizontal="center" vertical="center"/>
    </xf>
    <xf numFmtId="0" fontId="27" fillId="0" borderId="0" xfId="0" applyFont="1">
      <alignment vertical="center"/>
    </xf>
    <xf numFmtId="166" fontId="29" fillId="5" borderId="10" xfId="0" applyNumberFormat="1" applyFont="1" applyFill="1" applyBorder="1" applyAlignment="1">
      <alignment horizontal="center" vertical="center"/>
    </xf>
    <xf numFmtId="0" fontId="27" fillId="10" borderId="8" xfId="0" applyFont="1" applyFill="1" applyBorder="1" applyAlignment="1">
      <alignment horizontal="center" vertical="center"/>
    </xf>
    <xf numFmtId="0" fontId="27" fillId="14" borderId="8" xfId="0" applyFont="1" applyFill="1" applyBorder="1" applyAlignment="1">
      <alignment horizontal="center" vertical="center"/>
    </xf>
    <xf numFmtId="0" fontId="27" fillId="13" borderId="11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1" xfId="0" applyFont="1" applyFill="1" applyBorder="1" applyAlignment="1">
      <alignment horizontal="center" vertical="center"/>
    </xf>
    <xf numFmtId="170" fontId="27" fillId="5" borderId="1" xfId="17" applyNumberFormat="1" applyFont="1" applyFill="1" applyBorder="1" applyAlignment="1" applyProtection="1">
      <alignment horizontal="left" vertical="center"/>
    </xf>
    <xf numFmtId="0" fontId="27" fillId="10" borderId="8" xfId="0" applyNumberFormat="1" applyFont="1" applyFill="1" applyBorder="1" applyAlignment="1">
      <alignment horizontal="center" vertical="center"/>
    </xf>
    <xf numFmtId="0" fontId="30" fillId="0" borderId="0" xfId="0" applyFont="1">
      <alignment vertical="center"/>
    </xf>
    <xf numFmtId="0" fontId="48" fillId="15" borderId="0" xfId="0" applyFont="1" applyFill="1" applyAlignment="1">
      <alignment horizontal="centerContinuous" vertical="center"/>
    </xf>
    <xf numFmtId="0" fontId="48" fillId="7" borderId="0" xfId="0" applyFont="1" applyFill="1" applyAlignment="1">
      <alignment horizontal="centerContinuous" vertical="center"/>
    </xf>
    <xf numFmtId="0" fontId="47" fillId="5" borderId="0" xfId="0" applyFont="1" applyFill="1" applyAlignment="1">
      <alignment horizontal="centerContinuous" vertical="center"/>
    </xf>
    <xf numFmtId="0" fontId="30" fillId="5" borderId="0" xfId="0" applyFont="1" applyFill="1">
      <alignment vertical="center"/>
    </xf>
    <xf numFmtId="0" fontId="49" fillId="5" borderId="0" xfId="0" applyFont="1" applyFill="1">
      <alignment vertical="center"/>
    </xf>
    <xf numFmtId="0" fontId="30" fillId="5" borderId="0" xfId="0" applyFont="1" applyFill="1" applyAlignment="1">
      <alignment horizontal="centerContinuous" vertical="center"/>
    </xf>
    <xf numFmtId="0" fontId="30" fillId="5" borderId="1" xfId="0" applyFont="1" applyFill="1" applyBorder="1">
      <alignment vertical="center"/>
    </xf>
    <xf numFmtId="0" fontId="48" fillId="16" borderId="0" xfId="0" applyFont="1" applyFill="1" applyAlignment="1">
      <alignment horizontal="centerContinuous" vertical="center"/>
    </xf>
    <xf numFmtId="164" fontId="30" fillId="5" borderId="1" xfId="1" applyFont="1" applyFill="1" applyBorder="1">
      <alignment vertical="center"/>
    </xf>
    <xf numFmtId="0" fontId="29" fillId="4" borderId="1" xfId="0" applyFont="1" applyFill="1" applyBorder="1" applyAlignment="1">
      <alignment horizontal="center" vertical="center"/>
    </xf>
    <xf numFmtId="164" fontId="29" fillId="10" borderId="1" xfId="1" applyFont="1" applyFill="1" applyBorder="1">
      <alignment vertical="center"/>
    </xf>
    <xf numFmtId="2" fontId="30" fillId="5" borderId="1" xfId="0" applyNumberFormat="1" applyFont="1" applyFill="1" applyBorder="1">
      <alignment vertical="center"/>
    </xf>
    <xf numFmtId="0" fontId="29" fillId="4" borderId="1" xfId="0" applyFont="1" applyFill="1" applyBorder="1" applyAlignment="1">
      <alignment horizontal="center" vertical="center" wrapText="1"/>
    </xf>
    <xf numFmtId="0" fontId="29" fillId="7" borderId="0" xfId="0" applyFont="1" applyFill="1" applyAlignment="1">
      <alignment horizontal="centerContinuous" vertical="center"/>
    </xf>
    <xf numFmtId="0" fontId="30" fillId="7" borderId="0" xfId="0" applyFont="1" applyFill="1" applyAlignment="1">
      <alignment horizontal="centerContinuous" vertical="center"/>
    </xf>
    <xf numFmtId="0" fontId="30" fillId="5" borderId="1" xfId="0" applyFont="1" applyFill="1" applyBorder="1" applyAlignment="1">
      <alignment horizontal="center" vertical="center"/>
    </xf>
    <xf numFmtId="0" fontId="45" fillId="9" borderId="0" xfId="0" applyFont="1" applyFill="1" applyAlignment="1">
      <alignment horizontal="centerContinuous" vertical="center"/>
    </xf>
    <xf numFmtId="0" fontId="46" fillId="9" borderId="1" xfId="0" applyFont="1" applyFill="1" applyBorder="1" applyAlignment="1">
      <alignment horizontal="center" vertical="center" wrapText="1"/>
    </xf>
    <xf numFmtId="0" fontId="46" fillId="9" borderId="1" xfId="0" applyFont="1" applyFill="1" applyBorder="1" applyAlignment="1">
      <alignment horizontal="center" vertical="center"/>
    </xf>
    <xf numFmtId="0" fontId="47" fillId="17" borderId="0" xfId="0" applyFont="1" applyFill="1" applyAlignment="1">
      <alignment horizontal="centerContinuous" vertical="center"/>
    </xf>
    <xf numFmtId="0" fontId="30" fillId="17" borderId="0" xfId="0" applyFont="1" applyFill="1" applyAlignment="1">
      <alignment horizontal="centerContinuous" vertical="center"/>
    </xf>
    <xf numFmtId="0" fontId="30" fillId="5" borderId="3" xfId="0" applyFont="1" applyFill="1" applyBorder="1">
      <alignment vertical="center"/>
    </xf>
    <xf numFmtId="164" fontId="30" fillId="5" borderId="3" xfId="1" applyFont="1" applyFill="1" applyBorder="1">
      <alignment vertical="center"/>
    </xf>
    <xf numFmtId="2" fontId="30" fillId="5" borderId="3" xfId="0" applyNumberFormat="1" applyFont="1" applyFill="1" applyBorder="1">
      <alignment vertical="center"/>
    </xf>
    <xf numFmtId="0" fontId="30" fillId="5" borderId="5" xfId="0" applyFont="1" applyFill="1" applyBorder="1">
      <alignment vertical="center"/>
    </xf>
    <xf numFmtId="164" fontId="30" fillId="5" borderId="5" xfId="1" applyFont="1" applyFill="1" applyBorder="1">
      <alignment vertical="center"/>
    </xf>
    <xf numFmtId="2" fontId="30" fillId="5" borderId="5" xfId="0" applyNumberFormat="1" applyFont="1" applyFill="1" applyBorder="1">
      <alignment vertical="center"/>
    </xf>
    <xf numFmtId="0" fontId="30" fillId="5" borderId="8" xfId="0" applyFont="1" applyFill="1" applyBorder="1">
      <alignment vertical="center"/>
    </xf>
    <xf numFmtId="164" fontId="30" fillId="5" borderId="8" xfId="1" applyFont="1" applyFill="1" applyBorder="1">
      <alignment vertical="center"/>
    </xf>
    <xf numFmtId="2" fontId="30" fillId="5" borderId="8" xfId="0" applyNumberFormat="1" applyFont="1" applyFill="1" applyBorder="1">
      <alignment vertical="center"/>
    </xf>
    <xf numFmtId="0" fontId="47" fillId="8" borderId="0" xfId="0" applyFont="1" applyFill="1" applyAlignment="1">
      <alignment horizontal="centerContinuous" vertical="center"/>
    </xf>
    <xf numFmtId="0" fontId="30" fillId="8" borderId="0" xfId="0" applyFont="1" applyFill="1" applyAlignment="1">
      <alignment horizontal="centerContinuous" vertical="center"/>
    </xf>
    <xf numFmtId="0" fontId="30" fillId="5" borderId="0" xfId="0" applyFont="1" applyFill="1" applyBorder="1">
      <alignment vertical="center"/>
    </xf>
    <xf numFmtId="0" fontId="48" fillId="5" borderId="0" xfId="0" applyFont="1" applyFill="1" applyBorder="1" applyAlignment="1">
      <alignment horizontal="centerContinuous" vertical="center"/>
    </xf>
    <xf numFmtId="0" fontId="29" fillId="5" borderId="0" xfId="0" applyFont="1" applyFill="1" applyBorder="1" applyAlignment="1">
      <alignment horizontal="center" vertical="center"/>
    </xf>
    <xf numFmtId="0" fontId="48" fillId="5" borderId="0" xfId="0" applyFont="1" applyFill="1" applyBorder="1" applyAlignment="1">
      <alignment horizontal="center" vertical="center"/>
    </xf>
    <xf numFmtId="0" fontId="29" fillId="5" borderId="0" xfId="0" applyFont="1" applyFill="1" applyBorder="1" applyAlignment="1">
      <alignment vertical="center"/>
    </xf>
    <xf numFmtId="164" fontId="30" fillId="5" borderId="0" xfId="1" applyFont="1" applyFill="1" applyBorder="1">
      <alignment vertical="center"/>
    </xf>
    <xf numFmtId="2" fontId="30" fillId="5" borderId="0" xfId="0" applyNumberFormat="1" applyFont="1" applyFill="1" applyBorder="1">
      <alignment vertical="center"/>
    </xf>
    <xf numFmtId="0" fontId="29" fillId="5" borderId="0" xfId="0" applyFont="1" applyFill="1" applyBorder="1" applyAlignment="1">
      <alignment horizontal="center" vertical="center" wrapText="1"/>
    </xf>
    <xf numFmtId="164" fontId="29" fillId="5" borderId="0" xfId="1" applyFont="1" applyFill="1" applyBorder="1">
      <alignment vertical="center"/>
    </xf>
    <xf numFmtId="0" fontId="29" fillId="5" borderId="0" xfId="0" applyFont="1" applyFill="1" applyAlignment="1">
      <alignment horizontal="centerContinuous" vertical="center"/>
    </xf>
    <xf numFmtId="0" fontId="27" fillId="3" borderId="1" xfId="0" applyFont="1" applyFill="1" applyBorder="1" applyAlignment="1">
      <alignment horizontal="center" vertical="center"/>
    </xf>
    <xf numFmtId="0" fontId="22" fillId="0" borderId="0" xfId="0" applyFont="1">
      <alignment vertical="center"/>
    </xf>
    <xf numFmtId="49" fontId="22" fillId="0" borderId="0" xfId="0" applyNumberFormat="1" applyFont="1">
      <alignment vertical="center"/>
    </xf>
    <xf numFmtId="171" fontId="50" fillId="0" borderId="2" xfId="1" applyNumberFormat="1" applyFont="1" applyBorder="1">
      <alignment vertical="center"/>
    </xf>
    <xf numFmtId="49" fontId="22" fillId="0" borderId="0" xfId="0" applyNumberFormat="1" applyFont="1" applyAlignment="1">
      <alignment horizontal="center" vertical="center"/>
    </xf>
    <xf numFmtId="169" fontId="50" fillId="0" borderId="1" xfId="0" applyNumberFormat="1" applyFont="1" applyBorder="1" applyAlignment="1">
      <alignment horizontal="center" vertical="center"/>
    </xf>
    <xf numFmtId="169" fontId="22" fillId="0" borderId="0" xfId="0" applyNumberFormat="1" applyFont="1">
      <alignment vertical="center"/>
    </xf>
    <xf numFmtId="0" fontId="52" fillId="0" borderId="0" xfId="0" applyFont="1">
      <alignment vertical="center"/>
    </xf>
    <xf numFmtId="0" fontId="52" fillId="5" borderId="0" xfId="0" applyFont="1" applyFill="1" applyBorder="1" applyAlignment="1">
      <alignment horizontal="right" vertical="center"/>
    </xf>
    <xf numFmtId="0" fontId="54" fillId="0" borderId="0" xfId="0" applyFont="1">
      <alignment vertical="center"/>
    </xf>
    <xf numFmtId="0" fontId="53" fillId="5" borderId="0" xfId="0" applyFont="1" applyFill="1" applyBorder="1" applyAlignment="1">
      <alignment horizontal="right" vertical="center"/>
    </xf>
    <xf numFmtId="0" fontId="53" fillId="5" borderId="0" xfId="0" applyFont="1" applyFill="1" applyBorder="1" applyAlignment="1">
      <alignment vertical="center"/>
    </xf>
    <xf numFmtId="0" fontId="53" fillId="5" borderId="0" xfId="0" applyFont="1" applyFill="1" applyBorder="1" applyAlignment="1">
      <alignment horizontal="center" vertical="center"/>
    </xf>
    <xf numFmtId="0" fontId="54" fillId="5" borderId="0" xfId="0" applyFont="1" applyFill="1">
      <alignment vertical="center"/>
    </xf>
    <xf numFmtId="0" fontId="52" fillId="5" borderId="0" xfId="0" applyFont="1" applyFill="1" applyBorder="1" applyAlignment="1">
      <alignment horizontal="left" vertical="center"/>
    </xf>
    <xf numFmtId="0" fontId="52" fillId="5" borderId="0" xfId="0" applyFont="1" applyFill="1" applyBorder="1" applyAlignment="1">
      <alignment vertical="center"/>
    </xf>
    <xf numFmtId="0" fontId="52" fillId="5" borderId="0" xfId="0" applyFont="1" applyFill="1" applyBorder="1" applyAlignment="1">
      <alignment horizontal="center" vertical="center"/>
    </xf>
    <xf numFmtId="0" fontId="52" fillId="5" borderId="0" xfId="0" applyFont="1" applyFill="1" applyBorder="1">
      <alignment vertical="center"/>
    </xf>
    <xf numFmtId="0" fontId="50" fillId="18" borderId="1" xfId="0" applyFont="1" applyFill="1" applyBorder="1" applyAlignment="1">
      <alignment horizontal="center" vertical="center"/>
    </xf>
    <xf numFmtId="165" fontId="50" fillId="18" borderId="1" xfId="1" applyNumberFormat="1" applyFont="1" applyFill="1" applyBorder="1" applyAlignment="1">
      <alignment horizontal="center" vertical="center"/>
    </xf>
    <xf numFmtId="165" fontId="50" fillId="19" borderId="1" xfId="1" applyNumberFormat="1" applyFont="1" applyFill="1" applyBorder="1" applyAlignment="1">
      <alignment horizontal="center" vertical="center"/>
    </xf>
    <xf numFmtId="165" fontId="50" fillId="19" borderId="1" xfId="1" applyNumberFormat="1" applyFont="1" applyFill="1" applyBorder="1">
      <alignment vertical="center"/>
    </xf>
    <xf numFmtId="49" fontId="53" fillId="5" borderId="0" xfId="0" applyNumberFormat="1" applyFont="1" applyFill="1" applyBorder="1" applyAlignment="1">
      <alignment horizontal="center" vertical="center"/>
    </xf>
    <xf numFmtId="49" fontId="52" fillId="5" borderId="0" xfId="0" applyNumberFormat="1" applyFont="1" applyFill="1" applyBorder="1" applyAlignment="1">
      <alignment horizontal="center" vertical="center"/>
    </xf>
    <xf numFmtId="49" fontId="50" fillId="19" borderId="1" xfId="0" applyNumberFormat="1" applyFont="1" applyFill="1" applyBorder="1" applyAlignment="1">
      <alignment horizontal="center" vertical="center"/>
    </xf>
    <xf numFmtId="49" fontId="22" fillId="19" borderId="1" xfId="0" applyNumberFormat="1" applyFont="1" applyFill="1" applyBorder="1" applyAlignment="1">
      <alignment horizontal="center" vertical="center"/>
    </xf>
    <xf numFmtId="49" fontId="50" fillId="18" borderId="1" xfId="0" applyNumberFormat="1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49" fontId="50" fillId="24" borderId="1" xfId="0" applyNumberFormat="1" applyFont="1" applyFill="1" applyBorder="1" applyAlignment="1">
      <alignment horizontal="center" vertical="center"/>
    </xf>
    <xf numFmtId="165" fontId="50" fillId="24" borderId="1" xfId="1" applyNumberFormat="1" applyFont="1" applyFill="1" applyBorder="1" applyAlignment="1">
      <alignment horizontal="center" vertical="center"/>
    </xf>
    <xf numFmtId="49" fontId="50" fillId="24" borderId="1" xfId="0" applyNumberFormat="1" applyFont="1" applyFill="1" applyBorder="1">
      <alignment vertical="center"/>
    </xf>
    <xf numFmtId="165" fontId="50" fillId="24" borderId="1" xfId="1" applyNumberFormat="1" applyFont="1" applyFill="1" applyBorder="1">
      <alignment vertical="center"/>
    </xf>
    <xf numFmtId="49" fontId="22" fillId="24" borderId="1" xfId="0" applyNumberFormat="1" applyFont="1" applyFill="1" applyBorder="1" applyAlignment="1">
      <alignment horizontal="center" vertical="center"/>
    </xf>
    <xf numFmtId="169" fontId="50" fillId="0" borderId="2" xfId="0" applyNumberFormat="1" applyFont="1" applyBorder="1">
      <alignment vertical="center"/>
    </xf>
    <xf numFmtId="49" fontId="50" fillId="0" borderId="0" xfId="0" applyNumberFormat="1" applyFont="1">
      <alignment vertical="center"/>
    </xf>
    <xf numFmtId="0" fontId="36" fillId="5" borderId="0" xfId="0" applyFont="1" applyFill="1" applyBorder="1" applyAlignment="1">
      <alignment horizontal="right" vertical="center"/>
    </xf>
    <xf numFmtId="165" fontId="50" fillId="0" borderId="0" xfId="1" applyNumberFormat="1" applyFont="1">
      <alignment vertical="center"/>
    </xf>
    <xf numFmtId="0" fontId="36" fillId="5" borderId="0" xfId="0" applyFont="1" applyFill="1" applyBorder="1" applyAlignment="1">
      <alignment vertical="center"/>
    </xf>
    <xf numFmtId="0" fontId="50" fillId="5" borderId="1" xfId="0" applyFont="1" applyFill="1" applyBorder="1" applyAlignment="1">
      <alignment horizontal="center" vertical="center"/>
    </xf>
    <xf numFmtId="0" fontId="22" fillId="5" borderId="1" xfId="0" applyFont="1" applyFill="1" applyBorder="1">
      <alignment vertical="center"/>
    </xf>
    <xf numFmtId="49" fontId="53" fillId="5" borderId="0" xfId="0" applyNumberFormat="1" applyFont="1" applyFill="1" applyBorder="1" applyAlignment="1">
      <alignment horizontal="right" vertical="center"/>
    </xf>
    <xf numFmtId="49" fontId="36" fillId="5" borderId="0" xfId="0" applyNumberFormat="1" applyFont="1" applyFill="1" applyBorder="1" applyAlignment="1">
      <alignment horizontal="center" vertical="center"/>
    </xf>
    <xf numFmtId="49" fontId="53" fillId="5" borderId="0" xfId="0" applyNumberFormat="1" applyFont="1" applyFill="1" applyBorder="1" applyAlignment="1">
      <alignment horizontal="left" vertical="center"/>
    </xf>
    <xf numFmtId="49" fontId="36" fillId="5" borderId="0" xfId="0" applyNumberFormat="1" applyFont="1" applyFill="1" applyBorder="1" applyAlignment="1">
      <alignment horizontal="left" vertical="center"/>
    </xf>
    <xf numFmtId="49" fontId="50" fillId="0" borderId="0" xfId="0" applyNumberFormat="1" applyFont="1" applyAlignment="1">
      <alignment horizontal="left" vertical="center"/>
    </xf>
    <xf numFmtId="49" fontId="50" fillId="19" borderId="1" xfId="0" applyNumberFormat="1" applyFont="1" applyFill="1" applyBorder="1" applyAlignment="1">
      <alignment horizontal="left" vertical="center"/>
    </xf>
    <xf numFmtId="171" fontId="51" fillId="0" borderId="1" xfId="1" applyNumberFormat="1" applyFont="1" applyBorder="1">
      <alignment vertical="center"/>
    </xf>
    <xf numFmtId="0" fontId="28" fillId="5" borderId="0" xfId="0" applyFont="1" applyFill="1" applyBorder="1" applyAlignment="1">
      <alignment horizontal="right" vertical="center"/>
    </xf>
    <xf numFmtId="49" fontId="27" fillId="21" borderId="1" xfId="0" applyNumberFormat="1" applyFont="1" applyFill="1" applyBorder="1" applyAlignment="1">
      <alignment horizontal="center" vertical="center"/>
    </xf>
    <xf numFmtId="49" fontId="27" fillId="22" borderId="1" xfId="0" applyNumberFormat="1" applyFont="1" applyFill="1" applyBorder="1" applyAlignment="1">
      <alignment horizontal="center" vertical="center"/>
    </xf>
    <xf numFmtId="49" fontId="27" fillId="6" borderId="1" xfId="0" applyNumberFormat="1" applyFont="1" applyFill="1" applyBorder="1" applyAlignment="1">
      <alignment horizontal="center" vertical="center"/>
    </xf>
    <xf numFmtId="49" fontId="27" fillId="5" borderId="0" xfId="0" applyNumberFormat="1" applyFont="1" applyFill="1" applyBorder="1" applyAlignment="1">
      <alignment horizontal="left" vertical="center"/>
    </xf>
    <xf numFmtId="0" fontId="28" fillId="5" borderId="0" xfId="0" applyFont="1" applyFill="1" applyBorder="1" applyAlignment="1">
      <alignment vertical="center"/>
    </xf>
    <xf numFmtId="0" fontId="27" fillId="5" borderId="0" xfId="0" applyFont="1" applyFill="1" applyBorder="1" applyAlignment="1">
      <alignment vertical="center"/>
    </xf>
    <xf numFmtId="169" fontId="55" fillId="0" borderId="1" xfId="0" applyNumberFormat="1" applyFont="1" applyBorder="1" applyAlignment="1">
      <alignment horizontal="center" vertical="center" wrapText="1"/>
    </xf>
    <xf numFmtId="169" fontId="55" fillId="0" borderId="1" xfId="0" applyNumberFormat="1" applyFont="1" applyBorder="1" applyAlignment="1">
      <alignment horizontal="center" vertical="center"/>
    </xf>
    <xf numFmtId="0" fontId="55" fillId="0" borderId="1" xfId="0" applyFont="1" applyBorder="1" applyAlignment="1">
      <alignment horizontal="center" vertical="center" wrapText="1"/>
    </xf>
    <xf numFmtId="0" fontId="28" fillId="5" borderId="0" xfId="0" applyFont="1" applyFill="1" applyBorder="1" applyAlignment="1">
      <alignment horizontal="center" vertical="center"/>
    </xf>
    <xf numFmtId="49" fontId="50" fillId="23" borderId="1" xfId="0" applyNumberFormat="1" applyFont="1" applyFill="1" applyBorder="1" applyAlignment="1">
      <alignment horizontal="center" vertical="center"/>
    </xf>
    <xf numFmtId="165" fontId="50" fillId="23" borderId="1" xfId="1" applyNumberFormat="1" applyFont="1" applyFill="1" applyBorder="1" applyAlignment="1">
      <alignment horizontal="center" vertical="center"/>
    </xf>
    <xf numFmtId="49" fontId="50" fillId="23" borderId="1" xfId="0" applyNumberFormat="1" applyFont="1" applyFill="1" applyBorder="1" applyAlignment="1">
      <alignment horizontal="left" vertical="center"/>
    </xf>
    <xf numFmtId="165" fontId="50" fillId="23" borderId="1" xfId="1" applyNumberFormat="1" applyFont="1" applyFill="1" applyBorder="1">
      <alignment vertical="center"/>
    </xf>
    <xf numFmtId="49" fontId="22" fillId="23" borderId="1" xfId="0" applyNumberFormat="1" applyFont="1" applyFill="1" applyBorder="1" applyAlignment="1">
      <alignment horizontal="center" vertical="center"/>
    </xf>
    <xf numFmtId="0" fontId="28" fillId="5" borderId="0" xfId="0" applyFont="1" applyFill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0" borderId="14" xfId="0" applyFont="1" applyBorder="1" applyAlignment="1">
      <alignment vertical="center"/>
    </xf>
    <xf numFmtId="0" fontId="22" fillId="0" borderId="0" xfId="0" applyFont="1" applyAlignment="1">
      <alignment vertical="center"/>
    </xf>
    <xf numFmtId="49" fontId="50" fillId="4" borderId="1" xfId="0" applyNumberFormat="1" applyFont="1" applyFill="1" applyBorder="1" applyAlignment="1">
      <alignment horizontal="center" vertical="center"/>
    </xf>
    <xf numFmtId="0" fontId="50" fillId="4" borderId="1" xfId="0" applyFont="1" applyFill="1" applyBorder="1" applyAlignment="1">
      <alignment horizontal="center" vertical="center"/>
    </xf>
    <xf numFmtId="165" fontId="50" fillId="4" borderId="1" xfId="1" applyNumberFormat="1" applyFont="1" applyFill="1" applyBorder="1" applyAlignment="1">
      <alignment horizontal="center" vertical="center"/>
    </xf>
    <xf numFmtId="49" fontId="50" fillId="4" borderId="1" xfId="0" applyNumberFormat="1" applyFont="1" applyFill="1" applyBorder="1" applyAlignment="1">
      <alignment horizontal="left" vertical="center"/>
    </xf>
    <xf numFmtId="165" fontId="50" fillId="4" borderId="1" xfId="1" applyNumberFormat="1" applyFont="1" applyFill="1" applyBorder="1">
      <alignment vertical="center"/>
    </xf>
    <xf numFmtId="49" fontId="22" fillId="4" borderId="1" xfId="0" applyNumberFormat="1" applyFont="1" applyFill="1" applyBorder="1" applyAlignment="1">
      <alignment horizontal="center" vertical="center"/>
    </xf>
    <xf numFmtId="0" fontId="53" fillId="25" borderId="0" xfId="0" applyFont="1" applyFill="1" applyBorder="1" applyAlignment="1">
      <alignment vertical="center"/>
    </xf>
    <xf numFmtId="49" fontId="53" fillId="25" borderId="0" xfId="0" applyNumberFormat="1" applyFont="1" applyFill="1" applyBorder="1" applyAlignment="1">
      <alignment horizontal="center" vertical="center"/>
    </xf>
    <xf numFmtId="49" fontId="53" fillId="25" borderId="0" xfId="0" applyNumberFormat="1" applyFont="1" applyFill="1" applyBorder="1" applyAlignment="1">
      <alignment horizontal="left" vertical="center"/>
    </xf>
    <xf numFmtId="0" fontId="53" fillId="25" borderId="0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49" fontId="50" fillId="26" borderId="1" xfId="0" applyNumberFormat="1" applyFont="1" applyFill="1" applyBorder="1" applyAlignment="1">
      <alignment horizontal="left" vertical="center"/>
    </xf>
    <xf numFmtId="49" fontId="22" fillId="26" borderId="1" xfId="0" applyNumberFormat="1" applyFont="1" applyFill="1" applyBorder="1" applyAlignment="1">
      <alignment horizontal="center" vertical="center"/>
    </xf>
    <xf numFmtId="165" fontId="50" fillId="26" borderId="1" xfId="1" applyNumberFormat="1" applyFont="1" applyFill="1" applyBorder="1">
      <alignment vertical="center"/>
    </xf>
    <xf numFmtId="0" fontId="53" fillId="25" borderId="0" xfId="0" applyFont="1" applyFill="1" applyBorder="1" applyAlignment="1">
      <alignment horizontal="center" vertical="center"/>
    </xf>
    <xf numFmtId="0" fontId="28" fillId="5" borderId="0" xfId="0" applyFont="1" applyFill="1" applyBorder="1" applyAlignment="1">
      <alignment horizontal="center" vertical="center"/>
    </xf>
    <xf numFmtId="165" fontId="57" fillId="27" borderId="1" xfId="1" applyNumberFormat="1" applyFont="1" applyFill="1" applyBorder="1">
      <alignment vertical="center"/>
    </xf>
    <xf numFmtId="49" fontId="22" fillId="27" borderId="1" xfId="0" applyNumberFormat="1" applyFont="1" applyFill="1" applyBorder="1" applyAlignment="1">
      <alignment horizontal="center" vertical="center"/>
    </xf>
    <xf numFmtId="49" fontId="50" fillId="27" borderId="1" xfId="0" applyNumberFormat="1" applyFont="1" applyFill="1" applyBorder="1" applyAlignment="1">
      <alignment horizontal="left" vertical="center"/>
    </xf>
    <xf numFmtId="0" fontId="22" fillId="27" borderId="1" xfId="0" applyFont="1" applyFill="1" applyBorder="1">
      <alignment vertical="center"/>
    </xf>
    <xf numFmtId="165" fontId="50" fillId="27" borderId="1" xfId="1" applyNumberFormat="1" applyFont="1" applyFill="1" applyBorder="1">
      <alignment vertical="center"/>
    </xf>
    <xf numFmtId="49" fontId="50" fillId="27" borderId="1" xfId="0" applyNumberFormat="1" applyFont="1" applyFill="1" applyBorder="1">
      <alignment vertical="center"/>
    </xf>
    <xf numFmtId="49" fontId="50" fillId="28" borderId="1" xfId="0" applyNumberFormat="1" applyFont="1" applyFill="1" applyBorder="1">
      <alignment vertical="center"/>
    </xf>
    <xf numFmtId="0" fontId="22" fillId="28" borderId="1" xfId="0" applyFont="1" applyFill="1" applyBorder="1">
      <alignment vertical="center"/>
    </xf>
    <xf numFmtId="49" fontId="22" fillId="28" borderId="1" xfId="0" applyNumberFormat="1" applyFont="1" applyFill="1" applyBorder="1" applyAlignment="1">
      <alignment horizontal="center" vertical="center"/>
    </xf>
    <xf numFmtId="165" fontId="50" fillId="28" borderId="1" xfId="1" applyNumberFormat="1" applyFont="1" applyFill="1" applyBorder="1">
      <alignment vertical="center"/>
    </xf>
    <xf numFmtId="49" fontId="50" fillId="21" borderId="1" xfId="0" applyNumberFormat="1" applyFont="1" applyFill="1" applyBorder="1" applyAlignment="1">
      <alignment horizontal="left" vertical="center"/>
    </xf>
    <xf numFmtId="0" fontId="22" fillId="21" borderId="1" xfId="0" applyFont="1" applyFill="1" applyBorder="1">
      <alignment vertical="center"/>
    </xf>
    <xf numFmtId="49" fontId="22" fillId="21" borderId="1" xfId="0" applyNumberFormat="1" applyFont="1" applyFill="1" applyBorder="1" applyAlignment="1">
      <alignment horizontal="center" vertical="center"/>
    </xf>
    <xf numFmtId="165" fontId="50" fillId="21" borderId="1" xfId="1" applyNumberFormat="1" applyFont="1" applyFill="1" applyBorder="1">
      <alignment vertical="center"/>
    </xf>
    <xf numFmtId="49" fontId="50" fillId="29" borderId="1" xfId="0" applyNumberFormat="1" applyFont="1" applyFill="1" applyBorder="1" applyAlignment="1">
      <alignment horizontal="left" vertical="center"/>
    </xf>
    <xf numFmtId="0" fontId="22" fillId="29" borderId="1" xfId="0" applyFont="1" applyFill="1" applyBorder="1">
      <alignment vertical="center"/>
    </xf>
    <xf numFmtId="49" fontId="22" fillId="29" borderId="1" xfId="0" applyNumberFormat="1" applyFont="1" applyFill="1" applyBorder="1" applyAlignment="1">
      <alignment horizontal="center" vertical="center"/>
    </xf>
    <xf numFmtId="165" fontId="50" fillId="29" borderId="1" xfId="1" applyNumberFormat="1" applyFont="1" applyFill="1" applyBorder="1">
      <alignment vertical="center"/>
    </xf>
    <xf numFmtId="49" fontId="50" fillId="21" borderId="0" xfId="0" applyNumberFormat="1" applyFont="1" applyFill="1" applyAlignment="1">
      <alignment horizontal="left" vertical="center"/>
    </xf>
    <xf numFmtId="0" fontId="22" fillId="21" borderId="0" xfId="0" applyFont="1" applyFill="1">
      <alignment vertical="center"/>
    </xf>
    <xf numFmtId="49" fontId="22" fillId="21" borderId="0" xfId="0" applyNumberFormat="1" applyFont="1" applyFill="1" applyAlignment="1">
      <alignment horizontal="center" vertical="center"/>
    </xf>
    <xf numFmtId="165" fontId="50" fillId="21" borderId="0" xfId="1" applyNumberFormat="1" applyFont="1" applyFill="1">
      <alignment vertical="center"/>
    </xf>
    <xf numFmtId="49" fontId="58" fillId="21" borderId="1" xfId="0" applyNumberFormat="1" applyFont="1" applyFill="1" applyBorder="1" applyAlignment="1">
      <alignment horizontal="left" vertical="center"/>
    </xf>
    <xf numFmtId="0" fontId="59" fillId="21" borderId="1" xfId="0" applyFont="1" applyFill="1" applyBorder="1">
      <alignment vertical="center"/>
    </xf>
    <xf numFmtId="49" fontId="59" fillId="21" borderId="1" xfId="0" applyNumberFormat="1" applyFont="1" applyFill="1" applyBorder="1" applyAlignment="1">
      <alignment horizontal="center" vertical="center"/>
    </xf>
    <xf numFmtId="165" fontId="58" fillId="21" borderId="1" xfId="1" applyNumberFormat="1" applyFont="1" applyFill="1" applyBorder="1">
      <alignment vertical="center"/>
    </xf>
    <xf numFmtId="49" fontId="50" fillId="30" borderId="1" xfId="0" applyNumberFormat="1" applyFont="1" applyFill="1" applyBorder="1" applyAlignment="1">
      <alignment horizontal="left" vertical="center"/>
    </xf>
    <xf numFmtId="0" fontId="22" fillId="30" borderId="1" xfId="0" applyFont="1" applyFill="1" applyBorder="1">
      <alignment vertical="center"/>
    </xf>
    <xf numFmtId="49" fontId="22" fillId="30" borderId="1" xfId="0" applyNumberFormat="1" applyFont="1" applyFill="1" applyBorder="1" applyAlignment="1">
      <alignment horizontal="center" vertical="center"/>
    </xf>
    <xf numFmtId="165" fontId="50" fillId="30" borderId="1" xfId="1" applyNumberFormat="1" applyFont="1" applyFill="1" applyBorder="1">
      <alignment vertical="center"/>
    </xf>
    <xf numFmtId="49" fontId="50" fillId="30" borderId="1" xfId="0" applyNumberFormat="1" applyFont="1" applyFill="1" applyBorder="1">
      <alignment vertical="center"/>
    </xf>
    <xf numFmtId="0" fontId="53" fillId="25" borderId="0" xfId="0" applyFont="1" applyFill="1" applyBorder="1" applyAlignment="1">
      <alignment horizontal="center" vertical="center"/>
    </xf>
    <xf numFmtId="0" fontId="28" fillId="5" borderId="0" xfId="0" applyFont="1" applyFill="1" applyBorder="1" applyAlignment="1">
      <alignment horizontal="center" vertical="center"/>
    </xf>
    <xf numFmtId="49" fontId="50" fillId="0" borderId="1" xfId="0" applyNumberFormat="1" applyFont="1" applyBorder="1" applyAlignment="1">
      <alignment horizontal="left" vertical="center"/>
    </xf>
    <xf numFmtId="0" fontId="22" fillId="0" borderId="1" xfId="0" applyFont="1" applyBorder="1">
      <alignment vertical="center"/>
    </xf>
    <xf numFmtId="49" fontId="22" fillId="0" borderId="1" xfId="0" applyNumberFormat="1" applyFont="1" applyBorder="1" applyAlignment="1">
      <alignment horizontal="center" vertical="center"/>
    </xf>
    <xf numFmtId="165" fontId="50" fillId="0" borderId="1" xfId="1" applyNumberFormat="1" applyFont="1" applyBorder="1">
      <alignment vertical="center"/>
    </xf>
    <xf numFmtId="0" fontId="53" fillId="25" borderId="0" xfId="0" applyFont="1" applyFill="1" applyBorder="1" applyAlignment="1">
      <alignment horizontal="center" vertical="center"/>
    </xf>
    <xf numFmtId="0" fontId="28" fillId="5" borderId="0" xfId="0" applyFont="1" applyFill="1" applyBorder="1" applyAlignment="1">
      <alignment horizontal="center" vertical="center"/>
    </xf>
    <xf numFmtId="49" fontId="50" fillId="6" borderId="1" xfId="0" applyNumberFormat="1" applyFont="1" applyFill="1" applyBorder="1" applyAlignment="1">
      <alignment horizontal="left" vertical="center"/>
    </xf>
    <xf numFmtId="0" fontId="22" fillId="6" borderId="1" xfId="0" applyFont="1" applyFill="1" applyBorder="1">
      <alignment vertical="center"/>
    </xf>
    <xf numFmtId="49" fontId="22" fillId="6" borderId="1" xfId="0" applyNumberFormat="1" applyFont="1" applyFill="1" applyBorder="1" applyAlignment="1">
      <alignment horizontal="center" vertical="center"/>
    </xf>
    <xf numFmtId="165" fontId="50" fillId="6" borderId="1" xfId="1" applyNumberFormat="1" applyFont="1" applyFill="1" applyBorder="1">
      <alignment vertical="center"/>
    </xf>
    <xf numFmtId="49" fontId="50" fillId="27" borderId="1" xfId="0" applyNumberFormat="1" applyFont="1" applyFill="1" applyBorder="1" applyAlignment="1">
      <alignment vertical="center"/>
    </xf>
    <xf numFmtId="49" fontId="58" fillId="27" borderId="1" xfId="0" applyNumberFormat="1" applyFont="1" applyFill="1" applyBorder="1" applyAlignment="1">
      <alignment horizontal="left" vertical="center"/>
    </xf>
    <xf numFmtId="0" fontId="59" fillId="27" borderId="1" xfId="0" applyFont="1" applyFill="1" applyBorder="1">
      <alignment vertical="center"/>
    </xf>
    <xf numFmtId="49" fontId="59" fillId="27" borderId="1" xfId="0" applyNumberFormat="1" applyFont="1" applyFill="1" applyBorder="1" applyAlignment="1">
      <alignment horizontal="center" vertical="center"/>
    </xf>
    <xf numFmtId="165" fontId="58" fillId="27" borderId="1" xfId="1" applyNumberFormat="1" applyFont="1" applyFill="1" applyBorder="1">
      <alignment vertical="center"/>
    </xf>
    <xf numFmtId="49" fontId="22" fillId="27" borderId="1" xfId="0" applyNumberFormat="1" applyFont="1" applyFill="1" applyBorder="1">
      <alignment vertical="center"/>
    </xf>
    <xf numFmtId="49" fontId="50" fillId="27" borderId="6" xfId="0" applyNumberFormat="1" applyFont="1" applyFill="1" applyBorder="1" applyAlignment="1">
      <alignment vertical="center" wrapText="1"/>
    </xf>
    <xf numFmtId="49" fontId="50" fillId="27" borderId="2" xfId="0" applyNumberFormat="1" applyFont="1" applyFill="1" applyBorder="1" applyAlignment="1">
      <alignment vertical="center" wrapText="1"/>
    </xf>
    <xf numFmtId="49" fontId="50" fillId="27" borderId="4" xfId="0" applyNumberFormat="1" applyFont="1" applyFill="1" applyBorder="1" applyAlignment="1">
      <alignment horizontal="center" vertical="center"/>
    </xf>
    <xf numFmtId="0" fontId="22" fillId="19" borderId="1" xfId="0" applyFont="1" applyFill="1" applyBorder="1">
      <alignment vertical="center"/>
    </xf>
    <xf numFmtId="0" fontId="22" fillId="24" borderId="1" xfId="0" applyFont="1" applyFill="1" applyBorder="1">
      <alignment vertical="center"/>
    </xf>
    <xf numFmtId="165" fontId="22" fillId="0" borderId="0" xfId="0" applyNumberFormat="1" applyFont="1">
      <alignment vertical="center"/>
    </xf>
    <xf numFmtId="49" fontId="50" fillId="31" borderId="1" xfId="0" applyNumberFormat="1" applyFont="1" applyFill="1" applyBorder="1" applyAlignment="1">
      <alignment horizontal="left" vertical="center"/>
    </xf>
    <xf numFmtId="0" fontId="22" fillId="31" borderId="1" xfId="0" applyFont="1" applyFill="1" applyBorder="1">
      <alignment vertical="center"/>
    </xf>
    <xf numFmtId="49" fontId="22" fillId="31" borderId="1" xfId="0" applyNumberFormat="1" applyFont="1" applyFill="1" applyBorder="1" applyAlignment="1">
      <alignment horizontal="center" vertical="center"/>
    </xf>
    <xf numFmtId="165" fontId="50" fillId="31" borderId="1" xfId="1" applyNumberFormat="1" applyFont="1" applyFill="1" applyBorder="1">
      <alignment vertical="center"/>
    </xf>
    <xf numFmtId="49" fontId="50" fillId="31" borderId="1" xfId="0" applyNumberFormat="1" applyFont="1" applyFill="1" applyBorder="1" applyAlignment="1">
      <alignment horizontal="center" vertical="center"/>
    </xf>
    <xf numFmtId="49" fontId="50" fillId="31" borderId="1" xfId="0" applyNumberFormat="1" applyFont="1" applyFill="1" applyBorder="1" applyAlignment="1">
      <alignment vertical="center" wrapText="1"/>
    </xf>
    <xf numFmtId="49" fontId="50" fillId="6" borderId="1" xfId="0" applyNumberFormat="1" applyFont="1" applyFill="1" applyBorder="1">
      <alignment vertical="center"/>
    </xf>
    <xf numFmtId="0" fontId="22" fillId="27" borderId="0" xfId="0" applyFont="1" applyFill="1">
      <alignment vertical="center"/>
    </xf>
    <xf numFmtId="169" fontId="22" fillId="0" borderId="1" xfId="0" applyNumberFormat="1" applyFont="1" applyBorder="1">
      <alignment vertical="center"/>
    </xf>
    <xf numFmtId="49" fontId="50" fillId="0" borderId="1" xfId="0" applyNumberFormat="1" applyFont="1" applyBorder="1">
      <alignment vertical="center"/>
    </xf>
    <xf numFmtId="49" fontId="22" fillId="0" borderId="1" xfId="0" applyNumberFormat="1" applyFont="1" applyBorder="1">
      <alignment vertical="center"/>
    </xf>
    <xf numFmtId="0" fontId="22" fillId="0" borderId="1" xfId="0" applyFont="1" applyBorder="1" applyAlignment="1">
      <alignment horizontal="center" vertical="center"/>
    </xf>
    <xf numFmtId="49" fontId="60" fillId="27" borderId="1" xfId="0" applyNumberFormat="1" applyFont="1" applyFill="1" applyBorder="1" applyAlignment="1">
      <alignment horizontal="left" vertical="center"/>
    </xf>
    <xf numFmtId="0" fontId="61" fillId="27" borderId="1" xfId="0" applyFont="1" applyFill="1" applyBorder="1">
      <alignment vertical="center"/>
    </xf>
    <xf numFmtId="49" fontId="61" fillId="27" borderId="1" xfId="0" applyNumberFormat="1" applyFont="1" applyFill="1" applyBorder="1" applyAlignment="1">
      <alignment horizontal="center" vertical="center"/>
    </xf>
    <xf numFmtId="165" fontId="60" fillId="27" borderId="1" xfId="1" applyNumberFormat="1" applyFont="1" applyFill="1" applyBorder="1">
      <alignment vertical="center"/>
    </xf>
    <xf numFmtId="49" fontId="58" fillId="15" borderId="1" xfId="0" applyNumberFormat="1" applyFont="1" applyFill="1" applyBorder="1" applyAlignment="1">
      <alignment horizontal="left" vertical="center"/>
    </xf>
    <xf numFmtId="0" fontId="22" fillId="15" borderId="1" xfId="0" applyFont="1" applyFill="1" applyBorder="1">
      <alignment vertical="center"/>
    </xf>
    <xf numFmtId="49" fontId="59" fillId="15" borderId="1" xfId="0" applyNumberFormat="1" applyFont="1" applyFill="1" applyBorder="1" applyAlignment="1">
      <alignment horizontal="center" vertical="center"/>
    </xf>
    <xf numFmtId="165" fontId="58" fillId="15" borderId="1" xfId="1" applyNumberFormat="1" applyFont="1" applyFill="1" applyBorder="1">
      <alignment vertical="center"/>
    </xf>
    <xf numFmtId="0" fontId="59" fillId="15" borderId="1" xfId="0" applyFont="1" applyFill="1" applyBorder="1">
      <alignment vertical="center"/>
    </xf>
    <xf numFmtId="165" fontId="50" fillId="27" borderId="0" xfId="1" applyNumberFormat="1" applyFont="1" applyFill="1">
      <alignment vertical="center"/>
    </xf>
    <xf numFmtId="165" fontId="50" fillId="27" borderId="4" xfId="1" applyNumberFormat="1" applyFont="1" applyFill="1" applyBorder="1">
      <alignment vertical="center"/>
    </xf>
    <xf numFmtId="49" fontId="50" fillId="4" borderId="1" xfId="0" applyNumberFormat="1" applyFont="1" applyFill="1" applyBorder="1" applyAlignment="1">
      <alignment horizontal="left" vertical="center"/>
    </xf>
    <xf numFmtId="49" fontId="50" fillId="26" borderId="1" xfId="0" applyNumberFormat="1" applyFont="1" applyFill="1" applyBorder="1" applyAlignment="1">
      <alignment horizontal="left" vertical="center"/>
    </xf>
    <xf numFmtId="49" fontId="50" fillId="0" borderId="1" xfId="0" applyNumberFormat="1" applyFont="1" applyBorder="1" applyAlignment="1">
      <alignment horizontal="left" vertical="center"/>
    </xf>
    <xf numFmtId="165" fontId="50" fillId="0" borderId="1" xfId="1" applyNumberFormat="1" applyFont="1" applyBorder="1">
      <alignment vertical="center"/>
    </xf>
    <xf numFmtId="49" fontId="50" fillId="6" borderId="1" xfId="0" applyNumberFormat="1" applyFont="1" applyFill="1" applyBorder="1" applyAlignment="1">
      <alignment horizontal="left" vertical="center"/>
    </xf>
    <xf numFmtId="165" fontId="50" fillId="4" borderId="4" xfId="1" applyNumberFormat="1" applyFont="1" applyFill="1" applyBorder="1">
      <alignment vertical="center"/>
    </xf>
    <xf numFmtId="165" fontId="50" fillId="6" borderId="4" xfId="1" applyNumberFormat="1" applyFont="1" applyFill="1" applyBorder="1">
      <alignment vertical="center"/>
    </xf>
    <xf numFmtId="165" fontId="50" fillId="19" borderId="1" xfId="1" applyNumberFormat="1" applyFont="1" applyFill="1" applyBorder="1">
      <alignment vertical="center"/>
    </xf>
    <xf numFmtId="49" fontId="50" fillId="24" borderId="1" xfId="0" applyNumberFormat="1" applyFont="1" applyFill="1" applyBorder="1">
      <alignment vertical="center"/>
    </xf>
    <xf numFmtId="165" fontId="50" fillId="24" borderId="1" xfId="1" applyNumberFormat="1" applyFont="1" applyFill="1" applyBorder="1">
      <alignment vertical="center"/>
    </xf>
    <xf numFmtId="49" fontId="50" fillId="19" borderId="1" xfId="0" applyNumberFormat="1" applyFont="1" applyFill="1" applyBorder="1" applyAlignment="1">
      <alignment horizontal="left" vertical="center"/>
    </xf>
    <xf numFmtId="171" fontId="51" fillId="0" borderId="1" xfId="1" applyNumberFormat="1" applyFont="1" applyBorder="1">
      <alignment vertical="center"/>
    </xf>
    <xf numFmtId="49" fontId="50" fillId="23" borderId="1" xfId="0" applyNumberFormat="1" applyFont="1" applyFill="1" applyBorder="1" applyAlignment="1">
      <alignment horizontal="left" vertical="center"/>
    </xf>
    <xf numFmtId="165" fontId="50" fillId="23" borderId="1" xfId="1" applyNumberFormat="1" applyFont="1" applyFill="1" applyBorder="1">
      <alignment vertical="center"/>
    </xf>
    <xf numFmtId="49" fontId="50" fillId="24" borderId="1" xfId="0" applyNumberFormat="1" applyFont="1" applyFill="1" applyBorder="1" applyAlignment="1">
      <alignment horizontal="left" vertical="center"/>
    </xf>
    <xf numFmtId="49" fontId="50" fillId="5" borderId="0" xfId="0" applyNumberFormat="1" applyFont="1" applyFill="1" applyBorder="1" applyAlignment="1">
      <alignment horizontal="left" vertical="center"/>
    </xf>
    <xf numFmtId="165" fontId="50" fillId="5" borderId="0" xfId="1" applyNumberFormat="1" applyFont="1" applyFill="1" applyBorder="1">
      <alignment vertical="center"/>
    </xf>
    <xf numFmtId="165" fontId="50" fillId="27" borderId="15" xfId="1" applyNumberFormat="1" applyFont="1" applyFill="1" applyBorder="1">
      <alignment vertical="center"/>
    </xf>
    <xf numFmtId="165" fontId="50" fillId="27" borderId="14" xfId="1" applyNumberFormat="1" applyFont="1" applyFill="1" applyBorder="1">
      <alignment vertical="center"/>
    </xf>
    <xf numFmtId="165" fontId="50" fillId="27" borderId="18" xfId="1" applyNumberFormat="1" applyFont="1" applyFill="1" applyBorder="1">
      <alignment vertical="center"/>
    </xf>
    <xf numFmtId="165" fontId="50" fillId="4" borderId="4" xfId="1" applyNumberFormat="1" applyFont="1" applyFill="1" applyBorder="1" applyAlignment="1">
      <alignment horizontal="center" vertical="center"/>
    </xf>
    <xf numFmtId="165" fontId="50" fillId="0" borderId="4" xfId="1" applyNumberFormat="1" applyFont="1" applyBorder="1">
      <alignment vertical="center"/>
    </xf>
    <xf numFmtId="0" fontId="53" fillId="25" borderId="1" xfId="0" applyFont="1" applyFill="1" applyBorder="1" applyAlignment="1">
      <alignment vertical="center"/>
    </xf>
    <xf numFmtId="0" fontId="53" fillId="5" borderId="1" xfId="0" applyFont="1" applyFill="1" applyBorder="1" applyAlignment="1">
      <alignment vertical="center"/>
    </xf>
    <xf numFmtId="0" fontId="27" fillId="5" borderId="1" xfId="0" applyFont="1" applyFill="1" applyBorder="1" applyAlignment="1">
      <alignment vertical="center"/>
    </xf>
    <xf numFmtId="0" fontId="36" fillId="5" borderId="1" xfId="0" applyFont="1" applyFill="1" applyBorder="1" applyAlignment="1">
      <alignment vertical="center"/>
    </xf>
    <xf numFmtId="0" fontId="62" fillId="5" borderId="0" xfId="0" applyFont="1" applyFill="1" applyBorder="1" applyAlignment="1">
      <alignment horizontal="right" vertical="center"/>
    </xf>
    <xf numFmtId="169" fontId="63" fillId="0" borderId="1" xfId="0" applyNumberFormat="1" applyFont="1" applyBorder="1" applyAlignment="1">
      <alignment horizontal="center" vertical="center" wrapText="1"/>
    </xf>
    <xf numFmtId="169" fontId="64" fillId="0" borderId="1" xfId="0" applyNumberFormat="1" applyFont="1" applyBorder="1" applyAlignment="1">
      <alignment horizontal="center" vertical="center"/>
    </xf>
    <xf numFmtId="165" fontId="50" fillId="27" borderId="0" xfId="1" applyNumberFormat="1" applyFont="1" applyFill="1" applyBorder="1">
      <alignment vertical="center"/>
    </xf>
    <xf numFmtId="169" fontId="64" fillId="0" borderId="2" xfId="0" applyNumberFormat="1" applyFont="1" applyBorder="1">
      <alignment vertical="center"/>
    </xf>
    <xf numFmtId="0" fontId="56" fillId="24" borderId="1" xfId="0" applyFont="1" applyFill="1" applyBorder="1" applyAlignment="1">
      <alignment horizontal="center" vertical="center"/>
    </xf>
    <xf numFmtId="0" fontId="56" fillId="23" borderId="1" xfId="0" applyFont="1" applyFill="1" applyBorder="1" applyAlignment="1">
      <alignment horizontal="center" vertical="center"/>
    </xf>
    <xf numFmtId="0" fontId="56" fillId="19" borderId="1" xfId="0" applyFont="1" applyFill="1" applyBorder="1" applyAlignment="1">
      <alignment horizontal="center" vertical="center"/>
    </xf>
    <xf numFmtId="169" fontId="63" fillId="0" borderId="1" xfId="0" applyNumberFormat="1" applyFont="1" applyBorder="1" applyAlignment="1">
      <alignment horizontal="center" vertical="center"/>
    </xf>
    <xf numFmtId="0" fontId="56" fillId="18" borderId="1" xfId="0" applyFont="1" applyFill="1" applyBorder="1" applyAlignment="1">
      <alignment horizontal="center" vertical="center"/>
    </xf>
    <xf numFmtId="0" fontId="56" fillId="4" borderId="1" xfId="0" applyFont="1" applyFill="1" applyBorder="1" applyAlignment="1">
      <alignment horizontal="center" vertical="center"/>
    </xf>
    <xf numFmtId="49" fontId="50" fillId="19" borderId="17" xfId="0" applyNumberFormat="1" applyFont="1" applyFill="1" applyBorder="1" applyAlignment="1">
      <alignment horizontal="center" vertical="center"/>
    </xf>
    <xf numFmtId="49" fontId="50" fillId="19" borderId="13" xfId="0" applyNumberFormat="1" applyFont="1" applyFill="1" applyBorder="1" applyAlignment="1">
      <alignment horizontal="center" vertical="center"/>
    </xf>
    <xf numFmtId="49" fontId="50" fillId="19" borderId="20" xfId="0" applyNumberFormat="1" applyFont="1" applyFill="1" applyBorder="1" applyAlignment="1">
      <alignment horizontal="center" vertical="center"/>
    </xf>
    <xf numFmtId="165" fontId="50" fillId="32" borderId="1" xfId="1" applyNumberFormat="1" applyFont="1" applyFill="1" applyBorder="1">
      <alignment vertical="center"/>
    </xf>
    <xf numFmtId="0" fontId="47" fillId="20" borderId="0" xfId="0" applyFont="1" applyFill="1" applyAlignment="1">
      <alignment horizontal="center" vertical="center"/>
    </xf>
    <xf numFmtId="0" fontId="29" fillId="10" borderId="4" xfId="0" applyFont="1" applyFill="1" applyBorder="1" applyAlignment="1">
      <alignment horizontal="center" vertical="center"/>
    </xf>
    <xf numFmtId="0" fontId="29" fillId="10" borderId="2" xfId="0" applyFont="1" applyFill="1" applyBorder="1" applyAlignment="1">
      <alignment horizontal="center" vertical="center"/>
    </xf>
    <xf numFmtId="0" fontId="29" fillId="15" borderId="1" xfId="0" applyFont="1" applyFill="1" applyBorder="1" applyAlignment="1">
      <alignment horizontal="center" vertical="center"/>
    </xf>
    <xf numFmtId="0" fontId="29" fillId="15" borderId="1" xfId="0" applyFont="1" applyFill="1" applyBorder="1" applyAlignment="1">
      <alignment horizontal="center" vertical="center" wrapText="1"/>
    </xf>
    <xf numFmtId="0" fontId="29" fillId="15" borderId="3" xfId="0" applyFont="1" applyFill="1" applyBorder="1" applyAlignment="1">
      <alignment horizontal="center" vertical="center" wrapText="1"/>
    </xf>
    <xf numFmtId="0" fontId="29" fillId="15" borderId="5" xfId="0" applyFont="1" applyFill="1" applyBorder="1" applyAlignment="1">
      <alignment horizontal="center" vertical="center" wrapText="1"/>
    </xf>
    <xf numFmtId="0" fontId="38" fillId="4" borderId="1" xfId="0" applyFont="1" applyFill="1" applyBorder="1" applyAlignment="1" applyProtection="1">
      <alignment horizontal="center" vertical="center" wrapText="1"/>
      <protection locked="0"/>
    </xf>
    <xf numFmtId="0" fontId="38" fillId="4" borderId="4" xfId="0" applyFont="1" applyFill="1" applyBorder="1" applyAlignment="1" applyProtection="1">
      <alignment horizontal="center" vertical="center" wrapText="1"/>
      <protection locked="0"/>
    </xf>
    <xf numFmtId="0" fontId="38" fillId="4" borderId="2" xfId="0" applyFont="1" applyFill="1" applyBorder="1" applyAlignment="1" applyProtection="1">
      <alignment horizontal="center" vertical="center" wrapText="1"/>
      <protection locked="0"/>
    </xf>
    <xf numFmtId="169" fontId="65" fillId="0" borderId="1" xfId="0" applyNumberFormat="1" applyFont="1" applyBorder="1" applyAlignment="1">
      <alignment horizontal="center" vertical="center"/>
    </xf>
    <xf numFmtId="169" fontId="63" fillId="0" borderId="1" xfId="0" applyNumberFormat="1" applyFont="1" applyBorder="1" applyAlignment="1">
      <alignment horizontal="center" vertical="center"/>
    </xf>
    <xf numFmtId="49" fontId="50" fillId="19" borderId="15" xfId="0" applyNumberFormat="1" applyFont="1" applyFill="1" applyBorder="1" applyAlignment="1">
      <alignment horizontal="center" vertical="center"/>
    </xf>
    <xf numFmtId="49" fontId="50" fillId="19" borderId="16" xfId="0" applyNumberFormat="1" applyFont="1" applyFill="1" applyBorder="1" applyAlignment="1">
      <alignment horizontal="center" vertical="center"/>
    </xf>
    <xf numFmtId="49" fontId="50" fillId="19" borderId="17" xfId="0" applyNumberFormat="1" applyFont="1" applyFill="1" applyBorder="1" applyAlignment="1">
      <alignment horizontal="center" vertical="center"/>
    </xf>
    <xf numFmtId="49" fontId="50" fillId="19" borderId="14" xfId="0" applyNumberFormat="1" applyFont="1" applyFill="1" applyBorder="1" applyAlignment="1">
      <alignment horizontal="center" vertical="center"/>
    </xf>
    <xf numFmtId="49" fontId="50" fillId="19" borderId="0" xfId="0" applyNumberFormat="1" applyFont="1" applyFill="1" applyBorder="1" applyAlignment="1">
      <alignment horizontal="center" vertical="center"/>
    </xf>
    <xf numFmtId="49" fontId="50" fillId="19" borderId="13" xfId="0" applyNumberFormat="1" applyFont="1" applyFill="1" applyBorder="1" applyAlignment="1">
      <alignment horizontal="center" vertical="center"/>
    </xf>
    <xf numFmtId="49" fontId="50" fillId="19" borderId="18" xfId="0" applyNumberFormat="1" applyFont="1" applyFill="1" applyBorder="1" applyAlignment="1">
      <alignment horizontal="center" vertical="center"/>
    </xf>
    <xf numFmtId="49" fontId="50" fillId="19" borderId="19" xfId="0" applyNumberFormat="1" applyFont="1" applyFill="1" applyBorder="1" applyAlignment="1">
      <alignment horizontal="center" vertical="center"/>
    </xf>
    <xf numFmtId="49" fontId="50" fillId="19" borderId="20" xfId="0" applyNumberFormat="1" applyFont="1" applyFill="1" applyBorder="1" applyAlignment="1">
      <alignment horizontal="center" vertical="center"/>
    </xf>
    <xf numFmtId="0" fontId="56" fillId="4" borderId="1" xfId="0" applyFont="1" applyFill="1" applyBorder="1" applyAlignment="1">
      <alignment horizontal="center" vertical="center"/>
    </xf>
    <xf numFmtId="49" fontId="50" fillId="27" borderId="4" xfId="0" applyNumberFormat="1" applyFont="1" applyFill="1" applyBorder="1" applyAlignment="1">
      <alignment horizontal="center" vertical="center"/>
    </xf>
    <xf numFmtId="49" fontId="50" fillId="27" borderId="6" xfId="0" applyNumberFormat="1" applyFont="1" applyFill="1" applyBorder="1" applyAlignment="1">
      <alignment horizontal="center" vertical="center"/>
    </xf>
    <xf numFmtId="49" fontId="50" fillId="27" borderId="2" xfId="0" applyNumberFormat="1" applyFont="1" applyFill="1" applyBorder="1" applyAlignment="1">
      <alignment horizontal="center" vertical="center"/>
    </xf>
    <xf numFmtId="0" fontId="53" fillId="25" borderId="0" xfId="0" applyFont="1" applyFill="1" applyBorder="1" applyAlignment="1">
      <alignment horizontal="right" vertical="center"/>
    </xf>
    <xf numFmtId="0" fontId="53" fillId="25" borderId="0" xfId="0" applyFont="1" applyFill="1" applyBorder="1" applyAlignment="1">
      <alignment horizontal="center" vertical="center"/>
    </xf>
    <xf numFmtId="0" fontId="28" fillId="5" borderId="0" xfId="0" applyFont="1" applyFill="1" applyBorder="1" applyAlignment="1">
      <alignment horizontal="center" vertical="center"/>
    </xf>
    <xf numFmtId="0" fontId="28" fillId="5" borderId="13" xfId="0" applyFont="1" applyFill="1" applyBorder="1" applyAlignment="1">
      <alignment horizontal="center" vertical="center"/>
    </xf>
    <xf numFmtId="0" fontId="56" fillId="24" borderId="1" xfId="0" applyFont="1" applyFill="1" applyBorder="1" applyAlignment="1">
      <alignment horizontal="center" vertical="center"/>
    </xf>
    <xf numFmtId="0" fontId="56" fillId="23" borderId="1" xfId="0" applyFont="1" applyFill="1" applyBorder="1" applyAlignment="1">
      <alignment horizontal="center" vertical="center"/>
    </xf>
    <xf numFmtId="0" fontId="56" fillId="19" borderId="1" xfId="0" applyFont="1" applyFill="1" applyBorder="1" applyAlignment="1">
      <alignment horizontal="center" vertical="center"/>
    </xf>
    <xf numFmtId="0" fontId="56" fillId="18" borderId="1" xfId="0" applyFont="1" applyFill="1" applyBorder="1" applyAlignment="1">
      <alignment horizontal="center" vertical="center"/>
    </xf>
    <xf numFmtId="169" fontId="41" fillId="0" borderId="1" xfId="0" applyNumberFormat="1" applyFont="1" applyBorder="1" applyAlignment="1">
      <alignment horizontal="center" vertical="center"/>
    </xf>
    <xf numFmtId="169" fontId="42" fillId="0" borderId="1" xfId="0" applyNumberFormat="1" applyFont="1" applyBorder="1" applyAlignment="1">
      <alignment horizontal="center" vertical="center"/>
    </xf>
    <xf numFmtId="0" fontId="36" fillId="5" borderId="3" xfId="0" applyFont="1" applyFill="1" applyBorder="1" applyAlignment="1" applyProtection="1">
      <alignment horizontal="center" vertical="center"/>
    </xf>
    <xf numFmtId="0" fontId="36" fillId="5" borderId="7" xfId="0" applyFont="1" applyFill="1" applyBorder="1" applyAlignment="1" applyProtection="1">
      <alignment horizontal="center" vertical="center"/>
    </xf>
    <xf numFmtId="0" fontId="36" fillId="5" borderId="5" xfId="0" applyFont="1" applyFill="1" applyBorder="1" applyAlignment="1" applyProtection="1">
      <alignment horizontal="center" vertical="center"/>
    </xf>
    <xf numFmtId="0" fontId="36" fillId="5" borderId="3" xfId="0" applyFont="1" applyFill="1" applyBorder="1" applyAlignment="1">
      <alignment horizontal="center" vertical="center"/>
    </xf>
    <xf numFmtId="0" fontId="36" fillId="5" borderId="7" xfId="0" applyFont="1" applyFill="1" applyBorder="1" applyAlignment="1">
      <alignment horizontal="center" vertical="center"/>
    </xf>
    <xf numFmtId="0" fontId="36" fillId="5" borderId="5" xfId="0" applyFont="1" applyFill="1" applyBorder="1" applyAlignment="1">
      <alignment horizontal="center" vertical="center"/>
    </xf>
    <xf numFmtId="0" fontId="27" fillId="12" borderId="3" xfId="0" applyFont="1" applyFill="1" applyBorder="1" applyAlignment="1">
      <alignment horizontal="center" vertical="center"/>
    </xf>
    <xf numFmtId="0" fontId="27" fillId="12" borderId="7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2" xfId="0" applyFont="1" applyFill="1" applyBorder="1" applyAlignment="1">
      <alignment horizontal="center" vertical="center"/>
    </xf>
    <xf numFmtId="0" fontId="27" fillId="12" borderId="5" xfId="0" applyFont="1" applyFill="1" applyBorder="1" applyAlignment="1">
      <alignment horizontal="center" vertical="center"/>
    </xf>
    <xf numFmtId="0" fontId="36" fillId="5" borderId="3" xfId="0" applyFont="1" applyFill="1" applyBorder="1" applyAlignment="1">
      <alignment vertical="center"/>
    </xf>
    <xf numFmtId="0" fontId="36" fillId="5" borderId="7" xfId="0" applyFont="1" applyFill="1" applyBorder="1" applyAlignment="1">
      <alignment vertical="center"/>
    </xf>
    <xf numFmtId="0" fontId="36" fillId="5" borderId="5" xfId="0" applyFont="1" applyFill="1" applyBorder="1" applyAlignment="1">
      <alignment vertical="center"/>
    </xf>
    <xf numFmtId="0" fontId="27" fillId="0" borderId="3" xfId="0" applyFont="1" applyFill="1" applyBorder="1" applyAlignment="1">
      <alignment horizontal="center" vertical="center"/>
    </xf>
    <xf numFmtId="0" fontId="27" fillId="0" borderId="7" xfId="0" applyFont="1" applyFill="1" applyBorder="1" applyAlignment="1">
      <alignment horizontal="center" vertical="center"/>
    </xf>
    <xf numFmtId="0" fontId="27" fillId="0" borderId="9" xfId="0" applyFont="1" applyFill="1" applyBorder="1" applyAlignment="1">
      <alignment horizontal="center" vertical="center"/>
    </xf>
    <xf numFmtId="0" fontId="27" fillId="0" borderId="12" xfId="0" applyFont="1" applyFill="1" applyBorder="1" applyAlignment="1">
      <alignment horizontal="center" vertical="center"/>
    </xf>
    <xf numFmtId="0" fontId="27" fillId="0" borderId="5" xfId="0" applyFont="1" applyFill="1" applyBorder="1" applyAlignment="1">
      <alignment horizontal="center" vertical="center"/>
    </xf>
    <xf numFmtId="0" fontId="20" fillId="4" borderId="4" xfId="0" applyFont="1" applyFill="1" applyBorder="1" applyAlignment="1">
      <alignment horizontal="center" vertical="center"/>
    </xf>
    <xf numFmtId="0" fontId="20" fillId="4" borderId="6" xfId="0" applyFont="1" applyFill="1" applyBorder="1" applyAlignment="1">
      <alignment horizontal="center" vertical="center"/>
    </xf>
    <xf numFmtId="0" fontId="20" fillId="4" borderId="2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 wrapText="1"/>
    </xf>
    <xf numFmtId="49" fontId="50" fillId="5" borderId="1" xfId="0" applyNumberFormat="1" applyFont="1" applyFill="1" applyBorder="1" applyAlignment="1">
      <alignment horizontal="left" vertical="center"/>
    </xf>
    <xf numFmtId="165" fontId="50" fillId="5" borderId="4" xfId="1" applyNumberFormat="1" applyFont="1" applyFill="1" applyBorder="1">
      <alignment vertical="center"/>
    </xf>
    <xf numFmtId="165" fontId="50" fillId="5" borderId="1" xfId="1" applyNumberFormat="1" applyFont="1" applyFill="1" applyBorder="1">
      <alignment vertical="center"/>
    </xf>
    <xf numFmtId="165" fontId="60" fillId="6" borderId="1" xfId="1" applyNumberFormat="1" applyFont="1" applyFill="1" applyBorder="1">
      <alignment vertical="center"/>
    </xf>
    <xf numFmtId="49" fontId="58" fillId="6" borderId="1" xfId="0" applyNumberFormat="1" applyFont="1" applyFill="1" applyBorder="1" applyAlignment="1">
      <alignment horizontal="left" vertical="center"/>
    </xf>
    <xf numFmtId="165" fontId="58" fillId="6" borderId="1" xfId="1" applyNumberFormat="1" applyFont="1" applyFill="1" applyBorder="1">
      <alignment vertical="center"/>
    </xf>
    <xf numFmtId="0" fontId="66" fillId="0" borderId="0" xfId="0" applyFont="1">
      <alignment vertical="center"/>
    </xf>
    <xf numFmtId="0" fontId="66" fillId="5" borderId="0" xfId="0" applyFont="1" applyFill="1">
      <alignment vertical="center"/>
    </xf>
    <xf numFmtId="0" fontId="64" fillId="5" borderId="0" xfId="0" applyFont="1" applyFill="1" applyBorder="1" applyAlignment="1">
      <alignment horizontal="right" vertical="center"/>
    </xf>
    <xf numFmtId="0" fontId="27" fillId="5" borderId="0" xfId="0" applyFont="1" applyFill="1" applyBorder="1" applyAlignment="1">
      <alignment horizontal="right" vertical="center"/>
    </xf>
    <xf numFmtId="0" fontId="27" fillId="5" borderId="0" xfId="0" applyFont="1" applyFill="1" applyBorder="1" applyAlignment="1">
      <alignment horizontal="center" vertical="center"/>
    </xf>
    <xf numFmtId="0" fontId="27" fillId="5" borderId="13" xfId="0" applyFont="1" applyFill="1" applyBorder="1" applyAlignment="1">
      <alignment horizontal="center" vertical="center"/>
    </xf>
    <xf numFmtId="0" fontId="27" fillId="5" borderId="13" xfId="0" applyFont="1" applyFill="1" applyBorder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36" fillId="0" borderId="0" xfId="0" applyFont="1">
      <alignment vertical="center"/>
    </xf>
    <xf numFmtId="0" fontId="36" fillId="5" borderId="0" xfId="0" applyFont="1" applyFill="1" applyBorder="1" applyAlignment="1">
      <alignment horizontal="left" vertical="center"/>
    </xf>
    <xf numFmtId="0" fontId="36" fillId="5" borderId="0" xfId="0" applyFont="1" applyFill="1" applyBorder="1">
      <alignment vertical="center"/>
    </xf>
    <xf numFmtId="0" fontId="50" fillId="0" borderId="0" xfId="0" applyFont="1">
      <alignment vertical="center"/>
    </xf>
    <xf numFmtId="0" fontId="50" fillId="5" borderId="1" xfId="0" applyFont="1" applyFill="1" applyBorder="1">
      <alignment vertical="center"/>
    </xf>
    <xf numFmtId="0" fontId="50" fillId="27" borderId="1" xfId="0" applyFont="1" applyFill="1" applyBorder="1">
      <alignment vertical="center"/>
    </xf>
    <xf numFmtId="0" fontId="50" fillId="6" borderId="1" xfId="0" applyFont="1" applyFill="1" applyBorder="1">
      <alignment vertical="center"/>
    </xf>
    <xf numFmtId="0" fontId="50" fillId="27" borderId="0" xfId="0" applyFont="1" applyFill="1">
      <alignment vertical="center"/>
    </xf>
    <xf numFmtId="0" fontId="58" fillId="27" borderId="1" xfId="0" applyFont="1" applyFill="1" applyBorder="1">
      <alignment vertical="center"/>
    </xf>
    <xf numFmtId="0" fontId="50" fillId="24" borderId="1" xfId="0" applyFont="1" applyFill="1" applyBorder="1">
      <alignment vertical="center"/>
    </xf>
    <xf numFmtId="0" fontId="67" fillId="27" borderId="1" xfId="0" applyFont="1" applyFill="1" applyBorder="1">
      <alignment vertical="center"/>
    </xf>
    <xf numFmtId="0" fontId="67" fillId="6" borderId="1" xfId="0" applyFont="1" applyFill="1" applyBorder="1">
      <alignment vertical="center"/>
    </xf>
    <xf numFmtId="0" fontId="68" fillId="27" borderId="1" xfId="0" applyFont="1" applyFill="1" applyBorder="1">
      <alignment vertical="center"/>
    </xf>
    <xf numFmtId="169" fontId="64" fillId="0" borderId="1" xfId="0" applyNumberFormat="1" applyFont="1" applyBorder="1">
      <alignment vertical="center"/>
    </xf>
    <xf numFmtId="49" fontId="50" fillId="27" borderId="1" xfId="0" applyNumberFormat="1" applyFont="1" applyFill="1" applyBorder="1" applyAlignment="1">
      <alignment horizontal="center" vertical="center"/>
    </xf>
    <xf numFmtId="0" fontId="50" fillId="4" borderId="1" xfId="0" applyFont="1" applyFill="1" applyBorder="1">
      <alignment vertical="center"/>
    </xf>
    <xf numFmtId="0" fontId="67" fillId="5" borderId="1" xfId="0" applyFont="1" applyFill="1" applyBorder="1">
      <alignment vertical="center"/>
    </xf>
    <xf numFmtId="0" fontId="50" fillId="5" borderId="0" xfId="0" applyFont="1" applyFill="1" applyBorder="1">
      <alignment vertical="center"/>
    </xf>
    <xf numFmtId="49" fontId="50" fillId="5" borderId="0" xfId="0" applyNumberFormat="1" applyFont="1" applyFill="1" applyBorder="1" applyAlignment="1">
      <alignment horizontal="center" vertical="center"/>
    </xf>
    <xf numFmtId="49" fontId="50" fillId="6" borderId="1" xfId="0" applyNumberFormat="1" applyFont="1" applyFill="1" applyBorder="1" applyAlignment="1">
      <alignment horizontal="center" vertical="center"/>
    </xf>
    <xf numFmtId="0" fontId="50" fillId="19" borderId="1" xfId="0" applyFont="1" applyFill="1" applyBorder="1">
      <alignment vertical="center"/>
    </xf>
    <xf numFmtId="0" fontId="50" fillId="0" borderId="1" xfId="0" applyFont="1" applyBorder="1">
      <alignment vertical="center"/>
    </xf>
    <xf numFmtId="169" fontId="64" fillId="0" borderId="0" xfId="0" applyNumberFormat="1" applyFont="1">
      <alignment vertical="center"/>
    </xf>
  </cellXfs>
  <cellStyles count="532">
    <cellStyle name="Comma" xfId="1" builtinId="3"/>
    <cellStyle name="Comma 10" xfId="276"/>
    <cellStyle name="Comma 2" xfId="5"/>
    <cellStyle name="Comma 3" xfId="8"/>
    <cellStyle name="Comma 4" xfId="12"/>
    <cellStyle name="Comma 5" xfId="18"/>
    <cellStyle name="Comma 6" xfId="28"/>
    <cellStyle name="Comma 7" xfId="46"/>
    <cellStyle name="Comma 8" xfId="80"/>
    <cellStyle name="Comma 9" xfId="146"/>
    <cellStyle name="Normal" xfId="0" builtinId="0"/>
    <cellStyle name="Normal 10" xfId="27"/>
    <cellStyle name="Normal 11" xfId="26"/>
    <cellStyle name="Normal 11 2" xfId="62"/>
    <cellStyle name="Normal 11 2 2" xfId="128"/>
    <cellStyle name="Normal 11 2 2 2" xfId="258"/>
    <cellStyle name="Normal 11 2 2 2 2" xfId="516"/>
    <cellStyle name="Normal 11 2 2 3" xfId="388"/>
    <cellStyle name="Normal 11 2 3" xfId="194"/>
    <cellStyle name="Normal 11 2 3 2" xfId="452"/>
    <cellStyle name="Normal 11 2 4" xfId="324"/>
    <cellStyle name="Normal 11 3" xfId="96"/>
    <cellStyle name="Normal 11 3 2" xfId="226"/>
    <cellStyle name="Normal 11 3 2 2" xfId="484"/>
    <cellStyle name="Normal 11 3 3" xfId="356"/>
    <cellStyle name="Normal 11 4" xfId="162"/>
    <cellStyle name="Normal 11 4 2" xfId="420"/>
    <cellStyle name="Normal 11 5" xfId="292"/>
    <cellStyle name="Normal 12" xfId="45"/>
    <cellStyle name="Normal 13" xfId="44"/>
    <cellStyle name="Normal 13 2" xfId="112"/>
    <cellStyle name="Normal 13 2 2" xfId="242"/>
    <cellStyle name="Normal 13 2 2 2" xfId="500"/>
    <cellStyle name="Normal 13 2 3" xfId="372"/>
    <cellStyle name="Normal 13 3" xfId="178"/>
    <cellStyle name="Normal 13 3 2" xfId="436"/>
    <cellStyle name="Normal 13 4" xfId="308"/>
    <cellStyle name="Normal 14" xfId="79"/>
    <cellStyle name="Normal 15" xfId="78"/>
    <cellStyle name="Normal 15 2" xfId="210"/>
    <cellStyle name="Normal 15 2 2" xfId="468"/>
    <cellStyle name="Normal 15 3" xfId="340"/>
    <cellStyle name="Normal 16" xfId="145"/>
    <cellStyle name="Normal 17" xfId="144"/>
    <cellStyle name="Normal 17 2" xfId="404"/>
    <cellStyle name="Normal 18" xfId="275"/>
    <cellStyle name="Normal 19" xfId="274"/>
    <cellStyle name="Normal 2" xfId="4"/>
    <cellStyle name="Normal 3" xfId="7"/>
    <cellStyle name="Normal 3 4" xfId="2"/>
    <cellStyle name="Normal 4" xfId="6"/>
    <cellStyle name="Normal 4 2" xfId="14"/>
    <cellStyle name="Normal 4 2 2" xfId="24"/>
    <cellStyle name="Normal 4 2 2 2" xfId="42"/>
    <cellStyle name="Normal 4 2 2 2 2" xfId="76"/>
    <cellStyle name="Normal 4 2 2 2 2 2" xfId="142"/>
    <cellStyle name="Normal 4 2 2 2 2 2 2" xfId="272"/>
    <cellStyle name="Normal 4 2 2 2 2 2 2 2" xfId="530"/>
    <cellStyle name="Normal 4 2 2 2 2 2 3" xfId="402"/>
    <cellStyle name="Normal 4 2 2 2 2 3" xfId="208"/>
    <cellStyle name="Normal 4 2 2 2 2 3 2" xfId="466"/>
    <cellStyle name="Normal 4 2 2 2 2 4" xfId="338"/>
    <cellStyle name="Normal 4 2 2 2 3" xfId="110"/>
    <cellStyle name="Normal 4 2 2 2 3 2" xfId="240"/>
    <cellStyle name="Normal 4 2 2 2 3 2 2" xfId="498"/>
    <cellStyle name="Normal 4 2 2 2 3 3" xfId="370"/>
    <cellStyle name="Normal 4 2 2 2 4" xfId="176"/>
    <cellStyle name="Normal 4 2 2 2 4 2" xfId="434"/>
    <cellStyle name="Normal 4 2 2 2 5" xfId="306"/>
    <cellStyle name="Normal 4 2 2 3" xfId="60"/>
    <cellStyle name="Normal 4 2 2 3 2" xfId="126"/>
    <cellStyle name="Normal 4 2 2 3 2 2" xfId="256"/>
    <cellStyle name="Normal 4 2 2 3 2 2 2" xfId="514"/>
    <cellStyle name="Normal 4 2 2 3 2 3" xfId="386"/>
    <cellStyle name="Normal 4 2 2 3 3" xfId="192"/>
    <cellStyle name="Normal 4 2 2 3 3 2" xfId="450"/>
    <cellStyle name="Normal 4 2 2 3 4" xfId="322"/>
    <cellStyle name="Normal 4 2 2 4" xfId="94"/>
    <cellStyle name="Normal 4 2 2 4 2" xfId="224"/>
    <cellStyle name="Normal 4 2 2 4 2 2" xfId="482"/>
    <cellStyle name="Normal 4 2 2 4 3" xfId="354"/>
    <cellStyle name="Normal 4 2 2 5" xfId="160"/>
    <cellStyle name="Normal 4 2 2 5 2" xfId="418"/>
    <cellStyle name="Normal 4 2 2 6" xfId="290"/>
    <cellStyle name="Normal 4 2 3" xfId="34"/>
    <cellStyle name="Normal 4 2 3 2" xfId="68"/>
    <cellStyle name="Normal 4 2 3 2 2" xfId="134"/>
    <cellStyle name="Normal 4 2 3 2 2 2" xfId="264"/>
    <cellStyle name="Normal 4 2 3 2 2 2 2" xfId="522"/>
    <cellStyle name="Normal 4 2 3 2 2 3" xfId="394"/>
    <cellStyle name="Normal 4 2 3 2 3" xfId="200"/>
    <cellStyle name="Normal 4 2 3 2 3 2" xfId="458"/>
    <cellStyle name="Normal 4 2 3 2 4" xfId="330"/>
    <cellStyle name="Normal 4 2 3 3" xfId="102"/>
    <cellStyle name="Normal 4 2 3 3 2" xfId="232"/>
    <cellStyle name="Normal 4 2 3 3 2 2" xfId="490"/>
    <cellStyle name="Normal 4 2 3 3 3" xfId="362"/>
    <cellStyle name="Normal 4 2 3 4" xfId="168"/>
    <cellStyle name="Normal 4 2 3 4 2" xfId="426"/>
    <cellStyle name="Normal 4 2 3 5" xfId="298"/>
    <cellStyle name="Normal 4 2 4" xfId="52"/>
    <cellStyle name="Normal 4 2 4 2" xfId="118"/>
    <cellStyle name="Normal 4 2 4 2 2" xfId="248"/>
    <cellStyle name="Normal 4 2 4 2 2 2" xfId="506"/>
    <cellStyle name="Normal 4 2 4 2 3" xfId="378"/>
    <cellStyle name="Normal 4 2 4 3" xfId="184"/>
    <cellStyle name="Normal 4 2 4 3 2" xfId="442"/>
    <cellStyle name="Normal 4 2 4 4" xfId="314"/>
    <cellStyle name="Normal 4 2 5" xfId="86"/>
    <cellStyle name="Normal 4 2 5 2" xfId="216"/>
    <cellStyle name="Normal 4 2 5 2 2" xfId="474"/>
    <cellStyle name="Normal 4 2 5 3" xfId="346"/>
    <cellStyle name="Normal 4 2 6" xfId="152"/>
    <cellStyle name="Normal 4 2 6 2" xfId="410"/>
    <cellStyle name="Normal 4 2 7" xfId="282"/>
    <cellStyle name="Normal 4 3" xfId="20"/>
    <cellStyle name="Normal 4 3 2" xfId="38"/>
    <cellStyle name="Normal 4 3 2 2" xfId="72"/>
    <cellStyle name="Normal 4 3 2 2 2" xfId="138"/>
    <cellStyle name="Normal 4 3 2 2 2 2" xfId="268"/>
    <cellStyle name="Normal 4 3 2 2 2 2 2" xfId="526"/>
    <cellStyle name="Normal 4 3 2 2 2 3" xfId="398"/>
    <cellStyle name="Normal 4 3 2 2 3" xfId="204"/>
    <cellStyle name="Normal 4 3 2 2 3 2" xfId="462"/>
    <cellStyle name="Normal 4 3 2 2 4" xfId="334"/>
    <cellStyle name="Normal 4 3 2 3" xfId="106"/>
    <cellStyle name="Normal 4 3 2 3 2" xfId="236"/>
    <cellStyle name="Normal 4 3 2 3 2 2" xfId="494"/>
    <cellStyle name="Normal 4 3 2 3 3" xfId="366"/>
    <cellStyle name="Normal 4 3 2 4" xfId="172"/>
    <cellStyle name="Normal 4 3 2 4 2" xfId="430"/>
    <cellStyle name="Normal 4 3 2 5" xfId="302"/>
    <cellStyle name="Normal 4 3 3" xfId="56"/>
    <cellStyle name="Normal 4 3 3 2" xfId="122"/>
    <cellStyle name="Normal 4 3 3 2 2" xfId="252"/>
    <cellStyle name="Normal 4 3 3 2 2 2" xfId="510"/>
    <cellStyle name="Normal 4 3 3 2 3" xfId="382"/>
    <cellStyle name="Normal 4 3 3 3" xfId="188"/>
    <cellStyle name="Normal 4 3 3 3 2" xfId="446"/>
    <cellStyle name="Normal 4 3 3 4" xfId="318"/>
    <cellStyle name="Normal 4 3 4" xfId="90"/>
    <cellStyle name="Normal 4 3 4 2" xfId="220"/>
    <cellStyle name="Normal 4 3 4 2 2" xfId="478"/>
    <cellStyle name="Normal 4 3 4 3" xfId="350"/>
    <cellStyle name="Normal 4 3 5" xfId="156"/>
    <cellStyle name="Normal 4 3 5 2" xfId="414"/>
    <cellStyle name="Normal 4 3 6" xfId="286"/>
    <cellStyle name="Normal 4 4" xfId="30"/>
    <cellStyle name="Normal 4 4 2" xfId="64"/>
    <cellStyle name="Normal 4 4 2 2" xfId="130"/>
    <cellStyle name="Normal 4 4 2 2 2" xfId="260"/>
    <cellStyle name="Normal 4 4 2 2 2 2" xfId="518"/>
    <cellStyle name="Normal 4 4 2 2 3" xfId="390"/>
    <cellStyle name="Normal 4 4 2 3" xfId="196"/>
    <cellStyle name="Normal 4 4 2 3 2" xfId="454"/>
    <cellStyle name="Normal 4 4 2 4" xfId="326"/>
    <cellStyle name="Normal 4 4 3" xfId="98"/>
    <cellStyle name="Normal 4 4 3 2" xfId="228"/>
    <cellStyle name="Normal 4 4 3 2 2" xfId="486"/>
    <cellStyle name="Normal 4 4 3 3" xfId="358"/>
    <cellStyle name="Normal 4 4 4" xfId="164"/>
    <cellStyle name="Normal 4 4 4 2" xfId="422"/>
    <cellStyle name="Normal 4 4 5" xfId="294"/>
    <cellStyle name="Normal 4 5" xfId="48"/>
    <cellStyle name="Normal 4 5 2" xfId="114"/>
    <cellStyle name="Normal 4 5 2 2" xfId="244"/>
    <cellStyle name="Normal 4 5 2 2 2" xfId="502"/>
    <cellStyle name="Normal 4 5 2 3" xfId="374"/>
    <cellStyle name="Normal 4 5 3" xfId="180"/>
    <cellStyle name="Normal 4 5 3 2" xfId="438"/>
    <cellStyle name="Normal 4 5 4" xfId="310"/>
    <cellStyle name="Normal 4 6" xfId="82"/>
    <cellStyle name="Normal 4 6 2" xfId="212"/>
    <cellStyle name="Normal 4 6 2 2" xfId="470"/>
    <cellStyle name="Normal 4 6 3" xfId="342"/>
    <cellStyle name="Normal 4 7" xfId="148"/>
    <cellStyle name="Normal 4 7 2" xfId="406"/>
    <cellStyle name="Normal 4 8" xfId="278"/>
    <cellStyle name="Normal 5" xfId="3"/>
    <cellStyle name="Normal 5 2" xfId="9"/>
    <cellStyle name="Normal 5 2 2" xfId="15"/>
    <cellStyle name="Normal 5 2 2 2" xfId="25"/>
    <cellStyle name="Normal 5 2 2 2 2" xfId="43"/>
    <cellStyle name="Normal 5 2 2 2 2 2" xfId="77"/>
    <cellStyle name="Normal 5 2 2 2 2 2 2" xfId="143"/>
    <cellStyle name="Normal 5 2 2 2 2 2 2 2" xfId="273"/>
    <cellStyle name="Normal 5 2 2 2 2 2 2 2 2" xfId="531"/>
    <cellStyle name="Normal 5 2 2 2 2 2 2 3" xfId="403"/>
    <cellStyle name="Normal 5 2 2 2 2 2 3" xfId="209"/>
    <cellStyle name="Normal 5 2 2 2 2 2 3 2" xfId="467"/>
    <cellStyle name="Normal 5 2 2 2 2 2 4" xfId="339"/>
    <cellStyle name="Normal 5 2 2 2 2 3" xfId="111"/>
    <cellStyle name="Normal 5 2 2 2 2 3 2" xfId="241"/>
    <cellStyle name="Normal 5 2 2 2 2 3 2 2" xfId="499"/>
    <cellStyle name="Normal 5 2 2 2 2 3 3" xfId="371"/>
    <cellStyle name="Normal 5 2 2 2 2 4" xfId="177"/>
    <cellStyle name="Normal 5 2 2 2 2 4 2" xfId="435"/>
    <cellStyle name="Normal 5 2 2 2 2 5" xfId="307"/>
    <cellStyle name="Normal 5 2 2 2 3" xfId="61"/>
    <cellStyle name="Normal 5 2 2 2 3 2" xfId="127"/>
    <cellStyle name="Normal 5 2 2 2 3 2 2" xfId="257"/>
    <cellStyle name="Normal 5 2 2 2 3 2 2 2" xfId="515"/>
    <cellStyle name="Normal 5 2 2 2 3 2 3" xfId="387"/>
    <cellStyle name="Normal 5 2 2 2 3 3" xfId="193"/>
    <cellStyle name="Normal 5 2 2 2 3 3 2" xfId="451"/>
    <cellStyle name="Normal 5 2 2 2 3 4" xfId="323"/>
    <cellStyle name="Normal 5 2 2 2 4" xfId="95"/>
    <cellStyle name="Normal 5 2 2 2 4 2" xfId="225"/>
    <cellStyle name="Normal 5 2 2 2 4 2 2" xfId="483"/>
    <cellStyle name="Normal 5 2 2 2 4 3" xfId="355"/>
    <cellStyle name="Normal 5 2 2 2 5" xfId="161"/>
    <cellStyle name="Normal 5 2 2 2 5 2" xfId="419"/>
    <cellStyle name="Normal 5 2 2 2 6" xfId="291"/>
    <cellStyle name="Normal 5 2 2 3" xfId="35"/>
    <cellStyle name="Normal 5 2 2 3 2" xfId="69"/>
    <cellStyle name="Normal 5 2 2 3 2 2" xfId="135"/>
    <cellStyle name="Normal 5 2 2 3 2 2 2" xfId="265"/>
    <cellStyle name="Normal 5 2 2 3 2 2 2 2" xfId="523"/>
    <cellStyle name="Normal 5 2 2 3 2 2 3" xfId="395"/>
    <cellStyle name="Normal 5 2 2 3 2 3" xfId="201"/>
    <cellStyle name="Normal 5 2 2 3 2 3 2" xfId="459"/>
    <cellStyle name="Normal 5 2 2 3 2 4" xfId="331"/>
    <cellStyle name="Normal 5 2 2 3 3" xfId="103"/>
    <cellStyle name="Normal 5 2 2 3 3 2" xfId="233"/>
    <cellStyle name="Normal 5 2 2 3 3 2 2" xfId="491"/>
    <cellStyle name="Normal 5 2 2 3 3 3" xfId="363"/>
    <cellStyle name="Normal 5 2 2 3 4" xfId="169"/>
    <cellStyle name="Normal 5 2 2 3 4 2" xfId="427"/>
    <cellStyle name="Normal 5 2 2 3 5" xfId="299"/>
    <cellStyle name="Normal 5 2 2 4" xfId="53"/>
    <cellStyle name="Normal 5 2 2 4 2" xfId="119"/>
    <cellStyle name="Normal 5 2 2 4 2 2" xfId="249"/>
    <cellStyle name="Normal 5 2 2 4 2 2 2" xfId="507"/>
    <cellStyle name="Normal 5 2 2 4 2 3" xfId="379"/>
    <cellStyle name="Normal 5 2 2 4 3" xfId="185"/>
    <cellStyle name="Normal 5 2 2 4 3 2" xfId="443"/>
    <cellStyle name="Normal 5 2 2 4 4" xfId="315"/>
    <cellStyle name="Normal 5 2 2 5" xfId="87"/>
    <cellStyle name="Normal 5 2 2 5 2" xfId="217"/>
    <cellStyle name="Normal 5 2 2 5 2 2" xfId="475"/>
    <cellStyle name="Normal 5 2 2 5 3" xfId="347"/>
    <cellStyle name="Normal 5 2 2 6" xfId="153"/>
    <cellStyle name="Normal 5 2 2 6 2" xfId="411"/>
    <cellStyle name="Normal 5 2 2 7" xfId="283"/>
    <cellStyle name="Normal 5 2 3" xfId="21"/>
    <cellStyle name="Normal 5 2 3 2" xfId="39"/>
    <cellStyle name="Normal 5 2 3 2 2" xfId="73"/>
    <cellStyle name="Normal 5 2 3 2 2 2" xfId="139"/>
    <cellStyle name="Normal 5 2 3 2 2 2 2" xfId="269"/>
    <cellStyle name="Normal 5 2 3 2 2 2 2 2" xfId="527"/>
    <cellStyle name="Normal 5 2 3 2 2 2 3" xfId="399"/>
    <cellStyle name="Normal 5 2 3 2 2 3" xfId="205"/>
    <cellStyle name="Normal 5 2 3 2 2 3 2" xfId="463"/>
    <cellStyle name="Normal 5 2 3 2 2 4" xfId="335"/>
    <cellStyle name="Normal 5 2 3 2 3" xfId="107"/>
    <cellStyle name="Normal 5 2 3 2 3 2" xfId="237"/>
    <cellStyle name="Normal 5 2 3 2 3 2 2" xfId="495"/>
    <cellStyle name="Normal 5 2 3 2 3 3" xfId="367"/>
    <cellStyle name="Normal 5 2 3 2 4" xfId="173"/>
    <cellStyle name="Normal 5 2 3 2 4 2" xfId="431"/>
    <cellStyle name="Normal 5 2 3 2 5" xfId="303"/>
    <cellStyle name="Normal 5 2 3 3" xfId="57"/>
    <cellStyle name="Normal 5 2 3 3 2" xfId="123"/>
    <cellStyle name="Normal 5 2 3 3 2 2" xfId="253"/>
    <cellStyle name="Normal 5 2 3 3 2 2 2" xfId="511"/>
    <cellStyle name="Normal 5 2 3 3 2 3" xfId="383"/>
    <cellStyle name="Normal 5 2 3 3 3" xfId="189"/>
    <cellStyle name="Normal 5 2 3 3 3 2" xfId="447"/>
    <cellStyle name="Normal 5 2 3 3 4" xfId="319"/>
    <cellStyle name="Normal 5 2 3 4" xfId="91"/>
    <cellStyle name="Normal 5 2 3 4 2" xfId="221"/>
    <cellStyle name="Normal 5 2 3 4 2 2" xfId="479"/>
    <cellStyle name="Normal 5 2 3 4 3" xfId="351"/>
    <cellStyle name="Normal 5 2 3 5" xfId="157"/>
    <cellStyle name="Normal 5 2 3 5 2" xfId="415"/>
    <cellStyle name="Normal 5 2 3 6" xfId="287"/>
    <cellStyle name="Normal 5 2 4" xfId="31"/>
    <cellStyle name="Normal 5 2 4 2" xfId="65"/>
    <cellStyle name="Normal 5 2 4 2 2" xfId="131"/>
    <cellStyle name="Normal 5 2 4 2 2 2" xfId="261"/>
    <cellStyle name="Normal 5 2 4 2 2 2 2" xfId="519"/>
    <cellStyle name="Normal 5 2 4 2 2 3" xfId="391"/>
    <cellStyle name="Normal 5 2 4 2 3" xfId="197"/>
    <cellStyle name="Normal 5 2 4 2 3 2" xfId="455"/>
    <cellStyle name="Normal 5 2 4 2 4" xfId="327"/>
    <cellStyle name="Normal 5 2 4 3" xfId="99"/>
    <cellStyle name="Normal 5 2 4 3 2" xfId="229"/>
    <cellStyle name="Normal 5 2 4 3 2 2" xfId="487"/>
    <cellStyle name="Normal 5 2 4 3 3" xfId="359"/>
    <cellStyle name="Normal 5 2 4 4" xfId="165"/>
    <cellStyle name="Normal 5 2 4 4 2" xfId="423"/>
    <cellStyle name="Normal 5 2 4 5" xfId="295"/>
    <cellStyle name="Normal 5 2 5" xfId="49"/>
    <cellStyle name="Normal 5 2 5 2" xfId="115"/>
    <cellStyle name="Normal 5 2 5 2 2" xfId="245"/>
    <cellStyle name="Normal 5 2 5 2 2 2" xfId="503"/>
    <cellStyle name="Normal 5 2 5 2 3" xfId="375"/>
    <cellStyle name="Normal 5 2 5 3" xfId="181"/>
    <cellStyle name="Normal 5 2 5 3 2" xfId="439"/>
    <cellStyle name="Normal 5 2 5 4" xfId="311"/>
    <cellStyle name="Normal 5 2 6" xfId="83"/>
    <cellStyle name="Normal 5 2 6 2" xfId="213"/>
    <cellStyle name="Normal 5 2 6 2 2" xfId="471"/>
    <cellStyle name="Normal 5 2 6 3" xfId="343"/>
    <cellStyle name="Normal 5 2 7" xfId="149"/>
    <cellStyle name="Normal 5 2 7 2" xfId="407"/>
    <cellStyle name="Normal 5 2 8" xfId="279"/>
    <cellStyle name="Normal 5 3" xfId="13"/>
    <cellStyle name="Normal 5 3 2" xfId="23"/>
    <cellStyle name="Normal 5 3 2 2" xfId="41"/>
    <cellStyle name="Normal 5 3 2 2 2" xfId="75"/>
    <cellStyle name="Normal 5 3 2 2 2 2" xfId="141"/>
    <cellStyle name="Normal 5 3 2 2 2 2 2" xfId="271"/>
    <cellStyle name="Normal 5 3 2 2 2 2 2 2" xfId="529"/>
    <cellStyle name="Normal 5 3 2 2 2 2 3" xfId="401"/>
    <cellStyle name="Normal 5 3 2 2 2 3" xfId="207"/>
    <cellStyle name="Normal 5 3 2 2 2 3 2" xfId="465"/>
    <cellStyle name="Normal 5 3 2 2 2 4" xfId="337"/>
    <cellStyle name="Normal 5 3 2 2 3" xfId="109"/>
    <cellStyle name="Normal 5 3 2 2 3 2" xfId="239"/>
    <cellStyle name="Normal 5 3 2 2 3 2 2" xfId="497"/>
    <cellStyle name="Normal 5 3 2 2 3 3" xfId="369"/>
    <cellStyle name="Normal 5 3 2 2 4" xfId="175"/>
    <cellStyle name="Normal 5 3 2 2 4 2" xfId="433"/>
    <cellStyle name="Normal 5 3 2 2 5" xfId="305"/>
    <cellStyle name="Normal 5 3 2 3" xfId="59"/>
    <cellStyle name="Normal 5 3 2 3 2" xfId="125"/>
    <cellStyle name="Normal 5 3 2 3 2 2" xfId="255"/>
    <cellStyle name="Normal 5 3 2 3 2 2 2" xfId="513"/>
    <cellStyle name="Normal 5 3 2 3 2 3" xfId="385"/>
    <cellStyle name="Normal 5 3 2 3 3" xfId="191"/>
    <cellStyle name="Normal 5 3 2 3 3 2" xfId="449"/>
    <cellStyle name="Normal 5 3 2 3 4" xfId="321"/>
    <cellStyle name="Normal 5 3 2 4" xfId="93"/>
    <cellStyle name="Normal 5 3 2 4 2" xfId="223"/>
    <cellStyle name="Normal 5 3 2 4 2 2" xfId="481"/>
    <cellStyle name="Normal 5 3 2 4 3" xfId="353"/>
    <cellStyle name="Normal 5 3 2 5" xfId="159"/>
    <cellStyle name="Normal 5 3 2 5 2" xfId="417"/>
    <cellStyle name="Normal 5 3 2 6" xfId="289"/>
    <cellStyle name="Normal 5 3 3" xfId="33"/>
    <cellStyle name="Normal 5 3 3 2" xfId="67"/>
    <cellStyle name="Normal 5 3 3 2 2" xfId="133"/>
    <cellStyle name="Normal 5 3 3 2 2 2" xfId="263"/>
    <cellStyle name="Normal 5 3 3 2 2 2 2" xfId="521"/>
    <cellStyle name="Normal 5 3 3 2 2 3" xfId="393"/>
    <cellStyle name="Normal 5 3 3 2 3" xfId="199"/>
    <cellStyle name="Normal 5 3 3 2 3 2" xfId="457"/>
    <cellStyle name="Normal 5 3 3 2 4" xfId="329"/>
    <cellStyle name="Normal 5 3 3 3" xfId="101"/>
    <cellStyle name="Normal 5 3 3 3 2" xfId="231"/>
    <cellStyle name="Normal 5 3 3 3 2 2" xfId="489"/>
    <cellStyle name="Normal 5 3 3 3 3" xfId="361"/>
    <cellStyle name="Normal 5 3 3 4" xfId="167"/>
    <cellStyle name="Normal 5 3 3 4 2" xfId="425"/>
    <cellStyle name="Normal 5 3 3 5" xfId="297"/>
    <cellStyle name="Normal 5 3 4" xfId="51"/>
    <cellStyle name="Normal 5 3 4 2" xfId="117"/>
    <cellStyle name="Normal 5 3 4 2 2" xfId="247"/>
    <cellStyle name="Normal 5 3 4 2 2 2" xfId="505"/>
    <cellStyle name="Normal 5 3 4 2 3" xfId="377"/>
    <cellStyle name="Normal 5 3 4 3" xfId="183"/>
    <cellStyle name="Normal 5 3 4 3 2" xfId="441"/>
    <cellStyle name="Normal 5 3 4 4" xfId="313"/>
    <cellStyle name="Normal 5 3 5" xfId="85"/>
    <cellStyle name="Normal 5 3 5 2" xfId="215"/>
    <cellStyle name="Normal 5 3 5 2 2" xfId="473"/>
    <cellStyle name="Normal 5 3 5 3" xfId="345"/>
    <cellStyle name="Normal 5 3 6" xfId="151"/>
    <cellStyle name="Normal 5 3 6 2" xfId="409"/>
    <cellStyle name="Normal 5 3 7" xfId="281"/>
    <cellStyle name="Normal 5 4" xfId="19"/>
    <cellStyle name="Normal 5 4 2" xfId="37"/>
    <cellStyle name="Normal 5 4 2 2" xfId="71"/>
    <cellStyle name="Normal 5 4 2 2 2" xfId="137"/>
    <cellStyle name="Normal 5 4 2 2 2 2" xfId="267"/>
    <cellStyle name="Normal 5 4 2 2 2 2 2" xfId="525"/>
    <cellStyle name="Normal 5 4 2 2 2 3" xfId="397"/>
    <cellStyle name="Normal 5 4 2 2 3" xfId="203"/>
    <cellStyle name="Normal 5 4 2 2 3 2" xfId="461"/>
    <cellStyle name="Normal 5 4 2 2 4" xfId="333"/>
    <cellStyle name="Normal 5 4 2 3" xfId="105"/>
    <cellStyle name="Normal 5 4 2 3 2" xfId="235"/>
    <cellStyle name="Normal 5 4 2 3 2 2" xfId="493"/>
    <cellStyle name="Normal 5 4 2 3 3" xfId="365"/>
    <cellStyle name="Normal 5 4 2 4" xfId="171"/>
    <cellStyle name="Normal 5 4 2 4 2" xfId="429"/>
    <cellStyle name="Normal 5 4 2 5" xfId="301"/>
    <cellStyle name="Normal 5 4 3" xfId="55"/>
    <cellStyle name="Normal 5 4 3 2" xfId="121"/>
    <cellStyle name="Normal 5 4 3 2 2" xfId="251"/>
    <cellStyle name="Normal 5 4 3 2 2 2" xfId="509"/>
    <cellStyle name="Normal 5 4 3 2 3" xfId="381"/>
    <cellStyle name="Normal 5 4 3 3" xfId="187"/>
    <cellStyle name="Normal 5 4 3 3 2" xfId="445"/>
    <cellStyle name="Normal 5 4 3 4" xfId="317"/>
    <cellStyle name="Normal 5 4 4" xfId="89"/>
    <cellStyle name="Normal 5 4 4 2" xfId="219"/>
    <cellStyle name="Normal 5 4 4 2 2" xfId="477"/>
    <cellStyle name="Normal 5 4 4 3" xfId="349"/>
    <cellStyle name="Normal 5 4 5" xfId="155"/>
    <cellStyle name="Normal 5 4 5 2" xfId="413"/>
    <cellStyle name="Normal 5 4 6" xfId="285"/>
    <cellStyle name="Normal 5 5" xfId="29"/>
    <cellStyle name="Normal 5 5 2" xfId="63"/>
    <cellStyle name="Normal 5 5 2 2" xfId="129"/>
    <cellStyle name="Normal 5 5 2 2 2" xfId="259"/>
    <cellStyle name="Normal 5 5 2 2 2 2" xfId="517"/>
    <cellStyle name="Normal 5 5 2 2 3" xfId="389"/>
    <cellStyle name="Normal 5 5 2 3" xfId="195"/>
    <cellStyle name="Normal 5 5 2 3 2" xfId="453"/>
    <cellStyle name="Normal 5 5 2 4" xfId="325"/>
    <cellStyle name="Normal 5 5 3" xfId="97"/>
    <cellStyle name="Normal 5 5 3 2" xfId="227"/>
    <cellStyle name="Normal 5 5 3 2 2" xfId="485"/>
    <cellStyle name="Normal 5 5 3 3" xfId="357"/>
    <cellStyle name="Normal 5 5 4" xfId="163"/>
    <cellStyle name="Normal 5 5 4 2" xfId="421"/>
    <cellStyle name="Normal 5 5 5" xfId="293"/>
    <cellStyle name="Normal 5 6" xfId="47"/>
    <cellStyle name="Normal 5 6 2" xfId="113"/>
    <cellStyle name="Normal 5 6 2 2" xfId="243"/>
    <cellStyle name="Normal 5 6 2 2 2" xfId="501"/>
    <cellStyle name="Normal 5 6 2 3" xfId="373"/>
    <cellStyle name="Normal 5 6 3" xfId="179"/>
    <cellStyle name="Normal 5 6 3 2" xfId="437"/>
    <cellStyle name="Normal 5 6 4" xfId="309"/>
    <cellStyle name="Normal 5 7" xfId="81"/>
    <cellStyle name="Normal 5 7 2" xfId="211"/>
    <cellStyle name="Normal 5 7 2 2" xfId="469"/>
    <cellStyle name="Normal 5 7 3" xfId="341"/>
    <cellStyle name="Normal 5 8" xfId="147"/>
    <cellStyle name="Normal 5 8 2" xfId="405"/>
    <cellStyle name="Normal 5 9" xfId="277"/>
    <cellStyle name="Normal 6" xfId="11"/>
    <cellStyle name="Normal 7" xfId="10"/>
    <cellStyle name="Normal 7 2" xfId="22"/>
    <cellStyle name="Normal 7 2 2" xfId="40"/>
    <cellStyle name="Normal 7 2 2 2" xfId="74"/>
    <cellStyle name="Normal 7 2 2 2 2" xfId="140"/>
    <cellStyle name="Normal 7 2 2 2 2 2" xfId="270"/>
    <cellStyle name="Normal 7 2 2 2 2 2 2" xfId="528"/>
    <cellStyle name="Normal 7 2 2 2 2 3" xfId="400"/>
    <cellStyle name="Normal 7 2 2 2 3" xfId="206"/>
    <cellStyle name="Normal 7 2 2 2 3 2" xfId="464"/>
    <cellStyle name="Normal 7 2 2 2 4" xfId="336"/>
    <cellStyle name="Normal 7 2 2 3" xfId="108"/>
    <cellStyle name="Normal 7 2 2 3 2" xfId="238"/>
    <cellStyle name="Normal 7 2 2 3 2 2" xfId="496"/>
    <cellStyle name="Normal 7 2 2 3 3" xfId="368"/>
    <cellStyle name="Normal 7 2 2 4" xfId="174"/>
    <cellStyle name="Normal 7 2 2 4 2" xfId="432"/>
    <cellStyle name="Normal 7 2 2 5" xfId="304"/>
    <cellStyle name="Normal 7 2 3" xfId="58"/>
    <cellStyle name="Normal 7 2 3 2" xfId="124"/>
    <cellStyle name="Normal 7 2 3 2 2" xfId="254"/>
    <cellStyle name="Normal 7 2 3 2 2 2" xfId="512"/>
    <cellStyle name="Normal 7 2 3 2 3" xfId="384"/>
    <cellStyle name="Normal 7 2 3 3" xfId="190"/>
    <cellStyle name="Normal 7 2 3 3 2" xfId="448"/>
    <cellStyle name="Normal 7 2 3 4" xfId="320"/>
    <cellStyle name="Normal 7 2 4" xfId="92"/>
    <cellStyle name="Normal 7 2 4 2" xfId="222"/>
    <cellStyle name="Normal 7 2 4 2 2" xfId="480"/>
    <cellStyle name="Normal 7 2 4 3" xfId="352"/>
    <cellStyle name="Normal 7 2 5" xfId="158"/>
    <cellStyle name="Normal 7 2 5 2" xfId="416"/>
    <cellStyle name="Normal 7 2 6" xfId="288"/>
    <cellStyle name="Normal 7 3" xfId="32"/>
    <cellStyle name="Normal 7 3 2" xfId="66"/>
    <cellStyle name="Normal 7 3 2 2" xfId="132"/>
    <cellStyle name="Normal 7 3 2 2 2" xfId="262"/>
    <cellStyle name="Normal 7 3 2 2 2 2" xfId="520"/>
    <cellStyle name="Normal 7 3 2 2 3" xfId="392"/>
    <cellStyle name="Normal 7 3 2 3" xfId="198"/>
    <cellStyle name="Normal 7 3 2 3 2" xfId="456"/>
    <cellStyle name="Normal 7 3 2 4" xfId="328"/>
    <cellStyle name="Normal 7 3 3" xfId="100"/>
    <cellStyle name="Normal 7 3 3 2" xfId="230"/>
    <cellStyle name="Normal 7 3 3 2 2" xfId="488"/>
    <cellStyle name="Normal 7 3 3 3" xfId="360"/>
    <cellStyle name="Normal 7 3 4" xfId="166"/>
    <cellStyle name="Normal 7 3 4 2" xfId="424"/>
    <cellStyle name="Normal 7 3 5" xfId="296"/>
    <cellStyle name="Normal 7 4" xfId="50"/>
    <cellStyle name="Normal 7 4 2" xfId="116"/>
    <cellStyle name="Normal 7 4 2 2" xfId="246"/>
    <cellStyle name="Normal 7 4 2 2 2" xfId="504"/>
    <cellStyle name="Normal 7 4 2 3" xfId="376"/>
    <cellStyle name="Normal 7 4 3" xfId="182"/>
    <cellStyle name="Normal 7 4 3 2" xfId="440"/>
    <cellStyle name="Normal 7 4 4" xfId="312"/>
    <cellStyle name="Normal 7 5" xfId="84"/>
    <cellStyle name="Normal 7 5 2" xfId="214"/>
    <cellStyle name="Normal 7 5 2 2" xfId="472"/>
    <cellStyle name="Normal 7 5 3" xfId="344"/>
    <cellStyle name="Normal 7 6" xfId="150"/>
    <cellStyle name="Normal 7 6 2" xfId="408"/>
    <cellStyle name="Normal 7 7" xfId="280"/>
    <cellStyle name="Normal 8" xfId="17"/>
    <cellStyle name="Normal 9" xfId="16"/>
    <cellStyle name="Normal 9 2" xfId="36"/>
    <cellStyle name="Normal 9 2 2" xfId="70"/>
    <cellStyle name="Normal 9 2 2 2" xfId="136"/>
    <cellStyle name="Normal 9 2 2 2 2" xfId="266"/>
    <cellStyle name="Normal 9 2 2 2 2 2" xfId="524"/>
    <cellStyle name="Normal 9 2 2 2 3" xfId="396"/>
    <cellStyle name="Normal 9 2 2 3" xfId="202"/>
    <cellStyle name="Normal 9 2 2 3 2" xfId="460"/>
    <cellStyle name="Normal 9 2 2 4" xfId="332"/>
    <cellStyle name="Normal 9 2 3" xfId="104"/>
    <cellStyle name="Normal 9 2 3 2" xfId="234"/>
    <cellStyle name="Normal 9 2 3 2 2" xfId="492"/>
    <cellStyle name="Normal 9 2 3 3" xfId="364"/>
    <cellStyle name="Normal 9 2 4" xfId="170"/>
    <cellStyle name="Normal 9 2 4 2" xfId="428"/>
    <cellStyle name="Normal 9 2 5" xfId="300"/>
    <cellStyle name="Normal 9 3" xfId="54"/>
    <cellStyle name="Normal 9 3 2" xfId="120"/>
    <cellStyle name="Normal 9 3 2 2" xfId="250"/>
    <cellStyle name="Normal 9 3 2 2 2" xfId="508"/>
    <cellStyle name="Normal 9 3 2 3" xfId="380"/>
    <cellStyle name="Normal 9 3 3" xfId="186"/>
    <cellStyle name="Normal 9 3 3 2" xfId="444"/>
    <cellStyle name="Normal 9 3 4" xfId="316"/>
    <cellStyle name="Normal 9 4" xfId="88"/>
    <cellStyle name="Normal 9 4 2" xfId="218"/>
    <cellStyle name="Normal 9 4 2 2" xfId="476"/>
    <cellStyle name="Normal 9 4 3" xfId="348"/>
    <cellStyle name="Normal 9 5" xfId="154"/>
    <cellStyle name="Normal 9 5 2" xfId="412"/>
    <cellStyle name="Normal 9 6" xfId="284"/>
  </cellStyles>
  <dxfs count="4156"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 patternType="solid">
          <bgColor rgb="FFFEF7CA"/>
        </patternFill>
      </fill>
    </dxf>
    <dxf>
      <font>
        <color rgb="FF006100"/>
      </font>
      <fill>
        <patternFill patternType="solid">
          <bgColor rgb="FFC6EFCE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ill>
        <patternFill>
          <bgColor theme="6" tint="0.59996337778862885"/>
        </patternFill>
      </fill>
    </dxf>
    <dxf>
      <fill>
        <patternFill>
          <bgColor rgb="FF66FFCC"/>
        </patternFill>
      </fill>
    </dxf>
    <dxf>
      <fill>
        <patternFill>
          <bgColor rgb="FFFF89B0"/>
        </patternFill>
      </fill>
    </dxf>
    <dxf>
      <fill>
        <patternFill>
          <bgColor rgb="FFFFFF4F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b/>
        <i/>
        <color theme="8" tint="-0.499984740745262"/>
      </font>
      <fill>
        <patternFill>
          <bgColor rgb="FFFBFAE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9C6500"/>
        <name val="Arial"/>
        <scheme val="none"/>
      </font>
      <fill>
        <patternFill patternType="solid">
          <fgColor indexed="64"/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6100"/>
        <name val="Arial"/>
        <scheme val="none"/>
      </font>
      <fill>
        <patternFill patternType="solid">
          <fgColor indexed="64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9C6500"/>
        <name val="Arial"/>
        <scheme val="none"/>
      </font>
      <fill>
        <patternFill patternType="solid">
          <fgColor indexed="64"/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9C6500"/>
        <name val="Arial"/>
        <scheme val="none"/>
      </font>
      <fill>
        <patternFill patternType="solid">
          <fgColor indexed="64"/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6100"/>
        <name val="Arial"/>
        <scheme val="none"/>
      </font>
      <fill>
        <patternFill patternType="solid">
          <fgColor indexed="64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9C6500"/>
        <name val="Arial"/>
        <scheme val="none"/>
      </font>
      <fill>
        <patternFill patternType="solid">
          <fgColor indexed="64"/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9C6500"/>
        <name val="Arial"/>
        <scheme val="none"/>
      </font>
      <fill>
        <patternFill patternType="solid">
          <fgColor indexed="64"/>
          <bgColor rgb="FFFFEB9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6100"/>
        <name val="Arial"/>
        <scheme val="none"/>
      </font>
      <fill>
        <patternFill patternType="solid">
          <fgColor indexed="64"/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9C6500"/>
        <name val="Arial"/>
        <scheme val="none"/>
      </font>
      <fill>
        <patternFill patternType="solid">
          <fgColor indexed="64"/>
          <bgColor rgb="FFFFEB9C"/>
        </patternFill>
      </fill>
    </dxf>
  </dxfs>
  <tableStyles count="0" defaultTableStyle="TableStyleMedium2" defaultPivotStyle="PivotStyleLight16"/>
  <colors>
    <mruColors>
      <color rgb="FFD8F5FC"/>
      <color rgb="FFBDFFDB"/>
      <color rgb="FFFBFAE5"/>
      <color rgb="FFFEF6F0"/>
      <color rgb="FFFDECE3"/>
      <color rgb="FF0097CC"/>
      <color rgb="FFF9F8D4"/>
      <color rgb="FFFFFFCC"/>
      <color rgb="FFEEF9D1"/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8103965829561139E-2"/>
          <c:y val="6.9861111111111124E-2"/>
          <c:w val="0.94536091016390222"/>
          <c:h val="0.790159186076583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E9E1-41AD-9ED4-E94FDD657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41989696"/>
        <c:axId val="1147870880"/>
      </c:barChart>
      <c:catAx>
        <c:axId val="10419896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7870880"/>
        <c:crosses val="autoZero"/>
        <c:auto val="1"/>
        <c:lblAlgn val="ctr"/>
        <c:lblOffset val="100"/>
        <c:noMultiLvlLbl val="0"/>
      </c:catAx>
      <c:valAx>
        <c:axId val="11478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1989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747965879265093"/>
          <c:y val="0.19027777777777777"/>
          <c:w val="0.78411307961504817"/>
          <c:h val="0.6481641878098570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'PT VÙNG MIỀN'!$D$6</c:f>
              <c:strCache>
                <c:ptCount val="1"/>
                <c:pt idx="0">
                  <c:v>Sản lượng vùng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'PT VÙNG MIỀN'!$B$7:$C$25</c:f>
              <c:multiLvlStrCache>
                <c:ptCount val="17"/>
                <c:lvl>
                  <c:pt idx="1">
                    <c:v>Kg</c:v>
                  </c:pt>
                  <c:pt idx="2">
                    <c:v>Kg</c:v>
                  </c:pt>
                  <c:pt idx="3">
                    <c:v>Kg</c:v>
                  </c:pt>
                  <c:pt idx="4">
                    <c:v>Kg</c:v>
                  </c:pt>
                  <c:pt idx="5">
                    <c:v>Kg</c:v>
                  </c:pt>
                  <c:pt idx="6">
                    <c:v>Kg</c:v>
                  </c:pt>
                  <c:pt idx="7">
                    <c:v>Kg</c:v>
                  </c:pt>
                  <c:pt idx="8">
                    <c:v>Kg</c:v>
                  </c:pt>
                  <c:pt idx="9">
                    <c:v>Kg</c:v>
                  </c:pt>
                  <c:pt idx="10">
                    <c:v>Kg</c:v>
                  </c:pt>
                  <c:pt idx="11">
                    <c:v>Kg</c:v>
                  </c:pt>
                  <c:pt idx="12">
                    <c:v>Kg</c:v>
                  </c:pt>
                  <c:pt idx="13">
                    <c:v>Kg</c:v>
                  </c:pt>
                  <c:pt idx="14">
                    <c:v>Kg</c:v>
                  </c:pt>
                  <c:pt idx="15">
                    <c:v>Kg</c:v>
                  </c:pt>
                  <c:pt idx="16">
                    <c:v>Kg</c:v>
                  </c:pt>
                </c:lvl>
                <c:lvl>
                  <c:pt idx="0">
                    <c:v>Tổng</c:v>
                  </c:pt>
                  <c:pt idx="1">
                    <c:v>A1</c:v>
                  </c:pt>
                  <c:pt idx="2">
                    <c:v>A2</c:v>
                  </c:pt>
                  <c:pt idx="3">
                    <c:v>A3</c:v>
                  </c:pt>
                  <c:pt idx="4">
                    <c:v>A4</c:v>
                  </c:pt>
                  <c:pt idx="5">
                    <c:v>A5</c:v>
                  </c:pt>
                  <c:pt idx="6">
                    <c:v>A6</c:v>
                  </c:pt>
                  <c:pt idx="7">
                    <c:v>A7</c:v>
                  </c:pt>
                  <c:pt idx="8">
                    <c:v>A8</c:v>
                  </c:pt>
                  <c:pt idx="9">
                    <c:v>A9</c:v>
                  </c:pt>
                  <c:pt idx="10">
                    <c:v>A10</c:v>
                  </c:pt>
                  <c:pt idx="11">
                    <c:v>A11</c:v>
                  </c:pt>
                  <c:pt idx="12">
                    <c:v>A12</c:v>
                  </c:pt>
                  <c:pt idx="13">
                    <c:v>A13</c:v>
                  </c:pt>
                  <c:pt idx="14">
                    <c:v>A14</c:v>
                  </c:pt>
                  <c:pt idx="15">
                    <c:v>A15</c:v>
                  </c:pt>
                  <c:pt idx="16">
                    <c:v>A16</c:v>
                  </c:pt>
                </c:lvl>
              </c:multiLvlStrCache>
            </c:multiLvlStrRef>
          </c:cat>
          <c:val>
            <c:numRef>
              <c:f>'PT VÙNG MIỀN'!$D$7:$D$25</c:f>
              <c:numCache>
                <c:formatCode>_ * #,##0.00_ ;_ * \-#,##0.00_ ;_ * "-"??_ ;_ @_ </c:formatCode>
                <c:ptCount val="19"/>
                <c:pt idx="0">
                  <c:v>2090000</c:v>
                </c:pt>
                <c:pt idx="1">
                  <c:v>100000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20000</c:v>
                </c:pt>
                <c:pt idx="7">
                  <c:v>30000</c:v>
                </c:pt>
                <c:pt idx="8">
                  <c:v>40000</c:v>
                </c:pt>
                <c:pt idx="9">
                  <c:v>50000</c:v>
                </c:pt>
                <c:pt idx="10">
                  <c:v>60000</c:v>
                </c:pt>
                <c:pt idx="11">
                  <c:v>70000</c:v>
                </c:pt>
                <c:pt idx="12">
                  <c:v>80000</c:v>
                </c:pt>
                <c:pt idx="13">
                  <c:v>90000</c:v>
                </c:pt>
                <c:pt idx="14">
                  <c:v>100000</c:v>
                </c:pt>
                <c:pt idx="15">
                  <c:v>30000</c:v>
                </c:pt>
                <c:pt idx="16">
                  <c:v>20000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29-401C-BA55-ED500EC15A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42603936"/>
        <c:axId val="1042604480"/>
      </c:barChart>
      <c:catAx>
        <c:axId val="10426039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2604480"/>
        <c:crosses val="autoZero"/>
        <c:auto val="1"/>
        <c:lblAlgn val="ctr"/>
        <c:lblOffset val="100"/>
        <c:noMultiLvlLbl val="0"/>
      </c:catAx>
      <c:valAx>
        <c:axId val="10426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* #,##0.00_ ;_ * \-#,##0.0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2603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'PT VÙNG MIỀN'!$E$6</c:f>
              <c:strCache>
                <c:ptCount val="1"/>
                <c:pt idx="0">
                  <c:v>Tỷ lệ % trong tháng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'PT VÙNG MIỀN'!$B$7:$C$25</c:f>
              <c:multiLvlStrCache>
                <c:ptCount val="17"/>
                <c:lvl>
                  <c:pt idx="1">
                    <c:v>Kg</c:v>
                  </c:pt>
                  <c:pt idx="2">
                    <c:v>Kg</c:v>
                  </c:pt>
                  <c:pt idx="3">
                    <c:v>Kg</c:v>
                  </c:pt>
                  <c:pt idx="4">
                    <c:v>Kg</c:v>
                  </c:pt>
                  <c:pt idx="5">
                    <c:v>Kg</c:v>
                  </c:pt>
                  <c:pt idx="6">
                    <c:v>Kg</c:v>
                  </c:pt>
                  <c:pt idx="7">
                    <c:v>Kg</c:v>
                  </c:pt>
                  <c:pt idx="8">
                    <c:v>Kg</c:v>
                  </c:pt>
                  <c:pt idx="9">
                    <c:v>Kg</c:v>
                  </c:pt>
                  <c:pt idx="10">
                    <c:v>Kg</c:v>
                  </c:pt>
                  <c:pt idx="11">
                    <c:v>Kg</c:v>
                  </c:pt>
                  <c:pt idx="12">
                    <c:v>Kg</c:v>
                  </c:pt>
                  <c:pt idx="13">
                    <c:v>Kg</c:v>
                  </c:pt>
                  <c:pt idx="14">
                    <c:v>Kg</c:v>
                  </c:pt>
                  <c:pt idx="15">
                    <c:v>Kg</c:v>
                  </c:pt>
                  <c:pt idx="16">
                    <c:v>Kg</c:v>
                  </c:pt>
                </c:lvl>
                <c:lvl>
                  <c:pt idx="0">
                    <c:v>Tổng</c:v>
                  </c:pt>
                  <c:pt idx="1">
                    <c:v>A1</c:v>
                  </c:pt>
                  <c:pt idx="2">
                    <c:v>A2</c:v>
                  </c:pt>
                  <c:pt idx="3">
                    <c:v>A3</c:v>
                  </c:pt>
                  <c:pt idx="4">
                    <c:v>A4</c:v>
                  </c:pt>
                  <c:pt idx="5">
                    <c:v>A5</c:v>
                  </c:pt>
                  <c:pt idx="6">
                    <c:v>A6</c:v>
                  </c:pt>
                  <c:pt idx="7">
                    <c:v>A7</c:v>
                  </c:pt>
                  <c:pt idx="8">
                    <c:v>A8</c:v>
                  </c:pt>
                  <c:pt idx="9">
                    <c:v>A9</c:v>
                  </c:pt>
                  <c:pt idx="10">
                    <c:v>A10</c:v>
                  </c:pt>
                  <c:pt idx="11">
                    <c:v>A11</c:v>
                  </c:pt>
                  <c:pt idx="12">
                    <c:v>A12</c:v>
                  </c:pt>
                  <c:pt idx="13">
                    <c:v>A13</c:v>
                  </c:pt>
                  <c:pt idx="14">
                    <c:v>A14</c:v>
                  </c:pt>
                  <c:pt idx="15">
                    <c:v>A15</c:v>
                  </c:pt>
                  <c:pt idx="16">
                    <c:v>A16</c:v>
                  </c:pt>
                </c:lvl>
              </c:multiLvlStrCache>
            </c:multiLvlStrRef>
          </c:cat>
          <c:val>
            <c:numRef>
              <c:f>'PT VÙNG MIỀN'!$E$7:$E$25</c:f>
              <c:numCache>
                <c:formatCode>0.00</c:formatCode>
                <c:ptCount val="19"/>
                <c:pt idx="0" formatCode="_ * #,##0.00_ ;_ * \-#,##0.00_ ;_ * &quot;-&quot;??_ ;_ @_ ">
                  <c:v>99.999999999999957</c:v>
                </c:pt>
                <c:pt idx="1">
                  <c:v>4.7846889952153111</c:v>
                </c:pt>
                <c:pt idx="2">
                  <c:v>9.5693779904306222</c:v>
                </c:pt>
                <c:pt idx="3">
                  <c:v>14.354066985645932</c:v>
                </c:pt>
                <c:pt idx="4">
                  <c:v>19.138755980861244</c:v>
                </c:pt>
                <c:pt idx="5">
                  <c:v>23.923444976076556</c:v>
                </c:pt>
                <c:pt idx="6">
                  <c:v>0.9569377990430622</c:v>
                </c:pt>
                <c:pt idx="7">
                  <c:v>1.4354066985645932</c:v>
                </c:pt>
                <c:pt idx="8">
                  <c:v>1.9138755980861244</c:v>
                </c:pt>
                <c:pt idx="9">
                  <c:v>2.3923444976076556</c:v>
                </c:pt>
                <c:pt idx="10">
                  <c:v>2.8708133971291865</c:v>
                </c:pt>
                <c:pt idx="11">
                  <c:v>3.3492822966507179</c:v>
                </c:pt>
                <c:pt idx="12">
                  <c:v>3.8277511961722488</c:v>
                </c:pt>
                <c:pt idx="13">
                  <c:v>4.3062200956937797</c:v>
                </c:pt>
                <c:pt idx="14">
                  <c:v>4.7846889952153111</c:v>
                </c:pt>
                <c:pt idx="15">
                  <c:v>1.4354066985645932</c:v>
                </c:pt>
                <c:pt idx="16">
                  <c:v>0.9569377990430622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B5-42F2-8396-E206FDBF31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42606112"/>
        <c:axId val="1042605568"/>
      </c:barChart>
      <c:catAx>
        <c:axId val="1042606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2605568"/>
        <c:crosses val="autoZero"/>
        <c:auto val="1"/>
        <c:lblAlgn val="ctr"/>
        <c:lblOffset val="100"/>
        <c:noMultiLvlLbl val="0"/>
      </c:catAx>
      <c:valAx>
        <c:axId val="1042605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* #,##0.00_ ;_ * \-#,##0.0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2606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747965879265093"/>
          <c:y val="0.19027777777777777"/>
          <c:w val="0.78411307961504817"/>
          <c:h val="0.6481641878098570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'PT CƠ CẤU GIÁ'!$I$6</c:f>
              <c:strCache>
                <c:ptCount val="1"/>
                <c:pt idx="0">
                  <c:v>Tổng doanh thu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'PT CƠ CẤU GIÁ'!$G$7:$H$25</c:f>
              <c:multiLvlStrCache>
                <c:ptCount val="19"/>
                <c:lvl>
                  <c:pt idx="1">
                    <c:v>USD</c:v>
                  </c:pt>
                  <c:pt idx="2">
                    <c:v>USD</c:v>
                  </c:pt>
                  <c:pt idx="3">
                    <c:v>USD</c:v>
                  </c:pt>
                  <c:pt idx="4">
                    <c:v>USD</c:v>
                  </c:pt>
                  <c:pt idx="5">
                    <c:v>USD</c:v>
                  </c:pt>
                  <c:pt idx="6">
                    <c:v>USD</c:v>
                  </c:pt>
                  <c:pt idx="7">
                    <c:v>USD</c:v>
                  </c:pt>
                  <c:pt idx="8">
                    <c:v>USD</c:v>
                  </c:pt>
                  <c:pt idx="9">
                    <c:v>USD</c:v>
                  </c:pt>
                  <c:pt idx="10">
                    <c:v>USD</c:v>
                  </c:pt>
                  <c:pt idx="11">
                    <c:v>USD</c:v>
                  </c:pt>
                  <c:pt idx="12">
                    <c:v>USD</c:v>
                  </c:pt>
                  <c:pt idx="13">
                    <c:v>USD</c:v>
                  </c:pt>
                  <c:pt idx="14">
                    <c:v>USD</c:v>
                  </c:pt>
                  <c:pt idx="15">
                    <c:v>USD</c:v>
                  </c:pt>
                  <c:pt idx="16">
                    <c:v>USD</c:v>
                  </c:pt>
                  <c:pt idx="17">
                    <c:v>USD</c:v>
                  </c:pt>
                  <c:pt idx="18">
                    <c:v>USD</c:v>
                  </c:pt>
                </c:lvl>
                <c:lvl>
                  <c:pt idx="0">
                    <c:v>Tổng</c:v>
                  </c:pt>
                  <c:pt idx="1">
                    <c:v>G1</c:v>
                  </c:pt>
                  <c:pt idx="2">
                    <c:v>G2</c:v>
                  </c:pt>
                  <c:pt idx="3">
                    <c:v>G3</c:v>
                  </c:pt>
                  <c:pt idx="4">
                    <c:v>G4</c:v>
                  </c:pt>
                  <c:pt idx="5">
                    <c:v>G5</c:v>
                  </c:pt>
                  <c:pt idx="6">
                    <c:v>G6</c:v>
                  </c:pt>
                  <c:pt idx="7">
                    <c:v>G7</c:v>
                  </c:pt>
                  <c:pt idx="8">
                    <c:v>G8</c:v>
                  </c:pt>
                  <c:pt idx="9">
                    <c:v>G9</c:v>
                  </c:pt>
                  <c:pt idx="10">
                    <c:v>G10</c:v>
                  </c:pt>
                  <c:pt idx="11">
                    <c:v>G11</c:v>
                  </c:pt>
                  <c:pt idx="12">
                    <c:v>G12</c:v>
                  </c:pt>
                  <c:pt idx="13">
                    <c:v>G13</c:v>
                  </c:pt>
                  <c:pt idx="14">
                    <c:v>G14</c:v>
                  </c:pt>
                  <c:pt idx="15">
                    <c:v>G15</c:v>
                  </c:pt>
                  <c:pt idx="16">
                    <c:v>G16</c:v>
                  </c:pt>
                  <c:pt idx="17">
                    <c:v>G17</c:v>
                  </c:pt>
                  <c:pt idx="18">
                    <c:v>G18</c:v>
                  </c:pt>
                </c:lvl>
              </c:multiLvlStrCache>
            </c:multiLvlStrRef>
          </c:cat>
          <c:val>
            <c:numRef>
              <c:f>'PT CƠ CẤU GIÁ'!$I$7:$I$25</c:f>
              <c:numCache>
                <c:formatCode>_ * #,##0.00_ ;_ * \-#,##0.00_ ;_ * "-"??_ ;_ @_ </c:formatCode>
                <c:ptCount val="19"/>
                <c:pt idx="0">
                  <c:v>2525000</c:v>
                </c:pt>
                <c:pt idx="1">
                  <c:v>500000</c:v>
                </c:pt>
                <c:pt idx="2">
                  <c:v>200000</c:v>
                </c:pt>
                <c:pt idx="3">
                  <c:v>300000</c:v>
                </c:pt>
                <c:pt idx="4">
                  <c:v>400000</c:v>
                </c:pt>
                <c:pt idx="5">
                  <c:v>500000</c:v>
                </c:pt>
                <c:pt idx="6">
                  <c:v>20000</c:v>
                </c:pt>
                <c:pt idx="7">
                  <c:v>30000</c:v>
                </c:pt>
                <c:pt idx="8">
                  <c:v>40000</c:v>
                </c:pt>
                <c:pt idx="9">
                  <c:v>50000</c:v>
                </c:pt>
                <c:pt idx="10">
                  <c:v>60000</c:v>
                </c:pt>
                <c:pt idx="11">
                  <c:v>70000</c:v>
                </c:pt>
                <c:pt idx="12">
                  <c:v>80000</c:v>
                </c:pt>
                <c:pt idx="13">
                  <c:v>90000</c:v>
                </c:pt>
                <c:pt idx="14">
                  <c:v>100000</c:v>
                </c:pt>
                <c:pt idx="15">
                  <c:v>30000</c:v>
                </c:pt>
                <c:pt idx="16">
                  <c:v>20000</c:v>
                </c:pt>
                <c:pt idx="17">
                  <c:v>20000</c:v>
                </c:pt>
                <c:pt idx="18">
                  <c:v>15000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CC-4034-BA3F-4522B598F6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42607200"/>
        <c:axId val="1042603392"/>
      </c:barChart>
      <c:catAx>
        <c:axId val="10426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2603392"/>
        <c:crosses val="autoZero"/>
        <c:auto val="1"/>
        <c:lblAlgn val="ctr"/>
        <c:lblOffset val="100"/>
        <c:noMultiLvlLbl val="0"/>
      </c:catAx>
      <c:valAx>
        <c:axId val="104260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* #,##0.00_ ;_ * \-#,##0.0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26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'PT CƠ CẤU GIÁ'!$J$6</c:f>
              <c:strCache>
                <c:ptCount val="1"/>
                <c:pt idx="0">
                  <c:v>Tỷ lệ % trong tháng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'PT CƠ CẤU GIÁ'!$G$7:$H$25</c:f>
              <c:multiLvlStrCache>
                <c:ptCount val="19"/>
                <c:lvl>
                  <c:pt idx="1">
                    <c:v>USD</c:v>
                  </c:pt>
                  <c:pt idx="2">
                    <c:v>USD</c:v>
                  </c:pt>
                  <c:pt idx="3">
                    <c:v>USD</c:v>
                  </c:pt>
                  <c:pt idx="4">
                    <c:v>USD</c:v>
                  </c:pt>
                  <c:pt idx="5">
                    <c:v>USD</c:v>
                  </c:pt>
                  <c:pt idx="6">
                    <c:v>USD</c:v>
                  </c:pt>
                  <c:pt idx="7">
                    <c:v>USD</c:v>
                  </c:pt>
                  <c:pt idx="8">
                    <c:v>USD</c:v>
                  </c:pt>
                  <c:pt idx="9">
                    <c:v>USD</c:v>
                  </c:pt>
                  <c:pt idx="10">
                    <c:v>USD</c:v>
                  </c:pt>
                  <c:pt idx="11">
                    <c:v>USD</c:v>
                  </c:pt>
                  <c:pt idx="12">
                    <c:v>USD</c:v>
                  </c:pt>
                  <c:pt idx="13">
                    <c:v>USD</c:v>
                  </c:pt>
                  <c:pt idx="14">
                    <c:v>USD</c:v>
                  </c:pt>
                  <c:pt idx="15">
                    <c:v>USD</c:v>
                  </c:pt>
                  <c:pt idx="16">
                    <c:v>USD</c:v>
                  </c:pt>
                  <c:pt idx="17">
                    <c:v>USD</c:v>
                  </c:pt>
                  <c:pt idx="18">
                    <c:v>USD</c:v>
                  </c:pt>
                </c:lvl>
                <c:lvl>
                  <c:pt idx="0">
                    <c:v>Tổng</c:v>
                  </c:pt>
                  <c:pt idx="1">
                    <c:v>G1</c:v>
                  </c:pt>
                  <c:pt idx="2">
                    <c:v>G2</c:v>
                  </c:pt>
                  <c:pt idx="3">
                    <c:v>G3</c:v>
                  </c:pt>
                  <c:pt idx="4">
                    <c:v>G4</c:v>
                  </c:pt>
                  <c:pt idx="5">
                    <c:v>G5</c:v>
                  </c:pt>
                  <c:pt idx="6">
                    <c:v>G6</c:v>
                  </c:pt>
                  <c:pt idx="7">
                    <c:v>G7</c:v>
                  </c:pt>
                  <c:pt idx="8">
                    <c:v>G8</c:v>
                  </c:pt>
                  <c:pt idx="9">
                    <c:v>G9</c:v>
                  </c:pt>
                  <c:pt idx="10">
                    <c:v>G10</c:v>
                  </c:pt>
                  <c:pt idx="11">
                    <c:v>G11</c:v>
                  </c:pt>
                  <c:pt idx="12">
                    <c:v>G12</c:v>
                  </c:pt>
                  <c:pt idx="13">
                    <c:v>G13</c:v>
                  </c:pt>
                  <c:pt idx="14">
                    <c:v>G14</c:v>
                  </c:pt>
                  <c:pt idx="15">
                    <c:v>G15</c:v>
                  </c:pt>
                  <c:pt idx="16">
                    <c:v>G16</c:v>
                  </c:pt>
                  <c:pt idx="17">
                    <c:v>G17</c:v>
                  </c:pt>
                  <c:pt idx="18">
                    <c:v>G18</c:v>
                  </c:pt>
                </c:lvl>
              </c:multiLvlStrCache>
            </c:multiLvlStrRef>
          </c:cat>
          <c:val>
            <c:numRef>
              <c:f>'PT CƠ CẤU GIÁ'!$J$7:$J$25</c:f>
              <c:numCache>
                <c:formatCode>0.00</c:formatCode>
                <c:ptCount val="19"/>
                <c:pt idx="0" formatCode="_ * #,##0.00_ ;_ * \-#,##0.00_ ;_ * &quot;-&quot;??_ ;_ @_ ">
                  <c:v>99.999999999999986</c:v>
                </c:pt>
                <c:pt idx="1">
                  <c:v>19.801980198019802</c:v>
                </c:pt>
                <c:pt idx="2">
                  <c:v>7.9207920792079207</c:v>
                </c:pt>
                <c:pt idx="3">
                  <c:v>11.881188118811881</c:v>
                </c:pt>
                <c:pt idx="4">
                  <c:v>15.841584158415841</c:v>
                </c:pt>
                <c:pt idx="5">
                  <c:v>19.801980198019802</c:v>
                </c:pt>
                <c:pt idx="6">
                  <c:v>0.79207920792079212</c:v>
                </c:pt>
                <c:pt idx="7">
                  <c:v>1.1881188118811881</c:v>
                </c:pt>
                <c:pt idx="8">
                  <c:v>1.5841584158415842</c:v>
                </c:pt>
                <c:pt idx="9">
                  <c:v>1.9801980198019802</c:v>
                </c:pt>
                <c:pt idx="10">
                  <c:v>2.3762376237623761</c:v>
                </c:pt>
                <c:pt idx="11">
                  <c:v>2.7722772277227725</c:v>
                </c:pt>
                <c:pt idx="12">
                  <c:v>3.1683168316831685</c:v>
                </c:pt>
                <c:pt idx="13">
                  <c:v>3.564356435643564</c:v>
                </c:pt>
                <c:pt idx="14">
                  <c:v>3.9603960396039604</c:v>
                </c:pt>
                <c:pt idx="15">
                  <c:v>1.1881188118811881</c:v>
                </c:pt>
                <c:pt idx="16">
                  <c:v>0.79207920792079212</c:v>
                </c:pt>
                <c:pt idx="17">
                  <c:v>0.79207920792079212</c:v>
                </c:pt>
                <c:pt idx="18">
                  <c:v>0.59405940594059403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81-4808-A6C6-3EB6E3DD4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49888496"/>
        <c:axId val="949885776"/>
      </c:barChart>
      <c:catAx>
        <c:axId val="949888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9885776"/>
        <c:crosses val="autoZero"/>
        <c:auto val="1"/>
        <c:lblAlgn val="ctr"/>
        <c:lblOffset val="100"/>
        <c:noMultiLvlLbl val="0"/>
      </c:catAx>
      <c:valAx>
        <c:axId val="949885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 * #,##0.00_ ;_ * \-#,##0.00_ ;_ * &quot;-&quot;??_ ;_ @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9888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91440</xdr:colOff>
      <xdr:row>3</xdr:row>
      <xdr:rowOff>167639</xdr:rowOff>
    </xdr:from>
    <xdr:to>
      <xdr:col>19</xdr:col>
      <xdr:colOff>228600</xdr:colOff>
      <xdr:row>20</xdr:row>
      <xdr:rowOff>22860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66675</xdr:colOff>
      <xdr:row>5</xdr:row>
      <xdr:rowOff>28574</xdr:rowOff>
    </xdr:from>
    <xdr:to>
      <xdr:col>21</xdr:col>
      <xdr:colOff>438150</xdr:colOff>
      <xdr:row>24</xdr:row>
      <xdr:rowOff>190500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5</xdr:row>
      <xdr:rowOff>28575</xdr:rowOff>
    </xdr:from>
    <xdr:to>
      <xdr:col>14</xdr:col>
      <xdr:colOff>19050</xdr:colOff>
      <xdr:row>24</xdr:row>
      <xdr:rowOff>190500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66675</xdr:colOff>
      <xdr:row>5</xdr:row>
      <xdr:rowOff>28574</xdr:rowOff>
    </xdr:from>
    <xdr:to>
      <xdr:col>26</xdr:col>
      <xdr:colOff>438150</xdr:colOff>
      <xdr:row>24</xdr:row>
      <xdr:rowOff>190500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5</xdr:row>
      <xdr:rowOff>28575</xdr:rowOff>
    </xdr:from>
    <xdr:to>
      <xdr:col>19</xdr:col>
      <xdr:colOff>19050</xdr:colOff>
      <xdr:row>24</xdr:row>
      <xdr:rowOff>190500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11:D16"/>
  <sheetViews>
    <sheetView workbookViewId="0">
      <selection activeCell="E12" sqref="E12"/>
    </sheetView>
  </sheetViews>
  <sheetFormatPr defaultRowHeight="12.75" x14ac:dyDescent="0.2"/>
  <sheetData>
    <row r="11" spans="4:4" x14ac:dyDescent="0.2">
      <c r="D11" t="s">
        <v>23</v>
      </c>
    </row>
    <row r="14" spans="4:4" x14ac:dyDescent="0.2">
      <c r="D14" t="s">
        <v>24</v>
      </c>
    </row>
    <row r="16" spans="4:4" x14ac:dyDescent="0.2">
      <c r="D16" t="s">
        <v>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295"/>
  <sheetViews>
    <sheetView topLeftCell="A4" workbookViewId="0">
      <selection activeCell="E12" sqref="E12"/>
    </sheetView>
  </sheetViews>
  <sheetFormatPr defaultColWidth="9.140625" defaultRowHeight="16.5" x14ac:dyDescent="0.2"/>
  <cols>
    <col min="1" max="1" width="1.85546875" style="91" customWidth="1"/>
    <col min="2" max="2" width="17.5703125" style="91" bestFit="1" customWidth="1"/>
    <col min="3" max="3" width="6.140625" style="91" bestFit="1" customWidth="1"/>
    <col min="4" max="4" width="17.140625" style="91" bestFit="1" customWidth="1"/>
    <col min="5" max="5" width="14.42578125" style="91" bestFit="1" customWidth="1"/>
    <col min="6" max="6" width="9.140625" style="91"/>
    <col min="7" max="9" width="10.7109375" style="91" customWidth="1"/>
    <col min="10" max="10" width="6.140625" style="91" bestFit="1" customWidth="1"/>
    <col min="11" max="11" width="17.140625" style="91" bestFit="1" customWidth="1"/>
    <col min="12" max="12" width="16.42578125" style="91" customWidth="1"/>
    <col min="13" max="13" width="1.28515625" style="91" customWidth="1"/>
    <col min="14" max="28" width="9.140625" style="91"/>
    <col min="29" max="29" width="6.5703125" style="91" customWidth="1"/>
    <col min="30" max="16384" width="9.140625" style="91"/>
  </cols>
  <sheetData>
    <row r="1" spans="1:29" s="95" customFormat="1" ht="5.25" customHeight="1" x14ac:dyDescent="0.2"/>
    <row r="2" spans="1:29" s="95" customFormat="1" ht="30" x14ac:dyDescent="0.2">
      <c r="A2" s="336" t="s">
        <v>27</v>
      </c>
      <c r="B2" s="336"/>
      <c r="C2" s="336"/>
      <c r="D2" s="336"/>
      <c r="E2" s="336"/>
      <c r="F2" s="336"/>
      <c r="G2" s="336"/>
      <c r="H2" s="336"/>
      <c r="I2" s="336"/>
      <c r="J2" s="336"/>
      <c r="K2" s="336"/>
      <c r="L2" s="336"/>
      <c r="M2" s="336"/>
      <c r="N2" s="336"/>
      <c r="O2" s="336"/>
      <c r="P2" s="336"/>
      <c r="Q2" s="336"/>
      <c r="R2" s="336"/>
      <c r="S2" s="336"/>
      <c r="T2" s="336"/>
      <c r="U2" s="336"/>
      <c r="V2" s="97"/>
      <c r="W2" s="97"/>
      <c r="X2" s="97"/>
      <c r="Y2" s="97"/>
      <c r="Z2" s="97"/>
      <c r="AA2" s="97"/>
      <c r="AB2" s="97"/>
      <c r="AC2" s="97"/>
    </row>
    <row r="3" spans="1:29" s="95" customFormat="1" ht="7.5" customHeight="1" x14ac:dyDescent="0.2">
      <c r="B3" s="94"/>
      <c r="C3" s="94"/>
      <c r="D3" s="94"/>
      <c r="E3" s="94"/>
      <c r="F3" s="94"/>
      <c r="G3" s="94"/>
      <c r="H3" s="94"/>
      <c r="I3" s="94"/>
      <c r="J3" s="94"/>
      <c r="K3" s="94"/>
      <c r="L3" s="94"/>
    </row>
    <row r="4" spans="1:29" s="95" customFormat="1" ht="28.5" customHeight="1" x14ac:dyDescent="0.2">
      <c r="B4" s="125"/>
      <c r="C4" s="125"/>
      <c r="D4" s="125"/>
      <c r="E4" s="125"/>
      <c r="F4" s="127"/>
      <c r="G4" s="127"/>
      <c r="H4" s="96"/>
      <c r="I4" s="125"/>
      <c r="J4" s="125"/>
      <c r="K4" s="125"/>
      <c r="L4" s="125"/>
      <c r="M4" s="97"/>
      <c r="N4" s="133"/>
      <c r="O4" s="133"/>
      <c r="P4" s="133"/>
      <c r="Q4" s="133"/>
      <c r="R4" s="133"/>
      <c r="S4" s="97"/>
      <c r="T4" s="97"/>
      <c r="U4" s="97"/>
      <c r="V4" s="97"/>
      <c r="W4" s="97"/>
      <c r="X4" s="97"/>
      <c r="Y4" s="97"/>
      <c r="Z4" s="97"/>
      <c r="AA4" s="97"/>
      <c r="AB4" s="97"/>
      <c r="AC4" s="97"/>
    </row>
    <row r="5" spans="1:29" s="95" customFormat="1" ht="6" customHeight="1" x14ac:dyDescent="0.2">
      <c r="B5" s="124"/>
      <c r="C5" s="124"/>
      <c r="D5" s="124"/>
      <c r="E5" s="124"/>
      <c r="F5" s="124"/>
      <c r="G5" s="124"/>
      <c r="I5" s="124"/>
      <c r="J5" s="124"/>
      <c r="K5" s="124"/>
      <c r="L5" s="124"/>
    </row>
    <row r="6" spans="1:29" s="95" customFormat="1" ht="36.75" customHeight="1" x14ac:dyDescent="0.2">
      <c r="B6" s="126"/>
      <c r="C6" s="126"/>
      <c r="D6" s="131"/>
      <c r="E6" s="131"/>
      <c r="F6" s="128"/>
      <c r="G6" s="128"/>
      <c r="I6" s="126"/>
      <c r="J6" s="126"/>
      <c r="K6" s="131"/>
      <c r="L6" s="131"/>
    </row>
    <row r="7" spans="1:29" s="95" customFormat="1" x14ac:dyDescent="0.2">
      <c r="B7" s="128"/>
      <c r="C7" s="128"/>
      <c r="D7" s="132"/>
      <c r="E7" s="132"/>
      <c r="F7" s="126"/>
      <c r="G7" s="126"/>
      <c r="I7" s="128"/>
      <c r="J7" s="128"/>
      <c r="K7" s="132"/>
      <c r="L7" s="132"/>
    </row>
    <row r="8" spans="1:29" s="95" customFormat="1" x14ac:dyDescent="0.2">
      <c r="B8" s="124"/>
      <c r="C8" s="124"/>
      <c r="D8" s="129"/>
      <c r="E8" s="130"/>
      <c r="F8" s="124"/>
      <c r="G8" s="124"/>
      <c r="I8" s="124"/>
      <c r="J8" s="124"/>
      <c r="K8" s="129"/>
      <c r="L8" s="130"/>
    </row>
    <row r="9" spans="1:29" s="95" customFormat="1" x14ac:dyDescent="0.2">
      <c r="B9" s="124"/>
      <c r="C9" s="124"/>
      <c r="D9" s="129"/>
      <c r="E9" s="130"/>
      <c r="F9" s="124"/>
      <c r="G9" s="124"/>
      <c r="I9" s="124"/>
      <c r="J9" s="124"/>
      <c r="K9" s="129"/>
      <c r="L9" s="130"/>
    </row>
    <row r="10" spans="1:29" s="95" customFormat="1" x14ac:dyDescent="0.2">
      <c r="B10" s="124"/>
      <c r="C10" s="124"/>
      <c r="D10" s="129"/>
      <c r="E10" s="130"/>
      <c r="F10" s="124"/>
      <c r="G10" s="124"/>
      <c r="I10" s="124"/>
      <c r="J10" s="124"/>
      <c r="K10" s="129"/>
      <c r="L10" s="130"/>
    </row>
    <row r="11" spans="1:29" s="95" customFormat="1" x14ac:dyDescent="0.2">
      <c r="B11" s="124"/>
      <c r="C11" s="124"/>
      <c r="D11" s="129"/>
      <c r="E11" s="130"/>
      <c r="F11" s="124"/>
      <c r="G11" s="124"/>
      <c r="I11" s="124"/>
      <c r="J11" s="124"/>
      <c r="K11" s="129"/>
      <c r="L11" s="130"/>
    </row>
    <row r="12" spans="1:29" s="95" customFormat="1" x14ac:dyDescent="0.2">
      <c r="B12" s="124"/>
      <c r="C12" s="124"/>
      <c r="D12" s="129"/>
      <c r="E12" s="130"/>
      <c r="F12" s="124"/>
      <c r="G12" s="124"/>
      <c r="I12" s="124"/>
      <c r="J12" s="124"/>
      <c r="K12" s="129"/>
      <c r="L12" s="130"/>
    </row>
    <row r="13" spans="1:29" s="95" customFormat="1" x14ac:dyDescent="0.2">
      <c r="B13" s="124"/>
      <c r="C13" s="124"/>
      <c r="D13" s="129"/>
      <c r="E13" s="130"/>
      <c r="F13" s="124"/>
      <c r="G13" s="124"/>
      <c r="I13" s="124"/>
      <c r="J13" s="124"/>
      <c r="K13" s="129"/>
      <c r="L13" s="130"/>
    </row>
    <row r="14" spans="1:29" s="95" customFormat="1" x14ac:dyDescent="0.2">
      <c r="B14" s="124"/>
      <c r="C14" s="124"/>
      <c r="D14" s="129"/>
      <c r="E14" s="130"/>
      <c r="F14" s="124"/>
      <c r="G14" s="124"/>
      <c r="I14" s="124"/>
      <c r="J14" s="124"/>
      <c r="K14" s="129"/>
      <c r="L14" s="130"/>
    </row>
    <row r="15" spans="1:29" s="95" customFormat="1" x14ac:dyDescent="0.2">
      <c r="B15" s="124"/>
      <c r="C15" s="124"/>
      <c r="D15" s="129"/>
      <c r="E15" s="130"/>
      <c r="F15" s="124"/>
      <c r="G15" s="124"/>
      <c r="I15" s="124"/>
      <c r="J15" s="124"/>
      <c r="K15" s="129"/>
      <c r="L15" s="130"/>
    </row>
    <row r="16" spans="1:29" s="95" customFormat="1" x14ac:dyDescent="0.2">
      <c r="B16" s="124"/>
      <c r="C16" s="124"/>
      <c r="D16" s="129"/>
      <c r="E16" s="130"/>
      <c r="F16" s="124"/>
      <c r="G16" s="124"/>
      <c r="I16" s="124"/>
      <c r="J16" s="124"/>
      <c r="K16" s="129"/>
      <c r="L16" s="130"/>
    </row>
    <row r="17" spans="2:12" s="95" customFormat="1" x14ac:dyDescent="0.2">
      <c r="B17" s="124"/>
      <c r="C17" s="124"/>
      <c r="D17" s="129"/>
      <c r="E17" s="130"/>
      <c r="F17" s="124"/>
      <c r="G17" s="124"/>
      <c r="I17" s="124"/>
      <c r="J17" s="124"/>
      <c r="K17" s="129"/>
      <c r="L17" s="130"/>
    </row>
    <row r="18" spans="2:12" s="95" customFormat="1" x14ac:dyDescent="0.2">
      <c r="B18" s="124"/>
      <c r="C18" s="124"/>
      <c r="D18" s="129"/>
      <c r="E18" s="130"/>
      <c r="F18" s="124"/>
      <c r="G18" s="124"/>
      <c r="I18" s="124"/>
      <c r="J18" s="124"/>
      <c r="K18" s="129"/>
      <c r="L18" s="130"/>
    </row>
    <row r="19" spans="2:12" s="95" customFormat="1" x14ac:dyDescent="0.2">
      <c r="B19" s="124"/>
      <c r="C19" s="124"/>
      <c r="D19" s="129"/>
      <c r="E19" s="130"/>
      <c r="F19" s="124"/>
      <c r="G19" s="124"/>
      <c r="I19" s="124"/>
      <c r="J19" s="124"/>
      <c r="K19" s="129"/>
      <c r="L19" s="130"/>
    </row>
    <row r="20" spans="2:12" s="95" customFormat="1" x14ac:dyDescent="0.2">
      <c r="B20" s="124"/>
      <c r="C20" s="124"/>
      <c r="D20" s="129"/>
      <c r="E20" s="130"/>
      <c r="F20" s="124"/>
      <c r="G20" s="124"/>
      <c r="I20" s="124"/>
      <c r="J20" s="124"/>
      <c r="K20" s="129"/>
      <c r="L20" s="130"/>
    </row>
    <row r="21" spans="2:12" s="95" customFormat="1" x14ac:dyDescent="0.2">
      <c r="B21" s="124"/>
      <c r="C21" s="124"/>
      <c r="D21" s="129"/>
      <c r="E21" s="130"/>
      <c r="F21" s="124"/>
      <c r="G21" s="124"/>
      <c r="I21" s="124"/>
      <c r="J21" s="124"/>
      <c r="K21" s="129"/>
      <c r="L21" s="130"/>
    </row>
    <row r="22" spans="2:12" s="95" customFormat="1" x14ac:dyDescent="0.2">
      <c r="B22" s="124"/>
      <c r="C22" s="124"/>
      <c r="D22" s="129"/>
      <c r="E22" s="130"/>
      <c r="F22" s="124"/>
      <c r="G22" s="124"/>
      <c r="I22" s="124"/>
      <c r="J22" s="124"/>
      <c r="K22" s="129"/>
      <c r="L22" s="130"/>
    </row>
    <row r="23" spans="2:12" s="95" customFormat="1" x14ac:dyDescent="0.2">
      <c r="B23" s="124"/>
      <c r="C23" s="124"/>
      <c r="D23" s="129"/>
      <c r="E23" s="130"/>
      <c r="F23" s="124"/>
      <c r="G23" s="124"/>
      <c r="I23" s="124"/>
      <c r="J23" s="124"/>
      <c r="K23" s="129"/>
      <c r="L23" s="130"/>
    </row>
    <row r="24" spans="2:12" s="95" customFormat="1" x14ac:dyDescent="0.2">
      <c r="B24" s="124"/>
      <c r="C24" s="124"/>
      <c r="D24" s="129"/>
      <c r="E24" s="130"/>
      <c r="F24" s="124"/>
      <c r="G24" s="124"/>
      <c r="I24" s="124"/>
      <c r="J24" s="124"/>
      <c r="K24" s="129"/>
      <c r="L24" s="130"/>
    </row>
    <row r="25" spans="2:12" s="95" customFormat="1" x14ac:dyDescent="0.2">
      <c r="B25" s="124"/>
      <c r="C25" s="124"/>
      <c r="D25" s="129"/>
      <c r="E25" s="130"/>
      <c r="F25" s="124"/>
      <c r="G25" s="124"/>
      <c r="I25" s="124"/>
      <c r="J25" s="124"/>
      <c r="K25" s="129"/>
      <c r="L25" s="130"/>
    </row>
    <row r="26" spans="2:12" s="95" customFormat="1" x14ac:dyDescent="0.2">
      <c r="B26" s="124" t="s">
        <v>98</v>
      </c>
      <c r="C26" s="124"/>
      <c r="D26" s="124"/>
      <c r="E26" s="124"/>
      <c r="F26" s="124"/>
      <c r="G26" s="124"/>
    </row>
    <row r="27" spans="2:12" s="95" customFormat="1" x14ac:dyDescent="0.2"/>
    <row r="28" spans="2:12" s="95" customFormat="1" x14ac:dyDescent="0.2"/>
    <row r="29" spans="2:12" s="95" customFormat="1" x14ac:dyDescent="0.2"/>
    <row r="30" spans="2:12" s="95" customFormat="1" x14ac:dyDescent="0.2"/>
    <row r="31" spans="2:12" s="95" customFormat="1" x14ac:dyDescent="0.2"/>
    <row r="32" spans="2:12" s="95" customFormat="1" x14ac:dyDescent="0.2"/>
    <row r="33" s="95" customFormat="1" x14ac:dyDescent="0.2"/>
    <row r="34" s="95" customFormat="1" x14ac:dyDescent="0.2"/>
    <row r="35" s="95" customFormat="1" x14ac:dyDescent="0.2"/>
    <row r="36" s="95" customFormat="1" x14ac:dyDescent="0.2"/>
    <row r="37" s="95" customFormat="1" x14ac:dyDescent="0.2"/>
    <row r="38" s="95" customFormat="1" x14ac:dyDescent="0.2"/>
    <row r="39" s="95" customFormat="1" x14ac:dyDescent="0.2"/>
    <row r="40" s="95" customFormat="1" x14ac:dyDescent="0.2"/>
    <row r="41" s="95" customFormat="1" x14ac:dyDescent="0.2"/>
    <row r="42" s="95" customFormat="1" x14ac:dyDescent="0.2"/>
    <row r="43" s="95" customFormat="1" x14ac:dyDescent="0.2"/>
    <row r="44" s="95" customFormat="1" x14ac:dyDescent="0.2"/>
    <row r="45" s="95" customFormat="1" x14ac:dyDescent="0.2"/>
    <row r="46" s="95" customFormat="1" x14ac:dyDescent="0.2"/>
    <row r="47" s="95" customFormat="1" x14ac:dyDescent="0.2"/>
    <row r="48" s="95" customFormat="1" x14ac:dyDescent="0.2"/>
    <row r="49" s="95" customFormat="1" x14ac:dyDescent="0.2"/>
    <row r="50" s="95" customFormat="1" x14ac:dyDescent="0.2"/>
    <row r="51" s="95" customFormat="1" x14ac:dyDescent="0.2"/>
    <row r="52" s="95" customFormat="1" x14ac:dyDescent="0.2"/>
    <row r="53" s="95" customFormat="1" x14ac:dyDescent="0.2"/>
    <row r="54" s="95" customFormat="1" x14ac:dyDescent="0.2"/>
    <row r="55" s="95" customFormat="1" x14ac:dyDescent="0.2"/>
    <row r="56" s="95" customFormat="1" x14ac:dyDescent="0.2"/>
    <row r="57" s="95" customFormat="1" x14ac:dyDescent="0.2"/>
    <row r="58" s="95" customFormat="1" x14ac:dyDescent="0.2"/>
    <row r="59" s="95" customFormat="1" x14ac:dyDescent="0.2"/>
    <row r="60" s="95" customFormat="1" x14ac:dyDescent="0.2"/>
    <row r="61" s="95" customFormat="1" x14ac:dyDescent="0.2"/>
    <row r="62" s="95" customFormat="1" x14ac:dyDescent="0.2"/>
    <row r="63" s="95" customFormat="1" x14ac:dyDescent="0.2"/>
    <row r="64" s="95" customFormat="1" x14ac:dyDescent="0.2"/>
    <row r="65" s="95" customFormat="1" x14ac:dyDescent="0.2"/>
    <row r="66" s="95" customFormat="1" x14ac:dyDescent="0.2"/>
    <row r="67" s="95" customFormat="1" x14ac:dyDescent="0.2"/>
    <row r="68" s="95" customFormat="1" x14ac:dyDescent="0.2"/>
    <row r="69" s="95" customFormat="1" x14ac:dyDescent="0.2"/>
    <row r="70" s="95" customFormat="1" x14ac:dyDescent="0.2"/>
    <row r="71" s="95" customFormat="1" x14ac:dyDescent="0.2"/>
    <row r="72" s="95" customFormat="1" x14ac:dyDescent="0.2"/>
    <row r="73" s="95" customFormat="1" x14ac:dyDescent="0.2"/>
    <row r="74" s="95" customFormat="1" x14ac:dyDescent="0.2"/>
    <row r="75" s="95" customFormat="1" x14ac:dyDescent="0.2"/>
    <row r="76" s="95" customFormat="1" x14ac:dyDescent="0.2"/>
    <row r="77" s="95" customFormat="1" x14ac:dyDescent="0.2"/>
    <row r="78" s="95" customFormat="1" x14ac:dyDescent="0.2"/>
    <row r="79" s="95" customFormat="1" x14ac:dyDescent="0.2"/>
    <row r="80" s="95" customFormat="1" x14ac:dyDescent="0.2"/>
    <row r="81" s="95" customFormat="1" x14ac:dyDescent="0.2"/>
    <row r="82" s="95" customFormat="1" x14ac:dyDescent="0.2"/>
    <row r="83" s="95" customFormat="1" x14ac:dyDescent="0.2"/>
    <row r="84" s="95" customFormat="1" x14ac:dyDescent="0.2"/>
    <row r="85" s="95" customFormat="1" x14ac:dyDescent="0.2"/>
    <row r="86" s="95" customFormat="1" x14ac:dyDescent="0.2"/>
    <row r="87" s="95" customFormat="1" x14ac:dyDescent="0.2"/>
    <row r="88" s="95" customFormat="1" x14ac:dyDescent="0.2"/>
    <row r="89" s="95" customFormat="1" x14ac:dyDescent="0.2"/>
    <row r="90" s="95" customFormat="1" x14ac:dyDescent="0.2"/>
    <row r="91" s="95" customFormat="1" x14ac:dyDescent="0.2"/>
    <row r="92" s="95" customFormat="1" x14ac:dyDescent="0.2"/>
    <row r="93" s="95" customFormat="1" x14ac:dyDescent="0.2"/>
    <row r="94" s="95" customFormat="1" x14ac:dyDescent="0.2"/>
    <row r="95" s="95" customFormat="1" x14ac:dyDescent="0.2"/>
    <row r="96" s="95" customFormat="1" x14ac:dyDescent="0.2"/>
    <row r="97" s="95" customFormat="1" x14ac:dyDescent="0.2"/>
    <row r="98" s="95" customFormat="1" x14ac:dyDescent="0.2"/>
    <row r="99" s="95" customFormat="1" x14ac:dyDescent="0.2"/>
    <row r="100" s="95" customFormat="1" x14ac:dyDescent="0.2"/>
    <row r="101" s="95" customFormat="1" x14ac:dyDescent="0.2"/>
    <row r="102" s="95" customFormat="1" x14ac:dyDescent="0.2"/>
    <row r="103" s="95" customFormat="1" x14ac:dyDescent="0.2"/>
    <row r="104" s="95" customFormat="1" x14ac:dyDescent="0.2"/>
    <row r="105" s="95" customFormat="1" x14ac:dyDescent="0.2"/>
    <row r="106" s="95" customFormat="1" x14ac:dyDescent="0.2"/>
    <row r="107" s="95" customFormat="1" x14ac:dyDescent="0.2"/>
    <row r="108" s="95" customFormat="1" x14ac:dyDescent="0.2"/>
    <row r="109" s="95" customFormat="1" x14ac:dyDescent="0.2"/>
    <row r="110" s="95" customFormat="1" x14ac:dyDescent="0.2"/>
    <row r="111" s="95" customFormat="1" x14ac:dyDescent="0.2"/>
    <row r="112" s="95" customFormat="1" x14ac:dyDescent="0.2"/>
    <row r="113" s="95" customFormat="1" x14ac:dyDescent="0.2"/>
    <row r="114" s="95" customFormat="1" x14ac:dyDescent="0.2"/>
    <row r="115" s="95" customFormat="1" x14ac:dyDescent="0.2"/>
    <row r="116" s="95" customFormat="1" x14ac:dyDescent="0.2"/>
    <row r="117" s="95" customFormat="1" x14ac:dyDescent="0.2"/>
    <row r="118" s="95" customFormat="1" x14ac:dyDescent="0.2"/>
    <row r="119" s="95" customFormat="1" x14ac:dyDescent="0.2"/>
    <row r="120" s="95" customFormat="1" x14ac:dyDescent="0.2"/>
    <row r="121" s="95" customFormat="1" x14ac:dyDescent="0.2"/>
    <row r="122" s="95" customFormat="1" x14ac:dyDescent="0.2"/>
    <row r="123" s="95" customFormat="1" x14ac:dyDescent="0.2"/>
    <row r="124" s="95" customFormat="1" x14ac:dyDescent="0.2"/>
    <row r="125" s="95" customFormat="1" x14ac:dyDescent="0.2"/>
    <row r="126" s="95" customFormat="1" x14ac:dyDescent="0.2"/>
    <row r="127" s="95" customFormat="1" x14ac:dyDescent="0.2"/>
    <row r="128" s="95" customFormat="1" x14ac:dyDescent="0.2"/>
    <row r="129" s="95" customFormat="1" x14ac:dyDescent="0.2"/>
    <row r="130" s="95" customFormat="1" x14ac:dyDescent="0.2"/>
    <row r="131" s="95" customFormat="1" x14ac:dyDescent="0.2"/>
    <row r="132" s="95" customFormat="1" x14ac:dyDescent="0.2"/>
    <row r="133" s="95" customFormat="1" x14ac:dyDescent="0.2"/>
    <row r="134" s="95" customFormat="1" x14ac:dyDescent="0.2"/>
    <row r="135" s="95" customFormat="1" x14ac:dyDescent="0.2"/>
    <row r="136" s="95" customFormat="1" x14ac:dyDescent="0.2"/>
    <row r="137" s="95" customFormat="1" x14ac:dyDescent="0.2"/>
    <row r="138" s="95" customFormat="1" x14ac:dyDescent="0.2"/>
    <row r="139" s="95" customFormat="1" x14ac:dyDescent="0.2"/>
    <row r="140" s="95" customFormat="1" x14ac:dyDescent="0.2"/>
    <row r="141" s="95" customFormat="1" x14ac:dyDescent="0.2"/>
    <row r="142" s="95" customFormat="1" x14ac:dyDescent="0.2"/>
    <row r="143" s="95" customFormat="1" x14ac:dyDescent="0.2"/>
    <row r="144" s="95" customFormat="1" x14ac:dyDescent="0.2"/>
    <row r="145" s="95" customFormat="1" x14ac:dyDescent="0.2"/>
    <row r="146" s="95" customFormat="1" x14ac:dyDescent="0.2"/>
    <row r="147" s="95" customFormat="1" x14ac:dyDescent="0.2"/>
    <row r="148" s="95" customFormat="1" x14ac:dyDescent="0.2"/>
    <row r="149" s="95" customFormat="1" x14ac:dyDescent="0.2"/>
    <row r="150" s="95" customFormat="1" x14ac:dyDescent="0.2"/>
    <row r="151" s="95" customFormat="1" x14ac:dyDescent="0.2"/>
    <row r="152" s="95" customFormat="1" x14ac:dyDescent="0.2"/>
    <row r="153" s="95" customFormat="1" x14ac:dyDescent="0.2"/>
    <row r="154" s="95" customFormat="1" x14ac:dyDescent="0.2"/>
    <row r="155" s="95" customFormat="1" x14ac:dyDescent="0.2"/>
    <row r="156" s="95" customFormat="1" x14ac:dyDescent="0.2"/>
    <row r="157" s="95" customFormat="1" x14ac:dyDescent="0.2"/>
    <row r="158" s="95" customFormat="1" x14ac:dyDescent="0.2"/>
    <row r="159" s="95" customFormat="1" x14ac:dyDescent="0.2"/>
    <row r="160" s="95" customFormat="1" x14ac:dyDescent="0.2"/>
    <row r="161" s="95" customFormat="1" x14ac:dyDescent="0.2"/>
    <row r="162" s="95" customFormat="1" x14ac:dyDescent="0.2"/>
    <row r="163" s="95" customFormat="1" x14ac:dyDescent="0.2"/>
    <row r="164" s="95" customFormat="1" x14ac:dyDescent="0.2"/>
    <row r="165" s="95" customFormat="1" x14ac:dyDescent="0.2"/>
    <row r="166" s="95" customFormat="1" x14ac:dyDescent="0.2"/>
    <row r="167" s="95" customFormat="1" x14ac:dyDescent="0.2"/>
    <row r="168" s="95" customFormat="1" x14ac:dyDescent="0.2"/>
    <row r="169" s="95" customFormat="1" x14ac:dyDescent="0.2"/>
    <row r="170" s="95" customFormat="1" x14ac:dyDescent="0.2"/>
    <row r="171" s="95" customFormat="1" x14ac:dyDescent="0.2"/>
    <row r="172" s="95" customFormat="1" x14ac:dyDescent="0.2"/>
    <row r="173" s="95" customFormat="1" x14ac:dyDescent="0.2"/>
    <row r="174" s="95" customFormat="1" x14ac:dyDescent="0.2"/>
    <row r="175" s="95" customFormat="1" x14ac:dyDescent="0.2"/>
    <row r="176" s="95" customFormat="1" x14ac:dyDescent="0.2"/>
    <row r="177" s="95" customFormat="1" x14ac:dyDescent="0.2"/>
    <row r="178" s="95" customFormat="1" x14ac:dyDescent="0.2"/>
    <row r="179" s="95" customFormat="1" x14ac:dyDescent="0.2"/>
    <row r="180" s="95" customFormat="1" x14ac:dyDescent="0.2"/>
    <row r="181" s="95" customFormat="1" x14ac:dyDescent="0.2"/>
    <row r="182" s="95" customFormat="1" x14ac:dyDescent="0.2"/>
    <row r="183" s="95" customFormat="1" x14ac:dyDescent="0.2"/>
    <row r="184" s="95" customFormat="1" x14ac:dyDescent="0.2"/>
    <row r="185" s="95" customFormat="1" x14ac:dyDescent="0.2"/>
    <row r="186" s="95" customFormat="1" x14ac:dyDescent="0.2"/>
    <row r="187" s="95" customFormat="1" x14ac:dyDescent="0.2"/>
    <row r="188" s="95" customFormat="1" x14ac:dyDescent="0.2"/>
    <row r="189" s="95" customFormat="1" x14ac:dyDescent="0.2"/>
    <row r="190" s="95" customFormat="1" x14ac:dyDescent="0.2"/>
    <row r="191" s="95" customFormat="1" x14ac:dyDescent="0.2"/>
    <row r="192" s="95" customFormat="1" x14ac:dyDescent="0.2"/>
    <row r="193" s="95" customFormat="1" x14ac:dyDescent="0.2"/>
    <row r="194" s="95" customFormat="1" x14ac:dyDescent="0.2"/>
    <row r="195" s="95" customFormat="1" x14ac:dyDescent="0.2"/>
    <row r="196" s="95" customFormat="1" x14ac:dyDescent="0.2"/>
    <row r="197" s="95" customFormat="1" x14ac:dyDescent="0.2"/>
    <row r="198" s="95" customFormat="1" x14ac:dyDescent="0.2"/>
    <row r="199" s="95" customFormat="1" x14ac:dyDescent="0.2"/>
    <row r="200" s="95" customFormat="1" x14ac:dyDescent="0.2"/>
    <row r="201" s="95" customFormat="1" x14ac:dyDescent="0.2"/>
    <row r="202" s="95" customFormat="1" x14ac:dyDescent="0.2"/>
    <row r="203" s="95" customFormat="1" x14ac:dyDescent="0.2"/>
    <row r="204" s="95" customFormat="1" x14ac:dyDescent="0.2"/>
    <row r="205" s="95" customFormat="1" x14ac:dyDescent="0.2"/>
    <row r="206" s="95" customFormat="1" x14ac:dyDescent="0.2"/>
    <row r="207" s="95" customFormat="1" x14ac:dyDescent="0.2"/>
    <row r="208" s="95" customFormat="1" x14ac:dyDescent="0.2"/>
    <row r="209" s="95" customFormat="1" x14ac:dyDescent="0.2"/>
    <row r="210" s="95" customFormat="1" x14ac:dyDescent="0.2"/>
    <row r="211" s="95" customFormat="1" x14ac:dyDescent="0.2"/>
    <row r="212" s="95" customFormat="1" x14ac:dyDescent="0.2"/>
    <row r="213" s="95" customFormat="1" x14ac:dyDescent="0.2"/>
    <row r="214" s="95" customFormat="1" x14ac:dyDescent="0.2"/>
    <row r="215" s="95" customFormat="1" x14ac:dyDescent="0.2"/>
    <row r="216" s="95" customFormat="1" x14ac:dyDescent="0.2"/>
    <row r="217" s="95" customFormat="1" x14ac:dyDescent="0.2"/>
    <row r="218" s="95" customFormat="1" x14ac:dyDescent="0.2"/>
    <row r="219" s="95" customFormat="1" x14ac:dyDescent="0.2"/>
    <row r="220" s="95" customFormat="1" x14ac:dyDescent="0.2"/>
    <row r="221" s="95" customFormat="1" x14ac:dyDescent="0.2"/>
    <row r="222" s="95" customFormat="1" x14ac:dyDescent="0.2"/>
    <row r="223" s="95" customFormat="1" x14ac:dyDescent="0.2"/>
    <row r="224" s="95" customFormat="1" x14ac:dyDescent="0.2"/>
    <row r="225" s="95" customFormat="1" x14ac:dyDescent="0.2"/>
    <row r="226" s="95" customFormat="1" x14ac:dyDescent="0.2"/>
    <row r="227" s="95" customFormat="1" x14ac:dyDescent="0.2"/>
    <row r="228" s="95" customFormat="1" x14ac:dyDescent="0.2"/>
    <row r="229" s="95" customFormat="1" x14ac:dyDescent="0.2"/>
    <row r="230" s="95" customFormat="1" x14ac:dyDescent="0.2"/>
    <row r="231" s="95" customFormat="1" x14ac:dyDescent="0.2"/>
    <row r="232" s="95" customFormat="1" x14ac:dyDescent="0.2"/>
    <row r="233" s="95" customFormat="1" x14ac:dyDescent="0.2"/>
    <row r="234" s="95" customFormat="1" x14ac:dyDescent="0.2"/>
    <row r="235" s="95" customFormat="1" x14ac:dyDescent="0.2"/>
    <row r="236" s="95" customFormat="1" x14ac:dyDescent="0.2"/>
    <row r="237" s="95" customFormat="1" x14ac:dyDescent="0.2"/>
    <row r="238" s="95" customFormat="1" x14ac:dyDescent="0.2"/>
    <row r="239" s="95" customFormat="1" x14ac:dyDescent="0.2"/>
    <row r="240" s="95" customFormat="1" x14ac:dyDescent="0.2"/>
    <row r="241" s="95" customFormat="1" x14ac:dyDescent="0.2"/>
    <row r="242" s="95" customFormat="1" x14ac:dyDescent="0.2"/>
    <row r="243" s="95" customFormat="1" x14ac:dyDescent="0.2"/>
    <row r="244" s="95" customFormat="1" x14ac:dyDescent="0.2"/>
    <row r="245" s="95" customFormat="1" x14ac:dyDescent="0.2"/>
    <row r="246" s="95" customFormat="1" x14ac:dyDescent="0.2"/>
    <row r="247" s="95" customFormat="1" x14ac:dyDescent="0.2"/>
    <row r="248" s="95" customFormat="1" x14ac:dyDescent="0.2"/>
    <row r="249" s="95" customFormat="1" x14ac:dyDescent="0.2"/>
    <row r="250" s="95" customFormat="1" x14ac:dyDescent="0.2"/>
    <row r="251" s="95" customFormat="1" x14ac:dyDescent="0.2"/>
    <row r="252" s="95" customFormat="1" x14ac:dyDescent="0.2"/>
    <row r="253" s="95" customFormat="1" x14ac:dyDescent="0.2"/>
    <row r="254" s="95" customFormat="1" x14ac:dyDescent="0.2"/>
    <row r="255" s="95" customFormat="1" x14ac:dyDescent="0.2"/>
    <row r="256" s="95" customFormat="1" x14ac:dyDescent="0.2"/>
    <row r="257" s="95" customFormat="1" x14ac:dyDescent="0.2"/>
    <row r="258" s="95" customFormat="1" x14ac:dyDescent="0.2"/>
    <row r="259" s="95" customFormat="1" x14ac:dyDescent="0.2"/>
    <row r="260" s="95" customFormat="1" x14ac:dyDescent="0.2"/>
    <row r="261" s="95" customFormat="1" x14ac:dyDescent="0.2"/>
    <row r="262" s="95" customFormat="1" x14ac:dyDescent="0.2"/>
    <row r="263" s="95" customFormat="1" x14ac:dyDescent="0.2"/>
    <row r="264" s="95" customFormat="1" x14ac:dyDescent="0.2"/>
    <row r="265" s="95" customFormat="1" x14ac:dyDescent="0.2"/>
    <row r="266" s="95" customFormat="1" x14ac:dyDescent="0.2"/>
    <row r="267" s="95" customFormat="1" x14ac:dyDescent="0.2"/>
    <row r="268" s="95" customFormat="1" x14ac:dyDescent="0.2"/>
    <row r="269" s="95" customFormat="1" x14ac:dyDescent="0.2"/>
    <row r="270" s="95" customFormat="1" x14ac:dyDescent="0.2"/>
    <row r="271" s="95" customFormat="1" x14ac:dyDescent="0.2"/>
    <row r="272" s="95" customFormat="1" x14ac:dyDescent="0.2"/>
    <row r="273" s="95" customFormat="1" x14ac:dyDescent="0.2"/>
    <row r="274" s="95" customFormat="1" x14ac:dyDescent="0.2"/>
    <row r="275" s="95" customFormat="1" x14ac:dyDescent="0.2"/>
    <row r="276" s="95" customFormat="1" x14ac:dyDescent="0.2"/>
    <row r="277" s="95" customFormat="1" x14ac:dyDescent="0.2"/>
    <row r="278" s="95" customFormat="1" x14ac:dyDescent="0.2"/>
    <row r="279" s="95" customFormat="1" x14ac:dyDescent="0.2"/>
    <row r="280" s="95" customFormat="1" x14ac:dyDescent="0.2"/>
    <row r="281" s="95" customFormat="1" x14ac:dyDescent="0.2"/>
    <row r="282" s="95" customFormat="1" x14ac:dyDescent="0.2"/>
    <row r="283" s="95" customFormat="1" x14ac:dyDescent="0.2"/>
    <row r="284" s="95" customFormat="1" x14ac:dyDescent="0.2"/>
    <row r="285" s="95" customFormat="1" x14ac:dyDescent="0.2"/>
    <row r="286" s="95" customFormat="1" x14ac:dyDescent="0.2"/>
    <row r="287" s="95" customFormat="1" x14ac:dyDescent="0.2"/>
    <row r="288" s="95" customFormat="1" x14ac:dyDescent="0.2"/>
    <row r="289" s="95" customFormat="1" x14ac:dyDescent="0.2"/>
    <row r="290" s="95" customFormat="1" x14ac:dyDescent="0.2"/>
    <row r="291" s="95" customFormat="1" x14ac:dyDescent="0.2"/>
    <row r="292" s="95" customFormat="1" x14ac:dyDescent="0.2"/>
    <row r="293" s="95" customFormat="1" x14ac:dyDescent="0.2"/>
    <row r="294" s="95" customFormat="1" x14ac:dyDescent="0.2"/>
    <row r="295" s="95" customFormat="1" x14ac:dyDescent="0.2"/>
  </sheetData>
  <mergeCells count="1">
    <mergeCell ref="A2:U2"/>
  </mergeCells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V295"/>
  <sheetViews>
    <sheetView workbookViewId="0">
      <selection activeCell="E12" sqref="E12"/>
    </sheetView>
  </sheetViews>
  <sheetFormatPr defaultColWidth="9.140625" defaultRowHeight="16.5" x14ac:dyDescent="0.2"/>
  <cols>
    <col min="1" max="1" width="1.85546875" style="91" customWidth="1"/>
    <col min="2" max="2" width="14.5703125" style="91" bestFit="1" customWidth="1"/>
    <col min="3" max="3" width="6.140625" style="91" bestFit="1" customWidth="1"/>
    <col min="4" max="4" width="17.140625" style="91" bestFit="1" customWidth="1"/>
    <col min="5" max="5" width="16.42578125" style="91" customWidth="1"/>
    <col min="6" max="6" width="0.7109375" style="91" customWidth="1"/>
    <col min="7" max="21" width="9.140625" style="91"/>
    <col min="22" max="22" width="6.5703125" style="91" customWidth="1"/>
    <col min="23" max="16384" width="9.140625" style="91"/>
  </cols>
  <sheetData>
    <row r="1" spans="2:22" s="95" customFormat="1" ht="5.25" customHeight="1" x14ac:dyDescent="0.2"/>
    <row r="2" spans="2:22" s="95" customFormat="1" ht="30" x14ac:dyDescent="0.2">
      <c r="B2" s="111" t="s">
        <v>55</v>
      </c>
      <c r="C2" s="111"/>
      <c r="D2" s="111"/>
      <c r="E2" s="111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</row>
    <row r="3" spans="2:22" s="95" customFormat="1" ht="7.5" customHeight="1" x14ac:dyDescent="0.2">
      <c r="B3" s="94"/>
      <c r="C3" s="94"/>
      <c r="D3" s="94"/>
      <c r="E3" s="94"/>
    </row>
    <row r="4" spans="2:22" s="95" customFormat="1" ht="28.5" customHeight="1" x14ac:dyDescent="0.2">
      <c r="B4" s="108" t="s">
        <v>35</v>
      </c>
      <c r="C4" s="108"/>
      <c r="D4" s="108"/>
      <c r="E4" s="108"/>
      <c r="F4" s="97"/>
      <c r="G4" s="93" t="s">
        <v>54</v>
      </c>
      <c r="H4" s="105"/>
      <c r="I4" s="105"/>
      <c r="J4" s="105"/>
      <c r="K4" s="105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</row>
    <row r="5" spans="2:22" s="95" customFormat="1" ht="6" customHeight="1" x14ac:dyDescent="0.2"/>
    <row r="6" spans="2:22" s="95" customFormat="1" ht="36.75" customHeight="1" x14ac:dyDescent="0.2">
      <c r="B6" s="109" t="s">
        <v>36</v>
      </c>
      <c r="C6" s="110" t="s">
        <v>32</v>
      </c>
      <c r="D6" s="109" t="s">
        <v>53</v>
      </c>
      <c r="E6" s="109" t="s">
        <v>30</v>
      </c>
    </row>
    <row r="7" spans="2:22" s="95" customFormat="1" x14ac:dyDescent="0.2">
      <c r="B7" s="337" t="s">
        <v>34</v>
      </c>
      <c r="C7" s="338"/>
      <c r="D7" s="102">
        <f>SUBTOTAL(9,D8:D25)</f>
        <v>2090000</v>
      </c>
      <c r="E7" s="102">
        <f>SUBTOTAL(9,E8:E25)</f>
        <v>99.999999999999957</v>
      </c>
    </row>
    <row r="8" spans="2:22" s="95" customFormat="1" x14ac:dyDescent="0.2">
      <c r="B8" s="113" t="s">
        <v>37</v>
      </c>
      <c r="C8" s="113" t="s">
        <v>33</v>
      </c>
      <c r="D8" s="114">
        <v>100000</v>
      </c>
      <c r="E8" s="115">
        <f t="shared" ref="E8:E23" si="0">$D8/$D$7*100</f>
        <v>4.7846889952153111</v>
      </c>
    </row>
    <row r="9" spans="2:22" s="95" customFormat="1" x14ac:dyDescent="0.2">
      <c r="B9" s="119" t="s">
        <v>38</v>
      </c>
      <c r="C9" s="119" t="s">
        <v>33</v>
      </c>
      <c r="D9" s="120">
        <v>200000</v>
      </c>
      <c r="E9" s="121">
        <f t="shared" si="0"/>
        <v>9.5693779904306222</v>
      </c>
    </row>
    <row r="10" spans="2:22" s="95" customFormat="1" x14ac:dyDescent="0.2">
      <c r="B10" s="119" t="s">
        <v>39</v>
      </c>
      <c r="C10" s="119" t="s">
        <v>33</v>
      </c>
      <c r="D10" s="120">
        <v>300000</v>
      </c>
      <c r="E10" s="121">
        <f t="shared" si="0"/>
        <v>14.354066985645932</v>
      </c>
    </row>
    <row r="11" spans="2:22" s="95" customFormat="1" x14ac:dyDescent="0.2">
      <c r="B11" s="119" t="s">
        <v>40</v>
      </c>
      <c r="C11" s="119" t="s">
        <v>33</v>
      </c>
      <c r="D11" s="120">
        <v>400000</v>
      </c>
      <c r="E11" s="121">
        <f t="shared" si="0"/>
        <v>19.138755980861244</v>
      </c>
    </row>
    <row r="12" spans="2:22" s="95" customFormat="1" x14ac:dyDescent="0.2">
      <c r="B12" s="119" t="s">
        <v>41</v>
      </c>
      <c r="C12" s="119" t="s">
        <v>33</v>
      </c>
      <c r="D12" s="120">
        <v>500000</v>
      </c>
      <c r="E12" s="121">
        <f t="shared" si="0"/>
        <v>23.923444976076556</v>
      </c>
    </row>
    <row r="13" spans="2:22" s="95" customFormat="1" x14ac:dyDescent="0.2">
      <c r="B13" s="119" t="s">
        <v>42</v>
      </c>
      <c r="C13" s="119" t="s">
        <v>33</v>
      </c>
      <c r="D13" s="120">
        <v>20000</v>
      </c>
      <c r="E13" s="121">
        <f t="shared" si="0"/>
        <v>0.9569377990430622</v>
      </c>
    </row>
    <row r="14" spans="2:22" s="95" customFormat="1" x14ac:dyDescent="0.2">
      <c r="B14" s="119" t="s">
        <v>43</v>
      </c>
      <c r="C14" s="119" t="s">
        <v>33</v>
      </c>
      <c r="D14" s="120">
        <v>30000</v>
      </c>
      <c r="E14" s="121">
        <f t="shared" si="0"/>
        <v>1.4354066985645932</v>
      </c>
    </row>
    <row r="15" spans="2:22" s="95" customFormat="1" x14ac:dyDescent="0.2">
      <c r="B15" s="119" t="s">
        <v>44</v>
      </c>
      <c r="C15" s="119" t="s">
        <v>33</v>
      </c>
      <c r="D15" s="120">
        <v>40000</v>
      </c>
      <c r="E15" s="121">
        <f t="shared" si="0"/>
        <v>1.9138755980861244</v>
      </c>
    </row>
    <row r="16" spans="2:22" s="95" customFormat="1" x14ac:dyDescent="0.2">
      <c r="B16" s="119" t="s">
        <v>45</v>
      </c>
      <c r="C16" s="119" t="s">
        <v>33</v>
      </c>
      <c r="D16" s="120">
        <v>50000</v>
      </c>
      <c r="E16" s="121">
        <f t="shared" si="0"/>
        <v>2.3923444976076556</v>
      </c>
    </row>
    <row r="17" spans="2:5" s="95" customFormat="1" x14ac:dyDescent="0.2">
      <c r="B17" s="119" t="s">
        <v>46</v>
      </c>
      <c r="C17" s="119" t="s">
        <v>33</v>
      </c>
      <c r="D17" s="120">
        <v>60000</v>
      </c>
      <c r="E17" s="121">
        <f t="shared" si="0"/>
        <v>2.8708133971291865</v>
      </c>
    </row>
    <row r="18" spans="2:5" s="95" customFormat="1" x14ac:dyDescent="0.2">
      <c r="B18" s="119" t="s">
        <v>47</v>
      </c>
      <c r="C18" s="119" t="s">
        <v>33</v>
      </c>
      <c r="D18" s="120">
        <v>70000</v>
      </c>
      <c r="E18" s="121">
        <f t="shared" si="0"/>
        <v>3.3492822966507179</v>
      </c>
    </row>
    <row r="19" spans="2:5" s="95" customFormat="1" x14ac:dyDescent="0.2">
      <c r="B19" s="119" t="s">
        <v>48</v>
      </c>
      <c r="C19" s="119" t="s">
        <v>33</v>
      </c>
      <c r="D19" s="120">
        <v>80000</v>
      </c>
      <c r="E19" s="121">
        <f t="shared" si="0"/>
        <v>3.8277511961722488</v>
      </c>
    </row>
    <row r="20" spans="2:5" s="95" customFormat="1" x14ac:dyDescent="0.2">
      <c r="B20" s="119" t="s">
        <v>49</v>
      </c>
      <c r="C20" s="119" t="s">
        <v>33</v>
      </c>
      <c r="D20" s="120">
        <v>90000</v>
      </c>
      <c r="E20" s="121">
        <f t="shared" si="0"/>
        <v>4.3062200956937797</v>
      </c>
    </row>
    <row r="21" spans="2:5" s="95" customFormat="1" x14ac:dyDescent="0.2">
      <c r="B21" s="119" t="s">
        <v>50</v>
      </c>
      <c r="C21" s="119" t="s">
        <v>33</v>
      </c>
      <c r="D21" s="120">
        <v>100000</v>
      </c>
      <c r="E21" s="121">
        <f t="shared" si="0"/>
        <v>4.7846889952153111</v>
      </c>
    </row>
    <row r="22" spans="2:5" s="95" customFormat="1" x14ac:dyDescent="0.2">
      <c r="B22" s="119" t="s">
        <v>51</v>
      </c>
      <c r="C22" s="119" t="s">
        <v>33</v>
      </c>
      <c r="D22" s="120">
        <v>30000</v>
      </c>
      <c r="E22" s="121">
        <f t="shared" si="0"/>
        <v>1.4354066985645932</v>
      </c>
    </row>
    <row r="23" spans="2:5" s="95" customFormat="1" x14ac:dyDescent="0.2">
      <c r="B23" s="119" t="s">
        <v>52</v>
      </c>
      <c r="C23" s="119" t="s">
        <v>33</v>
      </c>
      <c r="D23" s="120">
        <v>20000</v>
      </c>
      <c r="E23" s="121">
        <f t="shared" si="0"/>
        <v>0.9569377990430622</v>
      </c>
    </row>
    <row r="24" spans="2:5" s="95" customFormat="1" x14ac:dyDescent="0.2">
      <c r="B24" s="119"/>
      <c r="C24" s="119"/>
      <c r="D24" s="120"/>
      <c r="E24" s="121"/>
    </row>
    <row r="25" spans="2:5" s="95" customFormat="1" x14ac:dyDescent="0.2">
      <c r="B25" s="116"/>
      <c r="C25" s="116"/>
      <c r="D25" s="117"/>
      <c r="E25" s="118"/>
    </row>
    <row r="26" spans="2:5" s="95" customFormat="1" x14ac:dyDescent="0.2"/>
    <row r="27" spans="2:5" s="95" customFormat="1" x14ac:dyDescent="0.2"/>
    <row r="28" spans="2:5" s="95" customFormat="1" x14ac:dyDescent="0.2"/>
    <row r="29" spans="2:5" s="95" customFormat="1" x14ac:dyDescent="0.2"/>
    <row r="30" spans="2:5" s="95" customFormat="1" x14ac:dyDescent="0.2"/>
    <row r="31" spans="2:5" s="95" customFormat="1" x14ac:dyDescent="0.2"/>
    <row r="32" spans="2:5" s="95" customFormat="1" x14ac:dyDescent="0.2"/>
    <row r="33" s="95" customFormat="1" x14ac:dyDescent="0.2"/>
    <row r="34" s="95" customFormat="1" x14ac:dyDescent="0.2"/>
    <row r="35" s="95" customFormat="1" x14ac:dyDescent="0.2"/>
    <row r="36" s="95" customFormat="1" x14ac:dyDescent="0.2"/>
    <row r="37" s="95" customFormat="1" x14ac:dyDescent="0.2"/>
    <row r="38" s="95" customFormat="1" x14ac:dyDescent="0.2"/>
    <row r="39" s="95" customFormat="1" x14ac:dyDescent="0.2"/>
    <row r="40" s="95" customFormat="1" x14ac:dyDescent="0.2"/>
    <row r="41" s="95" customFormat="1" x14ac:dyDescent="0.2"/>
    <row r="42" s="95" customFormat="1" x14ac:dyDescent="0.2"/>
    <row r="43" s="95" customFormat="1" x14ac:dyDescent="0.2"/>
    <row r="44" s="95" customFormat="1" x14ac:dyDescent="0.2"/>
    <row r="45" s="95" customFormat="1" x14ac:dyDescent="0.2"/>
    <row r="46" s="95" customFormat="1" x14ac:dyDescent="0.2"/>
    <row r="47" s="95" customFormat="1" x14ac:dyDescent="0.2"/>
    <row r="48" s="95" customFormat="1" x14ac:dyDescent="0.2"/>
    <row r="49" s="95" customFormat="1" x14ac:dyDescent="0.2"/>
    <row r="50" s="95" customFormat="1" x14ac:dyDescent="0.2"/>
    <row r="51" s="95" customFormat="1" x14ac:dyDescent="0.2"/>
    <row r="52" s="95" customFormat="1" x14ac:dyDescent="0.2"/>
    <row r="53" s="95" customFormat="1" x14ac:dyDescent="0.2"/>
    <row r="54" s="95" customFormat="1" x14ac:dyDescent="0.2"/>
    <row r="55" s="95" customFormat="1" x14ac:dyDescent="0.2"/>
    <row r="56" s="95" customFormat="1" x14ac:dyDescent="0.2"/>
    <row r="57" s="95" customFormat="1" x14ac:dyDescent="0.2"/>
    <row r="58" s="95" customFormat="1" x14ac:dyDescent="0.2"/>
    <row r="59" s="95" customFormat="1" x14ac:dyDescent="0.2"/>
    <row r="60" s="95" customFormat="1" x14ac:dyDescent="0.2"/>
    <row r="61" s="95" customFormat="1" x14ac:dyDescent="0.2"/>
    <row r="62" s="95" customFormat="1" x14ac:dyDescent="0.2"/>
    <row r="63" s="95" customFormat="1" x14ac:dyDescent="0.2"/>
    <row r="64" s="95" customFormat="1" x14ac:dyDescent="0.2"/>
    <row r="65" s="95" customFormat="1" x14ac:dyDescent="0.2"/>
    <row r="66" s="95" customFormat="1" x14ac:dyDescent="0.2"/>
    <row r="67" s="95" customFormat="1" x14ac:dyDescent="0.2"/>
    <row r="68" s="95" customFormat="1" x14ac:dyDescent="0.2"/>
    <row r="69" s="95" customFormat="1" x14ac:dyDescent="0.2"/>
    <row r="70" s="95" customFormat="1" x14ac:dyDescent="0.2"/>
    <row r="71" s="95" customFormat="1" x14ac:dyDescent="0.2"/>
    <row r="72" s="95" customFormat="1" x14ac:dyDescent="0.2"/>
    <row r="73" s="95" customFormat="1" x14ac:dyDescent="0.2"/>
    <row r="74" s="95" customFormat="1" x14ac:dyDescent="0.2"/>
    <row r="75" s="95" customFormat="1" x14ac:dyDescent="0.2"/>
    <row r="76" s="95" customFormat="1" x14ac:dyDescent="0.2"/>
    <row r="77" s="95" customFormat="1" x14ac:dyDescent="0.2"/>
    <row r="78" s="95" customFormat="1" x14ac:dyDescent="0.2"/>
    <row r="79" s="95" customFormat="1" x14ac:dyDescent="0.2"/>
    <row r="80" s="95" customFormat="1" x14ac:dyDescent="0.2"/>
    <row r="81" s="95" customFormat="1" x14ac:dyDescent="0.2"/>
    <row r="82" s="95" customFormat="1" x14ac:dyDescent="0.2"/>
    <row r="83" s="95" customFormat="1" x14ac:dyDescent="0.2"/>
    <row r="84" s="95" customFormat="1" x14ac:dyDescent="0.2"/>
    <row r="85" s="95" customFormat="1" x14ac:dyDescent="0.2"/>
    <row r="86" s="95" customFormat="1" x14ac:dyDescent="0.2"/>
    <row r="87" s="95" customFormat="1" x14ac:dyDescent="0.2"/>
    <row r="88" s="95" customFormat="1" x14ac:dyDescent="0.2"/>
    <row r="89" s="95" customFormat="1" x14ac:dyDescent="0.2"/>
    <row r="90" s="95" customFormat="1" x14ac:dyDescent="0.2"/>
    <row r="91" s="95" customFormat="1" x14ac:dyDescent="0.2"/>
    <row r="92" s="95" customFormat="1" x14ac:dyDescent="0.2"/>
    <row r="93" s="95" customFormat="1" x14ac:dyDescent="0.2"/>
    <row r="94" s="95" customFormat="1" x14ac:dyDescent="0.2"/>
    <row r="95" s="95" customFormat="1" x14ac:dyDescent="0.2"/>
    <row r="96" s="95" customFormat="1" x14ac:dyDescent="0.2"/>
    <row r="97" s="95" customFormat="1" x14ac:dyDescent="0.2"/>
    <row r="98" s="95" customFormat="1" x14ac:dyDescent="0.2"/>
    <row r="99" s="95" customFormat="1" x14ac:dyDescent="0.2"/>
    <row r="100" s="95" customFormat="1" x14ac:dyDescent="0.2"/>
    <row r="101" s="95" customFormat="1" x14ac:dyDescent="0.2"/>
    <row r="102" s="95" customFormat="1" x14ac:dyDescent="0.2"/>
    <row r="103" s="95" customFormat="1" x14ac:dyDescent="0.2"/>
    <row r="104" s="95" customFormat="1" x14ac:dyDescent="0.2"/>
    <row r="105" s="95" customFormat="1" x14ac:dyDescent="0.2"/>
    <row r="106" s="95" customFormat="1" x14ac:dyDescent="0.2"/>
    <row r="107" s="95" customFormat="1" x14ac:dyDescent="0.2"/>
    <row r="108" s="95" customFormat="1" x14ac:dyDescent="0.2"/>
    <row r="109" s="95" customFormat="1" x14ac:dyDescent="0.2"/>
    <row r="110" s="95" customFormat="1" x14ac:dyDescent="0.2"/>
    <row r="111" s="95" customFormat="1" x14ac:dyDescent="0.2"/>
    <row r="112" s="95" customFormat="1" x14ac:dyDescent="0.2"/>
    <row r="113" s="95" customFormat="1" x14ac:dyDescent="0.2"/>
    <row r="114" s="95" customFormat="1" x14ac:dyDescent="0.2"/>
    <row r="115" s="95" customFormat="1" x14ac:dyDescent="0.2"/>
    <row r="116" s="95" customFormat="1" x14ac:dyDescent="0.2"/>
    <row r="117" s="95" customFormat="1" x14ac:dyDescent="0.2"/>
    <row r="118" s="95" customFormat="1" x14ac:dyDescent="0.2"/>
    <row r="119" s="95" customFormat="1" x14ac:dyDescent="0.2"/>
    <row r="120" s="95" customFormat="1" x14ac:dyDescent="0.2"/>
    <row r="121" s="95" customFormat="1" x14ac:dyDescent="0.2"/>
    <row r="122" s="95" customFormat="1" x14ac:dyDescent="0.2"/>
    <row r="123" s="95" customFormat="1" x14ac:dyDescent="0.2"/>
    <row r="124" s="95" customFormat="1" x14ac:dyDescent="0.2"/>
    <row r="125" s="95" customFormat="1" x14ac:dyDescent="0.2"/>
    <row r="126" s="95" customFormat="1" x14ac:dyDescent="0.2"/>
    <row r="127" s="95" customFormat="1" x14ac:dyDescent="0.2"/>
    <row r="128" s="95" customFormat="1" x14ac:dyDescent="0.2"/>
    <row r="129" s="95" customFormat="1" x14ac:dyDescent="0.2"/>
    <row r="130" s="95" customFormat="1" x14ac:dyDescent="0.2"/>
    <row r="131" s="95" customFormat="1" x14ac:dyDescent="0.2"/>
    <row r="132" s="95" customFormat="1" x14ac:dyDescent="0.2"/>
    <row r="133" s="95" customFormat="1" x14ac:dyDescent="0.2"/>
    <row r="134" s="95" customFormat="1" x14ac:dyDescent="0.2"/>
    <row r="135" s="95" customFormat="1" x14ac:dyDescent="0.2"/>
    <row r="136" s="95" customFormat="1" x14ac:dyDescent="0.2"/>
    <row r="137" s="95" customFormat="1" x14ac:dyDescent="0.2"/>
    <row r="138" s="95" customFormat="1" x14ac:dyDescent="0.2"/>
    <row r="139" s="95" customFormat="1" x14ac:dyDescent="0.2"/>
    <row r="140" s="95" customFormat="1" x14ac:dyDescent="0.2"/>
    <row r="141" s="95" customFormat="1" x14ac:dyDescent="0.2"/>
    <row r="142" s="95" customFormat="1" x14ac:dyDescent="0.2"/>
    <row r="143" s="95" customFormat="1" x14ac:dyDescent="0.2"/>
    <row r="144" s="95" customFormat="1" x14ac:dyDescent="0.2"/>
    <row r="145" s="95" customFormat="1" x14ac:dyDescent="0.2"/>
    <row r="146" s="95" customFormat="1" x14ac:dyDescent="0.2"/>
    <row r="147" s="95" customFormat="1" x14ac:dyDescent="0.2"/>
    <row r="148" s="95" customFormat="1" x14ac:dyDescent="0.2"/>
    <row r="149" s="95" customFormat="1" x14ac:dyDescent="0.2"/>
    <row r="150" s="95" customFormat="1" x14ac:dyDescent="0.2"/>
    <row r="151" s="95" customFormat="1" x14ac:dyDescent="0.2"/>
    <row r="152" s="95" customFormat="1" x14ac:dyDescent="0.2"/>
    <row r="153" s="95" customFormat="1" x14ac:dyDescent="0.2"/>
    <row r="154" s="95" customFormat="1" x14ac:dyDescent="0.2"/>
    <row r="155" s="95" customFormat="1" x14ac:dyDescent="0.2"/>
    <row r="156" s="95" customFormat="1" x14ac:dyDescent="0.2"/>
    <row r="157" s="95" customFormat="1" x14ac:dyDescent="0.2"/>
    <row r="158" s="95" customFormat="1" x14ac:dyDescent="0.2"/>
    <row r="159" s="95" customFormat="1" x14ac:dyDescent="0.2"/>
    <row r="160" s="95" customFormat="1" x14ac:dyDescent="0.2"/>
    <row r="161" s="95" customFormat="1" x14ac:dyDescent="0.2"/>
    <row r="162" s="95" customFormat="1" x14ac:dyDescent="0.2"/>
    <row r="163" s="95" customFormat="1" x14ac:dyDescent="0.2"/>
    <row r="164" s="95" customFormat="1" x14ac:dyDescent="0.2"/>
    <row r="165" s="95" customFormat="1" x14ac:dyDescent="0.2"/>
    <row r="166" s="95" customFormat="1" x14ac:dyDescent="0.2"/>
    <row r="167" s="95" customFormat="1" x14ac:dyDescent="0.2"/>
    <row r="168" s="95" customFormat="1" x14ac:dyDescent="0.2"/>
    <row r="169" s="95" customFormat="1" x14ac:dyDescent="0.2"/>
    <row r="170" s="95" customFormat="1" x14ac:dyDescent="0.2"/>
    <row r="171" s="95" customFormat="1" x14ac:dyDescent="0.2"/>
    <row r="172" s="95" customFormat="1" x14ac:dyDescent="0.2"/>
    <row r="173" s="95" customFormat="1" x14ac:dyDescent="0.2"/>
    <row r="174" s="95" customFormat="1" x14ac:dyDescent="0.2"/>
    <row r="175" s="95" customFormat="1" x14ac:dyDescent="0.2"/>
    <row r="176" s="95" customFormat="1" x14ac:dyDescent="0.2"/>
    <row r="177" s="95" customFormat="1" x14ac:dyDescent="0.2"/>
    <row r="178" s="95" customFormat="1" x14ac:dyDescent="0.2"/>
    <row r="179" s="95" customFormat="1" x14ac:dyDescent="0.2"/>
    <row r="180" s="95" customFormat="1" x14ac:dyDescent="0.2"/>
    <row r="181" s="95" customFormat="1" x14ac:dyDescent="0.2"/>
    <row r="182" s="95" customFormat="1" x14ac:dyDescent="0.2"/>
    <row r="183" s="95" customFormat="1" x14ac:dyDescent="0.2"/>
    <row r="184" s="95" customFormat="1" x14ac:dyDescent="0.2"/>
    <row r="185" s="95" customFormat="1" x14ac:dyDescent="0.2"/>
    <row r="186" s="95" customFormat="1" x14ac:dyDescent="0.2"/>
    <row r="187" s="95" customFormat="1" x14ac:dyDescent="0.2"/>
    <row r="188" s="95" customFormat="1" x14ac:dyDescent="0.2"/>
    <row r="189" s="95" customFormat="1" x14ac:dyDescent="0.2"/>
    <row r="190" s="95" customFormat="1" x14ac:dyDescent="0.2"/>
    <row r="191" s="95" customFormat="1" x14ac:dyDescent="0.2"/>
    <row r="192" s="95" customFormat="1" x14ac:dyDescent="0.2"/>
    <row r="193" s="95" customFormat="1" x14ac:dyDescent="0.2"/>
    <row r="194" s="95" customFormat="1" x14ac:dyDescent="0.2"/>
    <row r="195" s="95" customFormat="1" x14ac:dyDescent="0.2"/>
    <row r="196" s="95" customFormat="1" x14ac:dyDescent="0.2"/>
    <row r="197" s="95" customFormat="1" x14ac:dyDescent="0.2"/>
    <row r="198" s="95" customFormat="1" x14ac:dyDescent="0.2"/>
    <row r="199" s="95" customFormat="1" x14ac:dyDescent="0.2"/>
    <row r="200" s="95" customFormat="1" x14ac:dyDescent="0.2"/>
    <row r="201" s="95" customFormat="1" x14ac:dyDescent="0.2"/>
    <row r="202" s="95" customFormat="1" x14ac:dyDescent="0.2"/>
    <row r="203" s="95" customFormat="1" x14ac:dyDescent="0.2"/>
    <row r="204" s="95" customFormat="1" x14ac:dyDescent="0.2"/>
    <row r="205" s="95" customFormat="1" x14ac:dyDescent="0.2"/>
    <row r="206" s="95" customFormat="1" x14ac:dyDescent="0.2"/>
    <row r="207" s="95" customFormat="1" x14ac:dyDescent="0.2"/>
    <row r="208" s="95" customFormat="1" x14ac:dyDescent="0.2"/>
    <row r="209" s="95" customFormat="1" x14ac:dyDescent="0.2"/>
    <row r="210" s="95" customFormat="1" x14ac:dyDescent="0.2"/>
    <row r="211" s="95" customFormat="1" x14ac:dyDescent="0.2"/>
    <row r="212" s="95" customFormat="1" x14ac:dyDescent="0.2"/>
    <row r="213" s="95" customFormat="1" x14ac:dyDescent="0.2"/>
    <row r="214" s="95" customFormat="1" x14ac:dyDescent="0.2"/>
    <row r="215" s="95" customFormat="1" x14ac:dyDescent="0.2"/>
    <row r="216" s="95" customFormat="1" x14ac:dyDescent="0.2"/>
    <row r="217" s="95" customFormat="1" x14ac:dyDescent="0.2"/>
    <row r="218" s="95" customFormat="1" x14ac:dyDescent="0.2"/>
    <row r="219" s="95" customFormat="1" x14ac:dyDescent="0.2"/>
    <row r="220" s="95" customFormat="1" x14ac:dyDescent="0.2"/>
    <row r="221" s="95" customFormat="1" x14ac:dyDescent="0.2"/>
    <row r="222" s="95" customFormat="1" x14ac:dyDescent="0.2"/>
    <row r="223" s="95" customFormat="1" x14ac:dyDescent="0.2"/>
    <row r="224" s="95" customFormat="1" x14ac:dyDescent="0.2"/>
    <row r="225" s="95" customFormat="1" x14ac:dyDescent="0.2"/>
    <row r="226" s="95" customFormat="1" x14ac:dyDescent="0.2"/>
    <row r="227" s="95" customFormat="1" x14ac:dyDescent="0.2"/>
    <row r="228" s="95" customFormat="1" x14ac:dyDescent="0.2"/>
    <row r="229" s="95" customFormat="1" x14ac:dyDescent="0.2"/>
    <row r="230" s="95" customFormat="1" x14ac:dyDescent="0.2"/>
    <row r="231" s="95" customFormat="1" x14ac:dyDescent="0.2"/>
    <row r="232" s="95" customFormat="1" x14ac:dyDescent="0.2"/>
    <row r="233" s="95" customFormat="1" x14ac:dyDescent="0.2"/>
    <row r="234" s="95" customFormat="1" x14ac:dyDescent="0.2"/>
    <row r="235" s="95" customFormat="1" x14ac:dyDescent="0.2"/>
    <row r="236" s="95" customFormat="1" x14ac:dyDescent="0.2"/>
    <row r="237" s="95" customFormat="1" x14ac:dyDescent="0.2"/>
    <row r="238" s="95" customFormat="1" x14ac:dyDescent="0.2"/>
    <row r="239" s="95" customFormat="1" x14ac:dyDescent="0.2"/>
    <row r="240" s="95" customFormat="1" x14ac:dyDescent="0.2"/>
    <row r="241" s="95" customFormat="1" x14ac:dyDescent="0.2"/>
    <row r="242" s="95" customFormat="1" x14ac:dyDescent="0.2"/>
    <row r="243" s="95" customFormat="1" x14ac:dyDescent="0.2"/>
    <row r="244" s="95" customFormat="1" x14ac:dyDescent="0.2"/>
    <row r="245" s="95" customFormat="1" x14ac:dyDescent="0.2"/>
    <row r="246" s="95" customFormat="1" x14ac:dyDescent="0.2"/>
    <row r="247" s="95" customFormat="1" x14ac:dyDescent="0.2"/>
    <row r="248" s="95" customFormat="1" x14ac:dyDescent="0.2"/>
    <row r="249" s="95" customFormat="1" x14ac:dyDescent="0.2"/>
    <row r="250" s="95" customFormat="1" x14ac:dyDescent="0.2"/>
    <row r="251" s="95" customFormat="1" x14ac:dyDescent="0.2"/>
    <row r="252" s="95" customFormat="1" x14ac:dyDescent="0.2"/>
    <row r="253" s="95" customFormat="1" x14ac:dyDescent="0.2"/>
    <row r="254" s="95" customFormat="1" x14ac:dyDescent="0.2"/>
    <row r="255" s="95" customFormat="1" x14ac:dyDescent="0.2"/>
    <row r="256" s="95" customFormat="1" x14ac:dyDescent="0.2"/>
    <row r="257" s="95" customFormat="1" x14ac:dyDescent="0.2"/>
    <row r="258" s="95" customFormat="1" x14ac:dyDescent="0.2"/>
    <row r="259" s="95" customFormat="1" x14ac:dyDescent="0.2"/>
    <row r="260" s="95" customFormat="1" x14ac:dyDescent="0.2"/>
    <row r="261" s="95" customFormat="1" x14ac:dyDescent="0.2"/>
    <row r="262" s="95" customFormat="1" x14ac:dyDescent="0.2"/>
    <row r="263" s="95" customFormat="1" x14ac:dyDescent="0.2"/>
    <row r="264" s="95" customFormat="1" x14ac:dyDescent="0.2"/>
    <row r="265" s="95" customFormat="1" x14ac:dyDescent="0.2"/>
    <row r="266" s="95" customFormat="1" x14ac:dyDescent="0.2"/>
    <row r="267" s="95" customFormat="1" x14ac:dyDescent="0.2"/>
    <row r="268" s="95" customFormat="1" x14ac:dyDescent="0.2"/>
    <row r="269" s="95" customFormat="1" x14ac:dyDescent="0.2"/>
    <row r="270" s="95" customFormat="1" x14ac:dyDescent="0.2"/>
    <row r="271" s="95" customFormat="1" x14ac:dyDescent="0.2"/>
    <row r="272" s="95" customFormat="1" x14ac:dyDescent="0.2"/>
    <row r="273" s="95" customFormat="1" x14ac:dyDescent="0.2"/>
    <row r="274" s="95" customFormat="1" x14ac:dyDescent="0.2"/>
    <row r="275" s="95" customFormat="1" x14ac:dyDescent="0.2"/>
    <row r="276" s="95" customFormat="1" x14ac:dyDescent="0.2"/>
    <row r="277" s="95" customFormat="1" x14ac:dyDescent="0.2"/>
    <row r="278" s="95" customFormat="1" x14ac:dyDescent="0.2"/>
    <row r="279" s="95" customFormat="1" x14ac:dyDescent="0.2"/>
    <row r="280" s="95" customFormat="1" x14ac:dyDescent="0.2"/>
    <row r="281" s="95" customFormat="1" x14ac:dyDescent="0.2"/>
    <row r="282" s="95" customFormat="1" x14ac:dyDescent="0.2"/>
    <row r="283" s="95" customFormat="1" x14ac:dyDescent="0.2"/>
    <row r="284" s="95" customFormat="1" x14ac:dyDescent="0.2"/>
    <row r="285" s="95" customFormat="1" x14ac:dyDescent="0.2"/>
    <row r="286" s="95" customFormat="1" x14ac:dyDescent="0.2"/>
    <row r="287" s="95" customFormat="1" x14ac:dyDescent="0.2"/>
    <row r="288" s="95" customFormat="1" x14ac:dyDescent="0.2"/>
    <row r="289" s="95" customFormat="1" x14ac:dyDescent="0.2"/>
    <row r="290" s="95" customFormat="1" x14ac:dyDescent="0.2"/>
    <row r="291" s="95" customFormat="1" x14ac:dyDescent="0.2"/>
    <row r="292" s="95" customFormat="1" x14ac:dyDescent="0.2"/>
    <row r="293" s="95" customFormat="1" x14ac:dyDescent="0.2"/>
    <row r="294" s="95" customFormat="1" x14ac:dyDescent="0.2"/>
    <row r="295" s="95" customFormat="1" x14ac:dyDescent="0.2"/>
  </sheetData>
  <mergeCells count="1">
    <mergeCell ref="B7:C7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AA295"/>
  <sheetViews>
    <sheetView workbookViewId="0">
      <selection activeCell="E12" sqref="E12"/>
    </sheetView>
  </sheetViews>
  <sheetFormatPr defaultColWidth="9.140625" defaultRowHeight="16.5" x14ac:dyDescent="0.2"/>
  <cols>
    <col min="1" max="1" width="1.85546875" style="91" customWidth="1"/>
    <col min="2" max="2" width="5.7109375" style="91" bestFit="1" customWidth="1"/>
    <col min="3" max="3" width="12.42578125" style="91" customWidth="1"/>
    <col min="4" max="4" width="6.140625" style="91" bestFit="1" customWidth="1"/>
    <col min="5" max="5" width="11.140625" style="91" bestFit="1" customWidth="1"/>
    <col min="6" max="6" width="0.5703125" style="91" customWidth="1"/>
    <col min="7" max="7" width="17.5703125" style="91" bestFit="1" customWidth="1"/>
    <col min="8" max="8" width="6.140625" style="91" bestFit="1" customWidth="1"/>
    <col min="9" max="9" width="17.140625" style="91" bestFit="1" customWidth="1"/>
    <col min="10" max="10" width="16.42578125" style="91" customWidth="1"/>
    <col min="11" max="11" width="1.28515625" style="91" customWidth="1"/>
    <col min="12" max="26" width="9.140625" style="91"/>
    <col min="27" max="27" width="6.5703125" style="91" customWidth="1"/>
    <col min="28" max="16384" width="9.140625" style="91"/>
  </cols>
  <sheetData>
    <row r="1" spans="2:27" s="95" customFormat="1" ht="5.25" customHeight="1" x14ac:dyDescent="0.2"/>
    <row r="2" spans="2:27" s="95" customFormat="1" ht="30" x14ac:dyDescent="0.2">
      <c r="B2" s="122" t="s">
        <v>96</v>
      </c>
      <c r="C2" s="122"/>
      <c r="D2" s="122"/>
      <c r="E2" s="122"/>
      <c r="F2" s="122"/>
      <c r="G2" s="122"/>
      <c r="H2" s="122"/>
      <c r="I2" s="122"/>
      <c r="J2" s="122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</row>
    <row r="3" spans="2:27" s="95" customFormat="1" ht="7.5" customHeight="1" x14ac:dyDescent="0.2">
      <c r="B3" s="94"/>
      <c r="C3" s="94"/>
      <c r="D3" s="94"/>
      <c r="E3" s="94"/>
      <c r="F3" s="94"/>
      <c r="G3" s="94"/>
      <c r="H3" s="94"/>
      <c r="I3" s="94"/>
      <c r="J3" s="94"/>
    </row>
    <row r="4" spans="2:27" s="95" customFormat="1" ht="28.5" customHeight="1" x14ac:dyDescent="0.2">
      <c r="B4" s="92" t="s">
        <v>58</v>
      </c>
      <c r="C4" s="92"/>
      <c r="D4" s="92"/>
      <c r="E4" s="92"/>
      <c r="F4" s="96"/>
      <c r="G4" s="99" t="s">
        <v>29</v>
      </c>
      <c r="H4" s="99"/>
      <c r="I4" s="99"/>
      <c r="J4" s="99"/>
      <c r="K4" s="97"/>
      <c r="L4" s="93" t="s">
        <v>31</v>
      </c>
      <c r="M4" s="105"/>
      <c r="N4" s="105"/>
      <c r="O4" s="105"/>
      <c r="P4" s="105"/>
      <c r="Q4" s="106"/>
      <c r="R4" s="106"/>
      <c r="S4" s="106"/>
      <c r="T4" s="106"/>
      <c r="U4" s="106"/>
      <c r="V4" s="106"/>
      <c r="W4" s="106"/>
      <c r="X4" s="106"/>
      <c r="Y4" s="106"/>
      <c r="Z4" s="106"/>
      <c r="AA4" s="106"/>
    </row>
    <row r="5" spans="2:27" s="95" customFormat="1" ht="6" customHeight="1" x14ac:dyDescent="0.2"/>
    <row r="6" spans="2:27" s="95" customFormat="1" ht="36.75" customHeight="1" x14ac:dyDescent="0.2">
      <c r="B6" s="339" t="s">
        <v>26</v>
      </c>
      <c r="C6" s="340" t="s">
        <v>56</v>
      </c>
      <c r="D6" s="341" t="s">
        <v>32</v>
      </c>
      <c r="E6" s="341" t="s">
        <v>57</v>
      </c>
      <c r="G6" s="101" t="s">
        <v>28</v>
      </c>
      <c r="H6" s="101" t="s">
        <v>32</v>
      </c>
      <c r="I6" s="104" t="s">
        <v>95</v>
      </c>
      <c r="J6" s="104" t="s">
        <v>30</v>
      </c>
    </row>
    <row r="7" spans="2:27" s="95" customFormat="1" x14ac:dyDescent="0.2">
      <c r="B7" s="339"/>
      <c r="C7" s="340"/>
      <c r="D7" s="342"/>
      <c r="E7" s="342"/>
      <c r="G7" s="337" t="s">
        <v>34</v>
      </c>
      <c r="H7" s="338"/>
      <c r="I7" s="102">
        <f>SUBTOTAL(9,I8:I25)</f>
        <v>2525000</v>
      </c>
      <c r="J7" s="102">
        <f>SUBTOTAL(9,J8:J25)</f>
        <v>99.999999999999986</v>
      </c>
    </row>
    <row r="8" spans="2:27" s="95" customFormat="1" x14ac:dyDescent="0.2">
      <c r="B8" s="107">
        <v>1</v>
      </c>
      <c r="C8" s="98" t="s">
        <v>59</v>
      </c>
      <c r="D8" s="98" t="s">
        <v>22</v>
      </c>
      <c r="E8" s="98" t="s">
        <v>77</v>
      </c>
      <c r="G8" s="98" t="s">
        <v>59</v>
      </c>
      <c r="H8" s="98" t="s">
        <v>22</v>
      </c>
      <c r="I8" s="100">
        <v>500000</v>
      </c>
      <c r="J8" s="103">
        <f>$I8/$I$7*100</f>
        <v>19.801980198019802</v>
      </c>
    </row>
    <row r="9" spans="2:27" s="95" customFormat="1" x14ac:dyDescent="0.2">
      <c r="B9" s="107">
        <v>2</v>
      </c>
      <c r="C9" s="98" t="s">
        <v>60</v>
      </c>
      <c r="D9" s="98" t="s">
        <v>22</v>
      </c>
      <c r="E9" s="98" t="s">
        <v>78</v>
      </c>
      <c r="G9" s="98" t="s">
        <v>60</v>
      </c>
      <c r="H9" s="98" t="s">
        <v>22</v>
      </c>
      <c r="I9" s="100">
        <v>200000</v>
      </c>
      <c r="J9" s="103">
        <f t="shared" ref="J9:J25" si="0">$I9/$I$7*100</f>
        <v>7.9207920792079207</v>
      </c>
    </row>
    <row r="10" spans="2:27" s="95" customFormat="1" x14ac:dyDescent="0.2">
      <c r="B10" s="107">
        <v>3</v>
      </c>
      <c r="C10" s="98" t="s">
        <v>61</v>
      </c>
      <c r="D10" s="98" t="s">
        <v>22</v>
      </c>
      <c r="E10" s="98" t="s">
        <v>79</v>
      </c>
      <c r="G10" s="98" t="s">
        <v>61</v>
      </c>
      <c r="H10" s="98" t="s">
        <v>22</v>
      </c>
      <c r="I10" s="100">
        <v>300000</v>
      </c>
      <c r="J10" s="103">
        <f t="shared" si="0"/>
        <v>11.881188118811881</v>
      </c>
    </row>
    <row r="11" spans="2:27" s="95" customFormat="1" x14ac:dyDescent="0.2">
      <c r="B11" s="107">
        <v>4</v>
      </c>
      <c r="C11" s="98" t="s">
        <v>62</v>
      </c>
      <c r="D11" s="98" t="s">
        <v>22</v>
      </c>
      <c r="E11" s="98" t="s">
        <v>80</v>
      </c>
      <c r="G11" s="98" t="s">
        <v>62</v>
      </c>
      <c r="H11" s="98" t="s">
        <v>22</v>
      </c>
      <c r="I11" s="100">
        <v>400000</v>
      </c>
      <c r="J11" s="103">
        <f t="shared" si="0"/>
        <v>15.841584158415841</v>
      </c>
    </row>
    <row r="12" spans="2:27" s="95" customFormat="1" x14ac:dyDescent="0.2">
      <c r="B12" s="107">
        <v>5</v>
      </c>
      <c r="C12" s="98" t="s">
        <v>63</v>
      </c>
      <c r="D12" s="98" t="s">
        <v>22</v>
      </c>
      <c r="E12" s="98" t="s">
        <v>81</v>
      </c>
      <c r="G12" s="98" t="s">
        <v>63</v>
      </c>
      <c r="H12" s="98" t="s">
        <v>22</v>
      </c>
      <c r="I12" s="100">
        <v>500000</v>
      </c>
      <c r="J12" s="103">
        <f t="shared" si="0"/>
        <v>19.801980198019802</v>
      </c>
    </row>
    <row r="13" spans="2:27" s="95" customFormat="1" x14ac:dyDescent="0.2">
      <c r="B13" s="107">
        <v>6</v>
      </c>
      <c r="C13" s="98" t="s">
        <v>64</v>
      </c>
      <c r="D13" s="98" t="s">
        <v>22</v>
      </c>
      <c r="E13" s="98" t="s">
        <v>82</v>
      </c>
      <c r="G13" s="98" t="s">
        <v>64</v>
      </c>
      <c r="H13" s="98" t="s">
        <v>22</v>
      </c>
      <c r="I13" s="100">
        <v>20000</v>
      </c>
      <c r="J13" s="103">
        <f t="shared" si="0"/>
        <v>0.79207920792079212</v>
      </c>
    </row>
    <row r="14" spans="2:27" s="95" customFormat="1" x14ac:dyDescent="0.2">
      <c r="B14" s="107">
        <v>7</v>
      </c>
      <c r="C14" s="98" t="s">
        <v>65</v>
      </c>
      <c r="D14" s="98" t="s">
        <v>22</v>
      </c>
      <c r="E14" s="98" t="s">
        <v>83</v>
      </c>
      <c r="G14" s="98" t="s">
        <v>65</v>
      </c>
      <c r="H14" s="98" t="s">
        <v>22</v>
      </c>
      <c r="I14" s="100">
        <v>30000</v>
      </c>
      <c r="J14" s="103">
        <f t="shared" si="0"/>
        <v>1.1881188118811881</v>
      </c>
    </row>
    <row r="15" spans="2:27" s="95" customFormat="1" x14ac:dyDescent="0.2">
      <c r="B15" s="107">
        <v>8</v>
      </c>
      <c r="C15" s="98" t="s">
        <v>66</v>
      </c>
      <c r="D15" s="98" t="s">
        <v>22</v>
      </c>
      <c r="E15" s="98" t="s">
        <v>84</v>
      </c>
      <c r="G15" s="98" t="s">
        <v>66</v>
      </c>
      <c r="H15" s="98" t="s">
        <v>22</v>
      </c>
      <c r="I15" s="100">
        <v>40000</v>
      </c>
      <c r="J15" s="103">
        <f t="shared" si="0"/>
        <v>1.5841584158415842</v>
      </c>
    </row>
    <row r="16" spans="2:27" s="95" customFormat="1" x14ac:dyDescent="0.2">
      <c r="B16" s="107">
        <v>9</v>
      </c>
      <c r="C16" s="98" t="s">
        <v>67</v>
      </c>
      <c r="D16" s="98" t="s">
        <v>22</v>
      </c>
      <c r="E16" s="98" t="s">
        <v>85</v>
      </c>
      <c r="G16" s="98" t="s">
        <v>67</v>
      </c>
      <c r="H16" s="98" t="s">
        <v>22</v>
      </c>
      <c r="I16" s="100">
        <v>50000</v>
      </c>
      <c r="J16" s="103">
        <f t="shared" si="0"/>
        <v>1.9801980198019802</v>
      </c>
    </row>
    <row r="17" spans="2:10" s="95" customFormat="1" x14ac:dyDescent="0.2">
      <c r="B17" s="107">
        <v>10</v>
      </c>
      <c r="C17" s="98" t="s">
        <v>68</v>
      </c>
      <c r="D17" s="98" t="s">
        <v>22</v>
      </c>
      <c r="E17" s="98" t="s">
        <v>86</v>
      </c>
      <c r="G17" s="98" t="s">
        <v>68</v>
      </c>
      <c r="H17" s="98" t="s">
        <v>22</v>
      </c>
      <c r="I17" s="100">
        <v>60000</v>
      </c>
      <c r="J17" s="103">
        <f t="shared" si="0"/>
        <v>2.3762376237623761</v>
      </c>
    </row>
    <row r="18" spans="2:10" s="95" customFormat="1" x14ac:dyDescent="0.2">
      <c r="B18" s="107">
        <v>11</v>
      </c>
      <c r="C18" s="98" t="s">
        <v>69</v>
      </c>
      <c r="D18" s="98" t="s">
        <v>22</v>
      </c>
      <c r="E18" s="98" t="s">
        <v>87</v>
      </c>
      <c r="G18" s="98" t="s">
        <v>69</v>
      </c>
      <c r="H18" s="98" t="s">
        <v>22</v>
      </c>
      <c r="I18" s="100">
        <v>70000</v>
      </c>
      <c r="J18" s="103">
        <f t="shared" si="0"/>
        <v>2.7722772277227725</v>
      </c>
    </row>
    <row r="19" spans="2:10" s="95" customFormat="1" x14ac:dyDescent="0.2">
      <c r="B19" s="107">
        <v>12</v>
      </c>
      <c r="C19" s="98" t="s">
        <v>70</v>
      </c>
      <c r="D19" s="98" t="s">
        <v>22</v>
      </c>
      <c r="E19" s="98" t="s">
        <v>88</v>
      </c>
      <c r="G19" s="98" t="s">
        <v>70</v>
      </c>
      <c r="H19" s="98" t="s">
        <v>22</v>
      </c>
      <c r="I19" s="100">
        <v>80000</v>
      </c>
      <c r="J19" s="103">
        <f t="shared" si="0"/>
        <v>3.1683168316831685</v>
      </c>
    </row>
    <row r="20" spans="2:10" s="95" customFormat="1" x14ac:dyDescent="0.2">
      <c r="B20" s="107">
        <v>13</v>
      </c>
      <c r="C20" s="98" t="s">
        <v>71</v>
      </c>
      <c r="D20" s="98" t="s">
        <v>22</v>
      </c>
      <c r="E20" s="98" t="s">
        <v>89</v>
      </c>
      <c r="G20" s="98" t="s">
        <v>71</v>
      </c>
      <c r="H20" s="98" t="s">
        <v>22</v>
      </c>
      <c r="I20" s="100">
        <v>90000</v>
      </c>
      <c r="J20" s="103">
        <f t="shared" si="0"/>
        <v>3.564356435643564</v>
      </c>
    </row>
    <row r="21" spans="2:10" s="95" customFormat="1" x14ac:dyDescent="0.2">
      <c r="B21" s="107">
        <v>14</v>
      </c>
      <c r="C21" s="98" t="s">
        <v>72</v>
      </c>
      <c r="D21" s="98" t="s">
        <v>22</v>
      </c>
      <c r="E21" s="98" t="s">
        <v>90</v>
      </c>
      <c r="G21" s="98" t="s">
        <v>72</v>
      </c>
      <c r="H21" s="98" t="s">
        <v>22</v>
      </c>
      <c r="I21" s="100">
        <v>100000</v>
      </c>
      <c r="J21" s="103">
        <f t="shared" si="0"/>
        <v>3.9603960396039604</v>
      </c>
    </row>
    <row r="22" spans="2:10" s="95" customFormat="1" x14ac:dyDescent="0.2">
      <c r="B22" s="107">
        <v>15</v>
      </c>
      <c r="C22" s="98" t="s">
        <v>73</v>
      </c>
      <c r="D22" s="98" t="s">
        <v>22</v>
      </c>
      <c r="E22" s="98" t="s">
        <v>91</v>
      </c>
      <c r="G22" s="98" t="s">
        <v>73</v>
      </c>
      <c r="H22" s="98" t="s">
        <v>22</v>
      </c>
      <c r="I22" s="100">
        <v>30000</v>
      </c>
      <c r="J22" s="103">
        <f t="shared" si="0"/>
        <v>1.1881188118811881</v>
      </c>
    </row>
    <row r="23" spans="2:10" s="95" customFormat="1" x14ac:dyDescent="0.2">
      <c r="B23" s="107">
        <v>16</v>
      </c>
      <c r="C23" s="98" t="s">
        <v>74</v>
      </c>
      <c r="D23" s="98" t="s">
        <v>22</v>
      </c>
      <c r="E23" s="98" t="s">
        <v>92</v>
      </c>
      <c r="G23" s="98" t="s">
        <v>74</v>
      </c>
      <c r="H23" s="98" t="s">
        <v>22</v>
      </c>
      <c r="I23" s="100">
        <v>20000</v>
      </c>
      <c r="J23" s="103">
        <f t="shared" si="0"/>
        <v>0.79207920792079212</v>
      </c>
    </row>
    <row r="24" spans="2:10" s="95" customFormat="1" x14ac:dyDescent="0.2">
      <c r="B24" s="107">
        <v>17</v>
      </c>
      <c r="C24" s="98" t="s">
        <v>75</v>
      </c>
      <c r="D24" s="98" t="s">
        <v>22</v>
      </c>
      <c r="E24" s="98" t="s">
        <v>93</v>
      </c>
      <c r="G24" s="98" t="s">
        <v>75</v>
      </c>
      <c r="H24" s="98" t="s">
        <v>22</v>
      </c>
      <c r="I24" s="100">
        <v>20000</v>
      </c>
      <c r="J24" s="103">
        <f t="shared" si="0"/>
        <v>0.79207920792079212</v>
      </c>
    </row>
    <row r="25" spans="2:10" s="95" customFormat="1" x14ac:dyDescent="0.2">
      <c r="B25" s="107">
        <v>18</v>
      </c>
      <c r="C25" s="98" t="s">
        <v>76</v>
      </c>
      <c r="D25" s="98" t="s">
        <v>22</v>
      </c>
      <c r="E25" s="98" t="s">
        <v>94</v>
      </c>
      <c r="G25" s="98" t="s">
        <v>76</v>
      </c>
      <c r="H25" s="98" t="s">
        <v>22</v>
      </c>
      <c r="I25" s="100">
        <v>15000</v>
      </c>
      <c r="J25" s="103">
        <f t="shared" si="0"/>
        <v>0.59405940594059403</v>
      </c>
    </row>
    <row r="26" spans="2:10" s="95" customFormat="1" x14ac:dyDescent="0.2"/>
    <row r="27" spans="2:10" s="95" customFormat="1" x14ac:dyDescent="0.2"/>
    <row r="28" spans="2:10" s="95" customFormat="1" x14ac:dyDescent="0.2"/>
    <row r="29" spans="2:10" s="95" customFormat="1" x14ac:dyDescent="0.2"/>
    <row r="30" spans="2:10" s="95" customFormat="1" x14ac:dyDescent="0.2"/>
    <row r="31" spans="2:10" s="95" customFormat="1" x14ac:dyDescent="0.2"/>
    <row r="32" spans="2:10" s="95" customFormat="1" x14ac:dyDescent="0.2"/>
    <row r="33" s="95" customFormat="1" x14ac:dyDescent="0.2"/>
    <row r="34" s="95" customFormat="1" x14ac:dyDescent="0.2"/>
    <row r="35" s="95" customFormat="1" x14ac:dyDescent="0.2"/>
    <row r="36" s="95" customFormat="1" x14ac:dyDescent="0.2"/>
    <row r="37" s="95" customFormat="1" x14ac:dyDescent="0.2"/>
    <row r="38" s="95" customFormat="1" x14ac:dyDescent="0.2"/>
    <row r="39" s="95" customFormat="1" x14ac:dyDescent="0.2"/>
    <row r="40" s="95" customFormat="1" x14ac:dyDescent="0.2"/>
    <row r="41" s="95" customFormat="1" x14ac:dyDescent="0.2"/>
    <row r="42" s="95" customFormat="1" x14ac:dyDescent="0.2"/>
    <row r="43" s="95" customFormat="1" x14ac:dyDescent="0.2"/>
    <row r="44" s="95" customFormat="1" x14ac:dyDescent="0.2"/>
    <row r="45" s="95" customFormat="1" x14ac:dyDescent="0.2"/>
    <row r="46" s="95" customFormat="1" x14ac:dyDescent="0.2"/>
    <row r="47" s="95" customFormat="1" x14ac:dyDescent="0.2"/>
    <row r="48" s="95" customFormat="1" x14ac:dyDescent="0.2"/>
    <row r="49" s="95" customFormat="1" x14ac:dyDescent="0.2"/>
    <row r="50" s="95" customFormat="1" x14ac:dyDescent="0.2"/>
    <row r="51" s="95" customFormat="1" x14ac:dyDescent="0.2"/>
    <row r="52" s="95" customFormat="1" x14ac:dyDescent="0.2"/>
    <row r="53" s="95" customFormat="1" x14ac:dyDescent="0.2"/>
    <row r="54" s="95" customFormat="1" x14ac:dyDescent="0.2"/>
    <row r="55" s="95" customFormat="1" x14ac:dyDescent="0.2"/>
    <row r="56" s="95" customFormat="1" x14ac:dyDescent="0.2"/>
    <row r="57" s="95" customFormat="1" x14ac:dyDescent="0.2"/>
    <row r="58" s="95" customFormat="1" x14ac:dyDescent="0.2"/>
    <row r="59" s="95" customFormat="1" x14ac:dyDescent="0.2"/>
    <row r="60" s="95" customFormat="1" x14ac:dyDescent="0.2"/>
    <row r="61" s="95" customFormat="1" x14ac:dyDescent="0.2"/>
    <row r="62" s="95" customFormat="1" x14ac:dyDescent="0.2"/>
    <row r="63" s="95" customFormat="1" x14ac:dyDescent="0.2"/>
    <row r="64" s="95" customFormat="1" x14ac:dyDescent="0.2"/>
    <row r="65" s="95" customFormat="1" x14ac:dyDescent="0.2"/>
    <row r="66" s="95" customFormat="1" x14ac:dyDescent="0.2"/>
    <row r="67" s="95" customFormat="1" x14ac:dyDescent="0.2"/>
    <row r="68" s="95" customFormat="1" x14ac:dyDescent="0.2"/>
    <row r="69" s="95" customFormat="1" x14ac:dyDescent="0.2"/>
    <row r="70" s="95" customFormat="1" x14ac:dyDescent="0.2"/>
    <row r="71" s="95" customFormat="1" x14ac:dyDescent="0.2"/>
    <row r="72" s="95" customFormat="1" x14ac:dyDescent="0.2"/>
    <row r="73" s="95" customFormat="1" x14ac:dyDescent="0.2"/>
    <row r="74" s="95" customFormat="1" x14ac:dyDescent="0.2"/>
    <row r="75" s="95" customFormat="1" x14ac:dyDescent="0.2"/>
    <row r="76" s="95" customFormat="1" x14ac:dyDescent="0.2"/>
    <row r="77" s="95" customFormat="1" x14ac:dyDescent="0.2"/>
    <row r="78" s="95" customFormat="1" x14ac:dyDescent="0.2"/>
    <row r="79" s="95" customFormat="1" x14ac:dyDescent="0.2"/>
    <row r="80" s="95" customFormat="1" x14ac:dyDescent="0.2"/>
    <row r="81" s="95" customFormat="1" x14ac:dyDescent="0.2"/>
    <row r="82" s="95" customFormat="1" x14ac:dyDescent="0.2"/>
    <row r="83" s="95" customFormat="1" x14ac:dyDescent="0.2"/>
    <row r="84" s="95" customFormat="1" x14ac:dyDescent="0.2"/>
    <row r="85" s="95" customFormat="1" x14ac:dyDescent="0.2"/>
    <row r="86" s="95" customFormat="1" x14ac:dyDescent="0.2"/>
    <row r="87" s="95" customFormat="1" x14ac:dyDescent="0.2"/>
    <row r="88" s="95" customFormat="1" x14ac:dyDescent="0.2"/>
    <row r="89" s="95" customFormat="1" x14ac:dyDescent="0.2"/>
    <row r="90" s="95" customFormat="1" x14ac:dyDescent="0.2"/>
    <row r="91" s="95" customFormat="1" x14ac:dyDescent="0.2"/>
    <row r="92" s="95" customFormat="1" x14ac:dyDescent="0.2"/>
    <row r="93" s="95" customFormat="1" x14ac:dyDescent="0.2"/>
    <row r="94" s="95" customFormat="1" x14ac:dyDescent="0.2"/>
    <row r="95" s="95" customFormat="1" x14ac:dyDescent="0.2"/>
    <row r="96" s="95" customFormat="1" x14ac:dyDescent="0.2"/>
    <row r="97" s="95" customFormat="1" x14ac:dyDescent="0.2"/>
    <row r="98" s="95" customFormat="1" x14ac:dyDescent="0.2"/>
    <row r="99" s="95" customFormat="1" x14ac:dyDescent="0.2"/>
    <row r="100" s="95" customFormat="1" x14ac:dyDescent="0.2"/>
    <row r="101" s="95" customFormat="1" x14ac:dyDescent="0.2"/>
    <row r="102" s="95" customFormat="1" x14ac:dyDescent="0.2"/>
    <row r="103" s="95" customFormat="1" x14ac:dyDescent="0.2"/>
    <row r="104" s="95" customFormat="1" x14ac:dyDescent="0.2"/>
    <row r="105" s="95" customFormat="1" x14ac:dyDescent="0.2"/>
    <row r="106" s="95" customFormat="1" x14ac:dyDescent="0.2"/>
    <row r="107" s="95" customFormat="1" x14ac:dyDescent="0.2"/>
    <row r="108" s="95" customFormat="1" x14ac:dyDescent="0.2"/>
    <row r="109" s="95" customFormat="1" x14ac:dyDescent="0.2"/>
    <row r="110" s="95" customFormat="1" x14ac:dyDescent="0.2"/>
    <row r="111" s="95" customFormat="1" x14ac:dyDescent="0.2"/>
    <row r="112" s="95" customFormat="1" x14ac:dyDescent="0.2"/>
    <row r="113" s="95" customFormat="1" x14ac:dyDescent="0.2"/>
    <row r="114" s="95" customFormat="1" x14ac:dyDescent="0.2"/>
    <row r="115" s="95" customFormat="1" x14ac:dyDescent="0.2"/>
    <row r="116" s="95" customFormat="1" x14ac:dyDescent="0.2"/>
    <row r="117" s="95" customFormat="1" x14ac:dyDescent="0.2"/>
    <row r="118" s="95" customFormat="1" x14ac:dyDescent="0.2"/>
    <row r="119" s="95" customFormat="1" x14ac:dyDescent="0.2"/>
    <row r="120" s="95" customFormat="1" x14ac:dyDescent="0.2"/>
    <row r="121" s="95" customFormat="1" x14ac:dyDescent="0.2"/>
    <row r="122" s="95" customFormat="1" x14ac:dyDescent="0.2"/>
    <row r="123" s="95" customFormat="1" x14ac:dyDescent="0.2"/>
    <row r="124" s="95" customFormat="1" x14ac:dyDescent="0.2"/>
    <row r="125" s="95" customFormat="1" x14ac:dyDescent="0.2"/>
    <row r="126" s="95" customFormat="1" x14ac:dyDescent="0.2"/>
    <row r="127" s="95" customFormat="1" x14ac:dyDescent="0.2"/>
    <row r="128" s="95" customFormat="1" x14ac:dyDescent="0.2"/>
    <row r="129" s="95" customFormat="1" x14ac:dyDescent="0.2"/>
    <row r="130" s="95" customFormat="1" x14ac:dyDescent="0.2"/>
    <row r="131" s="95" customFormat="1" x14ac:dyDescent="0.2"/>
    <row r="132" s="95" customFormat="1" x14ac:dyDescent="0.2"/>
    <row r="133" s="95" customFormat="1" x14ac:dyDescent="0.2"/>
    <row r="134" s="95" customFormat="1" x14ac:dyDescent="0.2"/>
    <row r="135" s="95" customFormat="1" x14ac:dyDescent="0.2"/>
    <row r="136" s="95" customFormat="1" x14ac:dyDescent="0.2"/>
    <row r="137" s="95" customFormat="1" x14ac:dyDescent="0.2"/>
    <row r="138" s="95" customFormat="1" x14ac:dyDescent="0.2"/>
    <row r="139" s="95" customFormat="1" x14ac:dyDescent="0.2"/>
    <row r="140" s="95" customFormat="1" x14ac:dyDescent="0.2"/>
    <row r="141" s="95" customFormat="1" x14ac:dyDescent="0.2"/>
    <row r="142" s="95" customFormat="1" x14ac:dyDescent="0.2"/>
    <row r="143" s="95" customFormat="1" x14ac:dyDescent="0.2"/>
    <row r="144" s="95" customFormat="1" x14ac:dyDescent="0.2"/>
    <row r="145" s="95" customFormat="1" x14ac:dyDescent="0.2"/>
    <row r="146" s="95" customFormat="1" x14ac:dyDescent="0.2"/>
    <row r="147" s="95" customFormat="1" x14ac:dyDescent="0.2"/>
    <row r="148" s="95" customFormat="1" x14ac:dyDescent="0.2"/>
    <row r="149" s="95" customFormat="1" x14ac:dyDescent="0.2"/>
    <row r="150" s="95" customFormat="1" x14ac:dyDescent="0.2"/>
    <row r="151" s="95" customFormat="1" x14ac:dyDescent="0.2"/>
    <row r="152" s="95" customFormat="1" x14ac:dyDescent="0.2"/>
    <row r="153" s="95" customFormat="1" x14ac:dyDescent="0.2"/>
    <row r="154" s="95" customFormat="1" x14ac:dyDescent="0.2"/>
    <row r="155" s="95" customFormat="1" x14ac:dyDescent="0.2"/>
    <row r="156" s="95" customFormat="1" x14ac:dyDescent="0.2"/>
    <row r="157" s="95" customFormat="1" x14ac:dyDescent="0.2"/>
    <row r="158" s="95" customFormat="1" x14ac:dyDescent="0.2"/>
    <row r="159" s="95" customFormat="1" x14ac:dyDescent="0.2"/>
    <row r="160" s="95" customFormat="1" x14ac:dyDescent="0.2"/>
    <row r="161" s="95" customFormat="1" x14ac:dyDescent="0.2"/>
    <row r="162" s="95" customFormat="1" x14ac:dyDescent="0.2"/>
    <row r="163" s="95" customFormat="1" x14ac:dyDescent="0.2"/>
    <row r="164" s="95" customFormat="1" x14ac:dyDescent="0.2"/>
    <row r="165" s="95" customFormat="1" x14ac:dyDescent="0.2"/>
    <row r="166" s="95" customFormat="1" x14ac:dyDescent="0.2"/>
    <row r="167" s="95" customFormat="1" x14ac:dyDescent="0.2"/>
    <row r="168" s="95" customFormat="1" x14ac:dyDescent="0.2"/>
    <row r="169" s="95" customFormat="1" x14ac:dyDescent="0.2"/>
    <row r="170" s="95" customFormat="1" x14ac:dyDescent="0.2"/>
    <row r="171" s="95" customFormat="1" x14ac:dyDescent="0.2"/>
    <row r="172" s="95" customFormat="1" x14ac:dyDescent="0.2"/>
    <row r="173" s="95" customFormat="1" x14ac:dyDescent="0.2"/>
    <row r="174" s="95" customFormat="1" x14ac:dyDescent="0.2"/>
    <row r="175" s="95" customFormat="1" x14ac:dyDescent="0.2"/>
    <row r="176" s="95" customFormat="1" x14ac:dyDescent="0.2"/>
    <row r="177" s="95" customFormat="1" x14ac:dyDescent="0.2"/>
    <row r="178" s="95" customFormat="1" x14ac:dyDescent="0.2"/>
    <row r="179" s="95" customFormat="1" x14ac:dyDescent="0.2"/>
    <row r="180" s="95" customFormat="1" x14ac:dyDescent="0.2"/>
    <row r="181" s="95" customFormat="1" x14ac:dyDescent="0.2"/>
    <row r="182" s="95" customFormat="1" x14ac:dyDescent="0.2"/>
    <row r="183" s="95" customFormat="1" x14ac:dyDescent="0.2"/>
    <row r="184" s="95" customFormat="1" x14ac:dyDescent="0.2"/>
    <row r="185" s="95" customFormat="1" x14ac:dyDescent="0.2"/>
    <row r="186" s="95" customFormat="1" x14ac:dyDescent="0.2"/>
    <row r="187" s="95" customFormat="1" x14ac:dyDescent="0.2"/>
    <row r="188" s="95" customFormat="1" x14ac:dyDescent="0.2"/>
    <row r="189" s="95" customFormat="1" x14ac:dyDescent="0.2"/>
    <row r="190" s="95" customFormat="1" x14ac:dyDescent="0.2"/>
    <row r="191" s="95" customFormat="1" x14ac:dyDescent="0.2"/>
    <row r="192" s="95" customFormat="1" x14ac:dyDescent="0.2"/>
    <row r="193" s="95" customFormat="1" x14ac:dyDescent="0.2"/>
    <row r="194" s="95" customFormat="1" x14ac:dyDescent="0.2"/>
    <row r="195" s="95" customFormat="1" x14ac:dyDescent="0.2"/>
    <row r="196" s="95" customFormat="1" x14ac:dyDescent="0.2"/>
    <row r="197" s="95" customFormat="1" x14ac:dyDescent="0.2"/>
    <row r="198" s="95" customFormat="1" x14ac:dyDescent="0.2"/>
    <row r="199" s="95" customFormat="1" x14ac:dyDescent="0.2"/>
    <row r="200" s="95" customFormat="1" x14ac:dyDescent="0.2"/>
    <row r="201" s="95" customFormat="1" x14ac:dyDescent="0.2"/>
    <row r="202" s="95" customFormat="1" x14ac:dyDescent="0.2"/>
    <row r="203" s="95" customFormat="1" x14ac:dyDescent="0.2"/>
    <row r="204" s="95" customFormat="1" x14ac:dyDescent="0.2"/>
    <row r="205" s="95" customFormat="1" x14ac:dyDescent="0.2"/>
    <row r="206" s="95" customFormat="1" x14ac:dyDescent="0.2"/>
    <row r="207" s="95" customFormat="1" x14ac:dyDescent="0.2"/>
    <row r="208" s="95" customFormat="1" x14ac:dyDescent="0.2"/>
    <row r="209" s="95" customFormat="1" x14ac:dyDescent="0.2"/>
    <row r="210" s="95" customFormat="1" x14ac:dyDescent="0.2"/>
    <row r="211" s="95" customFormat="1" x14ac:dyDescent="0.2"/>
    <row r="212" s="95" customFormat="1" x14ac:dyDescent="0.2"/>
    <row r="213" s="95" customFormat="1" x14ac:dyDescent="0.2"/>
    <row r="214" s="95" customFormat="1" x14ac:dyDescent="0.2"/>
    <row r="215" s="95" customFormat="1" x14ac:dyDescent="0.2"/>
    <row r="216" s="95" customFormat="1" x14ac:dyDescent="0.2"/>
    <row r="217" s="95" customFormat="1" x14ac:dyDescent="0.2"/>
    <row r="218" s="95" customFormat="1" x14ac:dyDescent="0.2"/>
    <row r="219" s="95" customFormat="1" x14ac:dyDescent="0.2"/>
    <row r="220" s="95" customFormat="1" x14ac:dyDescent="0.2"/>
    <row r="221" s="95" customFormat="1" x14ac:dyDescent="0.2"/>
    <row r="222" s="95" customFormat="1" x14ac:dyDescent="0.2"/>
    <row r="223" s="95" customFormat="1" x14ac:dyDescent="0.2"/>
    <row r="224" s="95" customFormat="1" x14ac:dyDescent="0.2"/>
    <row r="225" s="95" customFormat="1" x14ac:dyDescent="0.2"/>
    <row r="226" s="95" customFormat="1" x14ac:dyDescent="0.2"/>
    <row r="227" s="95" customFormat="1" x14ac:dyDescent="0.2"/>
    <row r="228" s="95" customFormat="1" x14ac:dyDescent="0.2"/>
    <row r="229" s="95" customFormat="1" x14ac:dyDescent="0.2"/>
    <row r="230" s="95" customFormat="1" x14ac:dyDescent="0.2"/>
    <row r="231" s="95" customFormat="1" x14ac:dyDescent="0.2"/>
    <row r="232" s="95" customFormat="1" x14ac:dyDescent="0.2"/>
    <row r="233" s="95" customFormat="1" x14ac:dyDescent="0.2"/>
    <row r="234" s="95" customFormat="1" x14ac:dyDescent="0.2"/>
    <row r="235" s="95" customFormat="1" x14ac:dyDescent="0.2"/>
    <row r="236" s="95" customFormat="1" x14ac:dyDescent="0.2"/>
    <row r="237" s="95" customFormat="1" x14ac:dyDescent="0.2"/>
    <row r="238" s="95" customFormat="1" x14ac:dyDescent="0.2"/>
    <row r="239" s="95" customFormat="1" x14ac:dyDescent="0.2"/>
    <row r="240" s="95" customFormat="1" x14ac:dyDescent="0.2"/>
    <row r="241" s="95" customFormat="1" x14ac:dyDescent="0.2"/>
    <row r="242" s="95" customFormat="1" x14ac:dyDescent="0.2"/>
    <row r="243" s="95" customFormat="1" x14ac:dyDescent="0.2"/>
    <row r="244" s="95" customFormat="1" x14ac:dyDescent="0.2"/>
    <row r="245" s="95" customFormat="1" x14ac:dyDescent="0.2"/>
    <row r="246" s="95" customFormat="1" x14ac:dyDescent="0.2"/>
    <row r="247" s="95" customFormat="1" x14ac:dyDescent="0.2"/>
    <row r="248" s="95" customFormat="1" x14ac:dyDescent="0.2"/>
    <row r="249" s="95" customFormat="1" x14ac:dyDescent="0.2"/>
    <row r="250" s="95" customFormat="1" x14ac:dyDescent="0.2"/>
    <row r="251" s="95" customFormat="1" x14ac:dyDescent="0.2"/>
    <row r="252" s="95" customFormat="1" x14ac:dyDescent="0.2"/>
    <row r="253" s="95" customFormat="1" x14ac:dyDescent="0.2"/>
    <row r="254" s="95" customFormat="1" x14ac:dyDescent="0.2"/>
    <row r="255" s="95" customFormat="1" x14ac:dyDescent="0.2"/>
    <row r="256" s="95" customFormat="1" x14ac:dyDescent="0.2"/>
    <row r="257" s="95" customFormat="1" x14ac:dyDescent="0.2"/>
    <row r="258" s="95" customFormat="1" x14ac:dyDescent="0.2"/>
    <row r="259" s="95" customFormat="1" x14ac:dyDescent="0.2"/>
    <row r="260" s="95" customFormat="1" x14ac:dyDescent="0.2"/>
    <row r="261" s="95" customFormat="1" x14ac:dyDescent="0.2"/>
    <row r="262" s="95" customFormat="1" x14ac:dyDescent="0.2"/>
    <row r="263" s="95" customFormat="1" x14ac:dyDescent="0.2"/>
    <row r="264" s="95" customFormat="1" x14ac:dyDescent="0.2"/>
    <row r="265" s="95" customFormat="1" x14ac:dyDescent="0.2"/>
    <row r="266" s="95" customFormat="1" x14ac:dyDescent="0.2"/>
    <row r="267" s="95" customFormat="1" x14ac:dyDescent="0.2"/>
    <row r="268" s="95" customFormat="1" x14ac:dyDescent="0.2"/>
    <row r="269" s="95" customFormat="1" x14ac:dyDescent="0.2"/>
    <row r="270" s="95" customFormat="1" x14ac:dyDescent="0.2"/>
    <row r="271" s="95" customFormat="1" x14ac:dyDescent="0.2"/>
    <row r="272" s="95" customFormat="1" x14ac:dyDescent="0.2"/>
    <row r="273" s="95" customFormat="1" x14ac:dyDescent="0.2"/>
    <row r="274" s="95" customFormat="1" x14ac:dyDescent="0.2"/>
    <row r="275" s="95" customFormat="1" x14ac:dyDescent="0.2"/>
    <row r="276" s="95" customFormat="1" x14ac:dyDescent="0.2"/>
    <row r="277" s="95" customFormat="1" x14ac:dyDescent="0.2"/>
    <row r="278" s="95" customFormat="1" x14ac:dyDescent="0.2"/>
    <row r="279" s="95" customFormat="1" x14ac:dyDescent="0.2"/>
    <row r="280" s="95" customFormat="1" x14ac:dyDescent="0.2"/>
    <row r="281" s="95" customFormat="1" x14ac:dyDescent="0.2"/>
    <row r="282" s="95" customFormat="1" x14ac:dyDescent="0.2"/>
    <row r="283" s="95" customFormat="1" x14ac:dyDescent="0.2"/>
    <row r="284" s="95" customFormat="1" x14ac:dyDescent="0.2"/>
    <row r="285" s="95" customFormat="1" x14ac:dyDescent="0.2"/>
    <row r="286" s="95" customFormat="1" x14ac:dyDescent="0.2"/>
    <row r="287" s="95" customFormat="1" x14ac:dyDescent="0.2"/>
    <row r="288" s="95" customFormat="1" x14ac:dyDescent="0.2"/>
    <row r="289" s="95" customFormat="1" x14ac:dyDescent="0.2"/>
    <row r="290" s="95" customFormat="1" x14ac:dyDescent="0.2"/>
    <row r="291" s="95" customFormat="1" x14ac:dyDescent="0.2"/>
    <row r="292" s="95" customFormat="1" x14ac:dyDescent="0.2"/>
    <row r="293" s="95" customFormat="1" x14ac:dyDescent="0.2"/>
    <row r="294" s="95" customFormat="1" x14ac:dyDescent="0.2"/>
    <row r="295" s="95" customFormat="1" x14ac:dyDescent="0.2"/>
  </sheetData>
  <mergeCells count="5">
    <mergeCell ref="B6:B7"/>
    <mergeCell ref="C6:C7"/>
    <mergeCell ref="G7:H7"/>
    <mergeCell ref="E6:E7"/>
    <mergeCell ref="D6:D7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53FFA1"/>
  </sheetPr>
  <dimension ref="B1:AI34"/>
  <sheetViews>
    <sheetView workbookViewId="0">
      <selection activeCell="E12" sqref="E12"/>
    </sheetView>
  </sheetViews>
  <sheetFormatPr defaultColWidth="8.85546875" defaultRowHeight="14.25" x14ac:dyDescent="0.2"/>
  <cols>
    <col min="1" max="1" width="0.7109375" style="16" customWidth="1"/>
    <col min="2" max="2" width="5" style="16" customWidth="1"/>
    <col min="3" max="3" width="13.7109375" style="16" customWidth="1"/>
    <col min="4" max="4" width="14.5703125" style="16" customWidth="1"/>
    <col min="5" max="5" width="9" style="16" bestFit="1" customWidth="1"/>
    <col min="6" max="35" width="7.5703125" style="16" bestFit="1" customWidth="1"/>
    <col min="36" max="16384" width="8.85546875" style="16"/>
  </cols>
  <sheetData>
    <row r="1" spans="2:35" ht="0.95" customHeight="1" x14ac:dyDescent="0.2"/>
    <row r="2" spans="2:35" ht="51" customHeight="1" x14ac:dyDescent="0.2">
      <c r="B2" s="343" t="s">
        <v>4</v>
      </c>
      <c r="C2" s="343"/>
      <c r="D2" s="343"/>
      <c r="E2" s="343"/>
      <c r="F2" s="343"/>
      <c r="G2" s="343"/>
      <c r="H2" s="343"/>
      <c r="I2" s="343"/>
      <c r="J2" s="343"/>
      <c r="K2" s="343"/>
      <c r="L2" s="343"/>
      <c r="M2" s="343"/>
      <c r="N2" s="343"/>
      <c r="O2" s="344" t="e">
        <f>#REF!</f>
        <v>#REF!</v>
      </c>
      <c r="P2" s="345"/>
      <c r="Q2" s="344">
        <v>2023</v>
      </c>
      <c r="R2" s="345"/>
    </row>
    <row r="3" spans="2:35" s="19" customFormat="1" ht="36.950000000000003" customHeight="1" x14ac:dyDescent="0.2">
      <c r="B3" s="17" t="s">
        <v>2</v>
      </c>
      <c r="C3" s="18" t="s">
        <v>3</v>
      </c>
      <c r="D3" s="18" t="s">
        <v>11</v>
      </c>
      <c r="E3" s="27" t="e">
        <f>DATE(Q2,O2,1)</f>
        <v>#REF!</v>
      </c>
      <c r="F3" s="27" t="e">
        <f>E3+1</f>
        <v>#REF!</v>
      </c>
      <c r="G3" s="27" t="e">
        <f t="shared" ref="G3:AI3" si="0">F3+1</f>
        <v>#REF!</v>
      </c>
      <c r="H3" s="27" t="e">
        <f t="shared" si="0"/>
        <v>#REF!</v>
      </c>
      <c r="I3" s="27" t="e">
        <f t="shared" si="0"/>
        <v>#REF!</v>
      </c>
      <c r="J3" s="27" t="e">
        <f t="shared" si="0"/>
        <v>#REF!</v>
      </c>
      <c r="K3" s="27" t="e">
        <f t="shared" si="0"/>
        <v>#REF!</v>
      </c>
      <c r="L3" s="27" t="e">
        <f t="shared" si="0"/>
        <v>#REF!</v>
      </c>
      <c r="M3" s="27" t="e">
        <f t="shared" si="0"/>
        <v>#REF!</v>
      </c>
      <c r="N3" s="27" t="e">
        <f t="shared" si="0"/>
        <v>#REF!</v>
      </c>
      <c r="O3" s="27" t="e">
        <f t="shared" si="0"/>
        <v>#REF!</v>
      </c>
      <c r="P3" s="27" t="e">
        <f t="shared" si="0"/>
        <v>#REF!</v>
      </c>
      <c r="Q3" s="27" t="e">
        <f t="shared" si="0"/>
        <v>#REF!</v>
      </c>
      <c r="R3" s="27" t="e">
        <f t="shared" si="0"/>
        <v>#REF!</v>
      </c>
      <c r="S3" s="27" t="e">
        <f t="shared" si="0"/>
        <v>#REF!</v>
      </c>
      <c r="T3" s="27" t="e">
        <f t="shared" si="0"/>
        <v>#REF!</v>
      </c>
      <c r="U3" s="27" t="e">
        <f t="shared" si="0"/>
        <v>#REF!</v>
      </c>
      <c r="V3" s="27" t="e">
        <f t="shared" si="0"/>
        <v>#REF!</v>
      </c>
      <c r="W3" s="27" t="e">
        <f t="shared" si="0"/>
        <v>#REF!</v>
      </c>
      <c r="X3" s="27" t="e">
        <f t="shared" si="0"/>
        <v>#REF!</v>
      </c>
      <c r="Y3" s="27" t="e">
        <f t="shared" si="0"/>
        <v>#REF!</v>
      </c>
      <c r="Z3" s="27" t="e">
        <f t="shared" si="0"/>
        <v>#REF!</v>
      </c>
      <c r="AA3" s="27" t="e">
        <f t="shared" si="0"/>
        <v>#REF!</v>
      </c>
      <c r="AB3" s="27" t="e">
        <f t="shared" si="0"/>
        <v>#REF!</v>
      </c>
      <c r="AC3" s="27" t="e">
        <f t="shared" si="0"/>
        <v>#REF!</v>
      </c>
      <c r="AD3" s="27" t="e">
        <f t="shared" si="0"/>
        <v>#REF!</v>
      </c>
      <c r="AE3" s="27" t="e">
        <f t="shared" si="0"/>
        <v>#REF!</v>
      </c>
      <c r="AF3" s="27" t="e">
        <f t="shared" si="0"/>
        <v>#REF!</v>
      </c>
      <c r="AG3" s="27" t="e">
        <f t="shared" si="0"/>
        <v>#REF!</v>
      </c>
      <c r="AH3" s="27" t="e">
        <f t="shared" si="0"/>
        <v>#REF!</v>
      </c>
      <c r="AI3" s="27" t="e">
        <f t="shared" si="0"/>
        <v>#REF!</v>
      </c>
    </row>
    <row r="4" spans="2:35" s="19" customFormat="1" ht="20.100000000000001" customHeight="1" x14ac:dyDescent="0.2">
      <c r="B4" s="20"/>
      <c r="C4" s="21"/>
      <c r="D4" s="22" t="e">
        <f t="shared" ref="D4:D34" si="1">SUM(E4:AI4)</f>
        <v>#REF!</v>
      </c>
      <c r="E4" s="23" t="e">
        <f t="shared" ref="E4:AI4" si="2">SUM(E5:E34)</f>
        <v>#REF!</v>
      </c>
      <c r="F4" s="23" t="e">
        <f t="shared" si="2"/>
        <v>#REF!</v>
      </c>
      <c r="G4" s="23" t="e">
        <f t="shared" si="2"/>
        <v>#REF!</v>
      </c>
      <c r="H4" s="23" t="e">
        <f t="shared" si="2"/>
        <v>#REF!</v>
      </c>
      <c r="I4" s="23" t="e">
        <f t="shared" si="2"/>
        <v>#REF!</v>
      </c>
      <c r="J4" s="23" t="e">
        <f t="shared" si="2"/>
        <v>#REF!</v>
      </c>
      <c r="K4" s="23" t="e">
        <f t="shared" si="2"/>
        <v>#REF!</v>
      </c>
      <c r="L4" s="23" t="e">
        <f t="shared" si="2"/>
        <v>#REF!</v>
      </c>
      <c r="M4" s="23" t="e">
        <f t="shared" si="2"/>
        <v>#REF!</v>
      </c>
      <c r="N4" s="23" t="e">
        <f t="shared" si="2"/>
        <v>#REF!</v>
      </c>
      <c r="O4" s="23" t="e">
        <f t="shared" si="2"/>
        <v>#REF!</v>
      </c>
      <c r="P4" s="23" t="e">
        <f t="shared" si="2"/>
        <v>#REF!</v>
      </c>
      <c r="Q4" s="23" t="e">
        <f t="shared" si="2"/>
        <v>#REF!</v>
      </c>
      <c r="R4" s="23" t="e">
        <f t="shared" si="2"/>
        <v>#REF!</v>
      </c>
      <c r="S4" s="23" t="e">
        <f t="shared" si="2"/>
        <v>#REF!</v>
      </c>
      <c r="T4" s="23" t="e">
        <f t="shared" si="2"/>
        <v>#REF!</v>
      </c>
      <c r="U4" s="23" t="e">
        <f t="shared" si="2"/>
        <v>#REF!</v>
      </c>
      <c r="V4" s="23" t="e">
        <f t="shared" si="2"/>
        <v>#REF!</v>
      </c>
      <c r="W4" s="23" t="e">
        <f t="shared" si="2"/>
        <v>#REF!</v>
      </c>
      <c r="X4" s="23" t="e">
        <f t="shared" si="2"/>
        <v>#REF!</v>
      </c>
      <c r="Y4" s="23" t="e">
        <f t="shared" si="2"/>
        <v>#REF!</v>
      </c>
      <c r="Z4" s="23" t="e">
        <f t="shared" si="2"/>
        <v>#REF!</v>
      </c>
      <c r="AA4" s="23" t="e">
        <f t="shared" si="2"/>
        <v>#REF!</v>
      </c>
      <c r="AB4" s="23" t="e">
        <f t="shared" si="2"/>
        <v>#REF!</v>
      </c>
      <c r="AC4" s="23" t="e">
        <f t="shared" si="2"/>
        <v>#REF!</v>
      </c>
      <c r="AD4" s="23" t="e">
        <f t="shared" si="2"/>
        <v>#REF!</v>
      </c>
      <c r="AE4" s="23" t="e">
        <f t="shared" si="2"/>
        <v>#REF!</v>
      </c>
      <c r="AF4" s="23" t="e">
        <f t="shared" si="2"/>
        <v>#REF!</v>
      </c>
      <c r="AG4" s="23" t="e">
        <f t="shared" si="2"/>
        <v>#REF!</v>
      </c>
      <c r="AH4" s="23" t="e">
        <f t="shared" si="2"/>
        <v>#REF!</v>
      </c>
      <c r="AI4" s="23" t="e">
        <f t="shared" si="2"/>
        <v>#REF!</v>
      </c>
    </row>
    <row r="5" spans="2:35" ht="20.100000000000001" customHeight="1" x14ac:dyDescent="0.25">
      <c r="B5" s="24">
        <v>1</v>
      </c>
      <c r="C5" s="89" t="e">
        <f>#REF!</f>
        <v>#REF!</v>
      </c>
      <c r="D5" s="25" t="e">
        <f t="shared" si="1"/>
        <v>#REF!</v>
      </c>
      <c r="E5" s="26" t="e">
        <f>SUMIFS(#REF!,#REF!,$C5,#REF!,E$3)</f>
        <v>#REF!</v>
      </c>
      <c r="F5" s="26" t="e">
        <f>SUMIFS(#REF!,#REF!,$C5,#REF!,F$3)</f>
        <v>#REF!</v>
      </c>
      <c r="G5" s="26" t="e">
        <f>SUMIFS(#REF!,#REF!,$C5,#REF!,G$3)</f>
        <v>#REF!</v>
      </c>
      <c r="H5" s="26" t="e">
        <f>SUMIFS(#REF!,#REF!,$C5,#REF!,H$3)</f>
        <v>#REF!</v>
      </c>
      <c r="I5" s="26" t="e">
        <f>SUMIFS(#REF!,#REF!,$C5,#REF!,I$3)</f>
        <v>#REF!</v>
      </c>
      <c r="J5" s="26" t="e">
        <f>SUMIFS(#REF!,#REF!,$C5,#REF!,J$3)</f>
        <v>#REF!</v>
      </c>
      <c r="K5" s="26" t="e">
        <f>SUMIFS(#REF!,#REF!,$C5,#REF!,K$3)</f>
        <v>#REF!</v>
      </c>
      <c r="L5" s="26" t="e">
        <f>SUMIFS(#REF!,#REF!,$C5,#REF!,L$3)</f>
        <v>#REF!</v>
      </c>
      <c r="M5" s="26" t="e">
        <f>SUMIFS(#REF!,#REF!,$C5,#REF!,M$3)</f>
        <v>#REF!</v>
      </c>
      <c r="N5" s="26" t="e">
        <f>SUMIFS(#REF!,#REF!,$C5,#REF!,N$3)</f>
        <v>#REF!</v>
      </c>
      <c r="O5" s="26" t="e">
        <f>SUMIFS(#REF!,#REF!,$C5,#REF!,O$3)</f>
        <v>#REF!</v>
      </c>
      <c r="P5" s="26" t="e">
        <f>SUMIFS(#REF!,#REF!,$C5,#REF!,P$3)</f>
        <v>#REF!</v>
      </c>
      <c r="Q5" s="26" t="e">
        <f>SUMIFS(#REF!,#REF!,$C5,#REF!,Q$3)</f>
        <v>#REF!</v>
      </c>
      <c r="R5" s="26" t="e">
        <f>SUMIFS(#REF!,#REF!,$C5,#REF!,R$3)</f>
        <v>#REF!</v>
      </c>
      <c r="S5" s="26" t="e">
        <f>SUMIFS(#REF!,#REF!,$C5,#REF!,S$3)</f>
        <v>#REF!</v>
      </c>
      <c r="T5" s="26" t="e">
        <f>SUMIFS(#REF!,#REF!,$C5,#REF!,T$3)</f>
        <v>#REF!</v>
      </c>
      <c r="U5" s="26" t="e">
        <f>SUMIFS(#REF!,#REF!,$C5,#REF!,U$3)</f>
        <v>#REF!</v>
      </c>
      <c r="V5" s="26" t="e">
        <f>SUMIFS(#REF!,#REF!,$C5,#REF!,V$3)</f>
        <v>#REF!</v>
      </c>
      <c r="W5" s="26" t="e">
        <f>SUMIFS(#REF!,#REF!,$C5,#REF!,W$3)</f>
        <v>#REF!</v>
      </c>
      <c r="X5" s="26" t="e">
        <f>SUMIFS(#REF!,#REF!,$C5,#REF!,X$3)</f>
        <v>#REF!</v>
      </c>
      <c r="Y5" s="26" t="e">
        <f>SUMIFS(#REF!,#REF!,$C5,#REF!,Y$3)</f>
        <v>#REF!</v>
      </c>
      <c r="Z5" s="26" t="e">
        <f>SUMIFS(#REF!,#REF!,$C5,#REF!,Z$3)</f>
        <v>#REF!</v>
      </c>
      <c r="AA5" s="26" t="e">
        <f>SUMIFS(#REF!,#REF!,$C5,#REF!,AA$3)</f>
        <v>#REF!</v>
      </c>
      <c r="AB5" s="26" t="e">
        <f>SUMIFS(#REF!,#REF!,$C5,#REF!,AB$3)</f>
        <v>#REF!</v>
      </c>
      <c r="AC5" s="26" t="e">
        <f>SUMIFS(#REF!,#REF!,$C5,#REF!,AC$3)</f>
        <v>#REF!</v>
      </c>
      <c r="AD5" s="26" t="e">
        <f>SUMIFS(#REF!,#REF!,$C5,#REF!,AD$3)</f>
        <v>#REF!</v>
      </c>
      <c r="AE5" s="26" t="e">
        <f>SUMIFS(#REF!,#REF!,$C5,#REF!,AE$3)</f>
        <v>#REF!</v>
      </c>
      <c r="AF5" s="26" t="e">
        <f>SUMIFS(#REF!,#REF!,$C5,#REF!,AF$3)</f>
        <v>#REF!</v>
      </c>
      <c r="AG5" s="26" t="e">
        <f>SUMIFS(#REF!,#REF!,$C5,#REF!,AG$3)</f>
        <v>#REF!</v>
      </c>
      <c r="AH5" s="26" t="e">
        <f>SUMIFS(#REF!,#REF!,$C5,#REF!,AH$3)</f>
        <v>#REF!</v>
      </c>
      <c r="AI5" s="26" t="e">
        <f>SUMIFS(#REF!,#REF!,$C5,#REF!,AI$3)</f>
        <v>#REF!</v>
      </c>
    </row>
    <row r="6" spans="2:35" ht="20.100000000000001" customHeight="1" x14ac:dyDescent="0.25">
      <c r="B6" s="24">
        <v>2</v>
      </c>
      <c r="C6" s="89" t="e">
        <f>#REF!</f>
        <v>#REF!</v>
      </c>
      <c r="D6" s="25" t="e">
        <f t="shared" si="1"/>
        <v>#REF!</v>
      </c>
      <c r="E6" s="26" t="e">
        <f>SUMIFS(#REF!,#REF!,$C6,#REF!,E$3)</f>
        <v>#REF!</v>
      </c>
      <c r="F6" s="26" t="e">
        <f>SUMIFS(#REF!,#REF!,$C6,#REF!,F$3)</f>
        <v>#REF!</v>
      </c>
      <c r="G6" s="26" t="e">
        <f>SUMIFS(#REF!,#REF!,$C6,#REF!,G$3)</f>
        <v>#REF!</v>
      </c>
      <c r="H6" s="26" t="e">
        <f>SUMIFS(#REF!,#REF!,$C6,#REF!,H$3)</f>
        <v>#REF!</v>
      </c>
      <c r="I6" s="26" t="e">
        <f>SUMIFS(#REF!,#REF!,$C6,#REF!,I$3)</f>
        <v>#REF!</v>
      </c>
      <c r="J6" s="26" t="e">
        <f>SUMIFS(#REF!,#REF!,$C6,#REF!,J$3)</f>
        <v>#REF!</v>
      </c>
      <c r="K6" s="26" t="e">
        <f>SUMIFS(#REF!,#REF!,$C6,#REF!,K$3)</f>
        <v>#REF!</v>
      </c>
      <c r="L6" s="26" t="e">
        <f>SUMIFS(#REF!,#REF!,$C6,#REF!,L$3)</f>
        <v>#REF!</v>
      </c>
      <c r="M6" s="26" t="e">
        <f>SUMIFS(#REF!,#REF!,$C6,#REF!,M$3)</f>
        <v>#REF!</v>
      </c>
      <c r="N6" s="26" t="e">
        <f>SUMIFS(#REF!,#REF!,$C6,#REF!,N$3)</f>
        <v>#REF!</v>
      </c>
      <c r="O6" s="26" t="e">
        <f>SUMIFS(#REF!,#REF!,$C6,#REF!,O$3)</f>
        <v>#REF!</v>
      </c>
      <c r="P6" s="26" t="e">
        <f>SUMIFS(#REF!,#REF!,$C6,#REF!,P$3)</f>
        <v>#REF!</v>
      </c>
      <c r="Q6" s="26" t="e">
        <f>SUMIFS(#REF!,#REF!,$C6,#REF!,Q$3)</f>
        <v>#REF!</v>
      </c>
      <c r="R6" s="26" t="e">
        <f>SUMIFS(#REF!,#REF!,$C6,#REF!,R$3)</f>
        <v>#REF!</v>
      </c>
      <c r="S6" s="26" t="e">
        <f>SUMIFS(#REF!,#REF!,$C6,#REF!,S$3)</f>
        <v>#REF!</v>
      </c>
      <c r="T6" s="26" t="e">
        <f>SUMIFS(#REF!,#REF!,$C6,#REF!,T$3)</f>
        <v>#REF!</v>
      </c>
      <c r="U6" s="26" t="e">
        <f>SUMIFS(#REF!,#REF!,$C6,#REF!,U$3)</f>
        <v>#REF!</v>
      </c>
      <c r="V6" s="26" t="e">
        <f>SUMIFS(#REF!,#REF!,$C6,#REF!,V$3)</f>
        <v>#REF!</v>
      </c>
      <c r="W6" s="26" t="e">
        <f>SUMIFS(#REF!,#REF!,$C6,#REF!,W$3)</f>
        <v>#REF!</v>
      </c>
      <c r="X6" s="26" t="e">
        <f>SUMIFS(#REF!,#REF!,$C6,#REF!,X$3)</f>
        <v>#REF!</v>
      </c>
      <c r="Y6" s="26" t="e">
        <f>SUMIFS(#REF!,#REF!,$C6,#REF!,Y$3)</f>
        <v>#REF!</v>
      </c>
      <c r="Z6" s="26" t="e">
        <f>SUMIFS(#REF!,#REF!,$C6,#REF!,Z$3)</f>
        <v>#REF!</v>
      </c>
      <c r="AA6" s="26" t="e">
        <f>SUMIFS(#REF!,#REF!,$C6,#REF!,AA$3)</f>
        <v>#REF!</v>
      </c>
      <c r="AB6" s="26" t="e">
        <f>SUMIFS(#REF!,#REF!,$C6,#REF!,AB$3)</f>
        <v>#REF!</v>
      </c>
      <c r="AC6" s="26" t="e">
        <f>SUMIFS(#REF!,#REF!,$C6,#REF!,AC$3)</f>
        <v>#REF!</v>
      </c>
      <c r="AD6" s="26" t="e">
        <f>SUMIFS(#REF!,#REF!,$C6,#REF!,AD$3)</f>
        <v>#REF!</v>
      </c>
      <c r="AE6" s="26" t="e">
        <f>SUMIFS(#REF!,#REF!,$C6,#REF!,AE$3)</f>
        <v>#REF!</v>
      </c>
      <c r="AF6" s="26" t="e">
        <f>SUMIFS(#REF!,#REF!,$C6,#REF!,AF$3)</f>
        <v>#REF!</v>
      </c>
      <c r="AG6" s="26" t="e">
        <f>SUMIFS(#REF!,#REF!,$C6,#REF!,AG$3)</f>
        <v>#REF!</v>
      </c>
      <c r="AH6" s="26" t="e">
        <f>SUMIFS(#REF!,#REF!,$C6,#REF!,AH$3)</f>
        <v>#REF!</v>
      </c>
      <c r="AI6" s="26" t="e">
        <f>SUMIFS(#REF!,#REF!,$C6,#REF!,AI$3)</f>
        <v>#REF!</v>
      </c>
    </row>
    <row r="7" spans="2:35" ht="20.100000000000001" customHeight="1" x14ac:dyDescent="0.25">
      <c r="B7" s="24">
        <v>3</v>
      </c>
      <c r="C7" s="89" t="e">
        <f>#REF!</f>
        <v>#REF!</v>
      </c>
      <c r="D7" s="25" t="e">
        <f t="shared" si="1"/>
        <v>#REF!</v>
      </c>
      <c r="E7" s="26" t="e">
        <f>SUMIFS(#REF!,#REF!,$C7,#REF!,E$3)</f>
        <v>#REF!</v>
      </c>
      <c r="F7" s="26" t="e">
        <f>SUMIFS(#REF!,#REF!,$C7,#REF!,F$3)</f>
        <v>#REF!</v>
      </c>
      <c r="G7" s="26" t="e">
        <f>SUMIFS(#REF!,#REF!,$C7,#REF!,G$3)</f>
        <v>#REF!</v>
      </c>
      <c r="H7" s="26" t="e">
        <f>SUMIFS(#REF!,#REF!,$C7,#REF!,H$3)</f>
        <v>#REF!</v>
      </c>
      <c r="I7" s="26" t="e">
        <f>SUMIFS(#REF!,#REF!,$C7,#REF!,I$3)</f>
        <v>#REF!</v>
      </c>
      <c r="J7" s="26" t="e">
        <f>SUMIFS(#REF!,#REF!,$C7,#REF!,J$3)</f>
        <v>#REF!</v>
      </c>
      <c r="K7" s="26" t="e">
        <f>SUMIFS(#REF!,#REF!,$C7,#REF!,K$3)</f>
        <v>#REF!</v>
      </c>
      <c r="L7" s="26" t="e">
        <f>SUMIFS(#REF!,#REF!,$C7,#REF!,L$3)</f>
        <v>#REF!</v>
      </c>
      <c r="M7" s="26" t="e">
        <f>SUMIFS(#REF!,#REF!,$C7,#REF!,M$3)</f>
        <v>#REF!</v>
      </c>
      <c r="N7" s="26" t="e">
        <f>SUMIFS(#REF!,#REF!,$C7,#REF!,N$3)</f>
        <v>#REF!</v>
      </c>
      <c r="O7" s="26" t="e">
        <f>SUMIFS(#REF!,#REF!,$C7,#REF!,O$3)</f>
        <v>#REF!</v>
      </c>
      <c r="P7" s="26" t="e">
        <f>SUMIFS(#REF!,#REF!,$C7,#REF!,P$3)</f>
        <v>#REF!</v>
      </c>
      <c r="Q7" s="26" t="e">
        <f>SUMIFS(#REF!,#REF!,$C7,#REF!,Q$3)</f>
        <v>#REF!</v>
      </c>
      <c r="R7" s="26" t="e">
        <f>SUMIFS(#REF!,#REF!,$C7,#REF!,R$3)</f>
        <v>#REF!</v>
      </c>
      <c r="S7" s="26" t="e">
        <f>SUMIFS(#REF!,#REF!,$C7,#REF!,S$3)</f>
        <v>#REF!</v>
      </c>
      <c r="T7" s="26" t="e">
        <f>SUMIFS(#REF!,#REF!,$C7,#REF!,T$3)</f>
        <v>#REF!</v>
      </c>
      <c r="U7" s="26" t="e">
        <f>SUMIFS(#REF!,#REF!,$C7,#REF!,U$3)</f>
        <v>#REF!</v>
      </c>
      <c r="V7" s="26" t="e">
        <f>SUMIFS(#REF!,#REF!,$C7,#REF!,V$3)</f>
        <v>#REF!</v>
      </c>
      <c r="W7" s="26" t="e">
        <f>SUMIFS(#REF!,#REF!,$C7,#REF!,W$3)</f>
        <v>#REF!</v>
      </c>
      <c r="X7" s="26" t="e">
        <f>SUMIFS(#REF!,#REF!,$C7,#REF!,X$3)</f>
        <v>#REF!</v>
      </c>
      <c r="Y7" s="26" t="e">
        <f>SUMIFS(#REF!,#REF!,$C7,#REF!,Y$3)</f>
        <v>#REF!</v>
      </c>
      <c r="Z7" s="26" t="e">
        <f>SUMIFS(#REF!,#REF!,$C7,#REF!,Z$3)</f>
        <v>#REF!</v>
      </c>
      <c r="AA7" s="26" t="e">
        <f>SUMIFS(#REF!,#REF!,$C7,#REF!,AA$3)</f>
        <v>#REF!</v>
      </c>
      <c r="AB7" s="26" t="e">
        <f>SUMIFS(#REF!,#REF!,$C7,#REF!,AB$3)</f>
        <v>#REF!</v>
      </c>
      <c r="AC7" s="26" t="e">
        <f>SUMIFS(#REF!,#REF!,$C7,#REF!,AC$3)</f>
        <v>#REF!</v>
      </c>
      <c r="AD7" s="26" t="e">
        <f>SUMIFS(#REF!,#REF!,$C7,#REF!,AD$3)</f>
        <v>#REF!</v>
      </c>
      <c r="AE7" s="26" t="e">
        <f>SUMIFS(#REF!,#REF!,$C7,#REF!,AE$3)</f>
        <v>#REF!</v>
      </c>
      <c r="AF7" s="26" t="e">
        <f>SUMIFS(#REF!,#REF!,$C7,#REF!,AF$3)</f>
        <v>#REF!</v>
      </c>
      <c r="AG7" s="26" t="e">
        <f>SUMIFS(#REF!,#REF!,$C7,#REF!,AG$3)</f>
        <v>#REF!</v>
      </c>
      <c r="AH7" s="26" t="e">
        <f>SUMIFS(#REF!,#REF!,$C7,#REF!,AH$3)</f>
        <v>#REF!</v>
      </c>
      <c r="AI7" s="26" t="e">
        <f>SUMIFS(#REF!,#REF!,$C7,#REF!,AI$3)</f>
        <v>#REF!</v>
      </c>
    </row>
    <row r="8" spans="2:35" ht="20.100000000000001" customHeight="1" x14ac:dyDescent="0.25">
      <c r="B8" s="24">
        <v>4</v>
      </c>
      <c r="C8" s="89" t="e">
        <f>#REF!</f>
        <v>#REF!</v>
      </c>
      <c r="D8" s="25" t="e">
        <f t="shared" si="1"/>
        <v>#REF!</v>
      </c>
      <c r="E8" s="26" t="e">
        <f>SUMIFS(#REF!,#REF!,$C8,#REF!,E$3)</f>
        <v>#REF!</v>
      </c>
      <c r="F8" s="26" t="e">
        <f>SUMIFS(#REF!,#REF!,$C8,#REF!,F$3)</f>
        <v>#REF!</v>
      </c>
      <c r="G8" s="26" t="e">
        <f>SUMIFS(#REF!,#REF!,$C8,#REF!,G$3)</f>
        <v>#REF!</v>
      </c>
      <c r="H8" s="26" t="e">
        <f>SUMIFS(#REF!,#REF!,$C8,#REF!,H$3)</f>
        <v>#REF!</v>
      </c>
      <c r="I8" s="26" t="e">
        <f>SUMIFS(#REF!,#REF!,$C8,#REF!,I$3)</f>
        <v>#REF!</v>
      </c>
      <c r="J8" s="26" t="e">
        <f>SUMIFS(#REF!,#REF!,$C8,#REF!,J$3)</f>
        <v>#REF!</v>
      </c>
      <c r="K8" s="26" t="e">
        <f>SUMIFS(#REF!,#REF!,$C8,#REF!,K$3)</f>
        <v>#REF!</v>
      </c>
      <c r="L8" s="26" t="e">
        <f>SUMIFS(#REF!,#REF!,$C8,#REF!,L$3)</f>
        <v>#REF!</v>
      </c>
      <c r="M8" s="26" t="e">
        <f>SUMIFS(#REF!,#REF!,$C8,#REF!,M$3)</f>
        <v>#REF!</v>
      </c>
      <c r="N8" s="26" t="e">
        <f>SUMIFS(#REF!,#REF!,$C8,#REF!,N$3)</f>
        <v>#REF!</v>
      </c>
      <c r="O8" s="26" t="e">
        <f>SUMIFS(#REF!,#REF!,$C8,#REF!,O$3)</f>
        <v>#REF!</v>
      </c>
      <c r="P8" s="26" t="e">
        <f>SUMIFS(#REF!,#REF!,$C8,#REF!,P$3)</f>
        <v>#REF!</v>
      </c>
      <c r="Q8" s="26" t="e">
        <f>SUMIFS(#REF!,#REF!,$C8,#REF!,Q$3)</f>
        <v>#REF!</v>
      </c>
      <c r="R8" s="26" t="e">
        <f>SUMIFS(#REF!,#REF!,$C8,#REF!,R$3)</f>
        <v>#REF!</v>
      </c>
      <c r="S8" s="26" t="e">
        <f>SUMIFS(#REF!,#REF!,$C8,#REF!,S$3)</f>
        <v>#REF!</v>
      </c>
      <c r="T8" s="26" t="e">
        <f>SUMIFS(#REF!,#REF!,$C8,#REF!,T$3)</f>
        <v>#REF!</v>
      </c>
      <c r="U8" s="26" t="e">
        <f>SUMIFS(#REF!,#REF!,$C8,#REF!,U$3)</f>
        <v>#REF!</v>
      </c>
      <c r="V8" s="26" t="e">
        <f>SUMIFS(#REF!,#REF!,$C8,#REF!,V$3)</f>
        <v>#REF!</v>
      </c>
      <c r="W8" s="26" t="e">
        <f>SUMIFS(#REF!,#REF!,$C8,#REF!,W$3)</f>
        <v>#REF!</v>
      </c>
      <c r="X8" s="26" t="e">
        <f>SUMIFS(#REF!,#REF!,$C8,#REF!,X$3)</f>
        <v>#REF!</v>
      </c>
      <c r="Y8" s="26" t="e">
        <f>SUMIFS(#REF!,#REF!,$C8,#REF!,Y$3)</f>
        <v>#REF!</v>
      </c>
      <c r="Z8" s="26" t="e">
        <f>SUMIFS(#REF!,#REF!,$C8,#REF!,Z$3)</f>
        <v>#REF!</v>
      </c>
      <c r="AA8" s="26" t="e">
        <f>SUMIFS(#REF!,#REF!,$C8,#REF!,AA$3)</f>
        <v>#REF!</v>
      </c>
      <c r="AB8" s="26" t="e">
        <f>SUMIFS(#REF!,#REF!,$C8,#REF!,AB$3)</f>
        <v>#REF!</v>
      </c>
      <c r="AC8" s="26" t="e">
        <f>SUMIFS(#REF!,#REF!,$C8,#REF!,AC$3)</f>
        <v>#REF!</v>
      </c>
      <c r="AD8" s="26" t="e">
        <f>SUMIFS(#REF!,#REF!,$C8,#REF!,AD$3)</f>
        <v>#REF!</v>
      </c>
      <c r="AE8" s="26" t="e">
        <f>SUMIFS(#REF!,#REF!,$C8,#REF!,AE$3)</f>
        <v>#REF!</v>
      </c>
      <c r="AF8" s="26" t="e">
        <f>SUMIFS(#REF!,#REF!,$C8,#REF!,AF$3)</f>
        <v>#REF!</v>
      </c>
      <c r="AG8" s="26" t="e">
        <f>SUMIFS(#REF!,#REF!,$C8,#REF!,AG$3)</f>
        <v>#REF!</v>
      </c>
      <c r="AH8" s="26" t="e">
        <f>SUMIFS(#REF!,#REF!,$C8,#REF!,AH$3)</f>
        <v>#REF!</v>
      </c>
      <c r="AI8" s="26" t="e">
        <f>SUMIFS(#REF!,#REF!,$C8,#REF!,AI$3)</f>
        <v>#REF!</v>
      </c>
    </row>
    <row r="9" spans="2:35" ht="20.100000000000001" customHeight="1" x14ac:dyDescent="0.25">
      <c r="B9" s="24">
        <v>5</v>
      </c>
      <c r="C9" s="89" t="e">
        <f>#REF!</f>
        <v>#REF!</v>
      </c>
      <c r="D9" s="25" t="e">
        <f t="shared" si="1"/>
        <v>#REF!</v>
      </c>
      <c r="E9" s="26" t="e">
        <f>SUMIFS(#REF!,#REF!,$C9,#REF!,E$3)</f>
        <v>#REF!</v>
      </c>
      <c r="F9" s="26" t="e">
        <f>SUMIFS(#REF!,#REF!,$C9,#REF!,F$3)</f>
        <v>#REF!</v>
      </c>
      <c r="G9" s="26" t="e">
        <f>SUMIFS(#REF!,#REF!,$C9,#REF!,G$3)</f>
        <v>#REF!</v>
      </c>
      <c r="H9" s="26" t="e">
        <f>SUMIFS(#REF!,#REF!,$C9,#REF!,H$3)</f>
        <v>#REF!</v>
      </c>
      <c r="I9" s="26" t="e">
        <f>SUMIFS(#REF!,#REF!,$C9,#REF!,I$3)</f>
        <v>#REF!</v>
      </c>
      <c r="J9" s="26" t="e">
        <f>SUMIFS(#REF!,#REF!,$C9,#REF!,J$3)</f>
        <v>#REF!</v>
      </c>
      <c r="K9" s="26" t="e">
        <f>SUMIFS(#REF!,#REF!,$C9,#REF!,K$3)</f>
        <v>#REF!</v>
      </c>
      <c r="L9" s="26" t="e">
        <f>SUMIFS(#REF!,#REF!,$C9,#REF!,L$3)</f>
        <v>#REF!</v>
      </c>
      <c r="M9" s="26" t="e">
        <f>SUMIFS(#REF!,#REF!,$C9,#REF!,M$3)</f>
        <v>#REF!</v>
      </c>
      <c r="N9" s="26" t="e">
        <f>SUMIFS(#REF!,#REF!,$C9,#REF!,N$3)</f>
        <v>#REF!</v>
      </c>
      <c r="O9" s="26" t="e">
        <f>SUMIFS(#REF!,#REF!,$C9,#REF!,O$3)</f>
        <v>#REF!</v>
      </c>
      <c r="P9" s="26" t="e">
        <f>SUMIFS(#REF!,#REF!,$C9,#REF!,P$3)</f>
        <v>#REF!</v>
      </c>
      <c r="Q9" s="26" t="e">
        <f>SUMIFS(#REF!,#REF!,$C9,#REF!,Q$3)</f>
        <v>#REF!</v>
      </c>
      <c r="R9" s="26" t="e">
        <f>SUMIFS(#REF!,#REF!,$C9,#REF!,R$3)</f>
        <v>#REF!</v>
      </c>
      <c r="S9" s="26" t="e">
        <f>SUMIFS(#REF!,#REF!,$C9,#REF!,S$3)</f>
        <v>#REF!</v>
      </c>
      <c r="T9" s="26" t="e">
        <f>SUMIFS(#REF!,#REF!,$C9,#REF!,T$3)</f>
        <v>#REF!</v>
      </c>
      <c r="U9" s="26" t="e">
        <f>SUMIFS(#REF!,#REF!,$C9,#REF!,U$3)</f>
        <v>#REF!</v>
      </c>
      <c r="V9" s="26" t="e">
        <f>SUMIFS(#REF!,#REF!,$C9,#REF!,V$3)</f>
        <v>#REF!</v>
      </c>
      <c r="W9" s="26" t="e">
        <f>SUMIFS(#REF!,#REF!,$C9,#REF!,W$3)</f>
        <v>#REF!</v>
      </c>
      <c r="X9" s="26" t="e">
        <f>SUMIFS(#REF!,#REF!,$C9,#REF!,X$3)</f>
        <v>#REF!</v>
      </c>
      <c r="Y9" s="26" t="e">
        <f>SUMIFS(#REF!,#REF!,$C9,#REF!,Y$3)</f>
        <v>#REF!</v>
      </c>
      <c r="Z9" s="26" t="e">
        <f>SUMIFS(#REF!,#REF!,$C9,#REF!,Z$3)</f>
        <v>#REF!</v>
      </c>
      <c r="AA9" s="26" t="e">
        <f>SUMIFS(#REF!,#REF!,$C9,#REF!,AA$3)</f>
        <v>#REF!</v>
      </c>
      <c r="AB9" s="26" t="e">
        <f>SUMIFS(#REF!,#REF!,$C9,#REF!,AB$3)</f>
        <v>#REF!</v>
      </c>
      <c r="AC9" s="26" t="e">
        <f>SUMIFS(#REF!,#REF!,$C9,#REF!,AC$3)</f>
        <v>#REF!</v>
      </c>
      <c r="AD9" s="26" t="e">
        <f>SUMIFS(#REF!,#REF!,$C9,#REF!,AD$3)</f>
        <v>#REF!</v>
      </c>
      <c r="AE9" s="26" t="e">
        <f>SUMIFS(#REF!,#REF!,$C9,#REF!,AE$3)</f>
        <v>#REF!</v>
      </c>
      <c r="AF9" s="26" t="e">
        <f>SUMIFS(#REF!,#REF!,$C9,#REF!,AF$3)</f>
        <v>#REF!</v>
      </c>
      <c r="AG9" s="26" t="e">
        <f>SUMIFS(#REF!,#REF!,$C9,#REF!,AG$3)</f>
        <v>#REF!</v>
      </c>
      <c r="AH9" s="26" t="e">
        <f>SUMIFS(#REF!,#REF!,$C9,#REF!,AH$3)</f>
        <v>#REF!</v>
      </c>
      <c r="AI9" s="26" t="e">
        <f>SUMIFS(#REF!,#REF!,$C9,#REF!,AI$3)</f>
        <v>#REF!</v>
      </c>
    </row>
    <row r="10" spans="2:35" ht="20.100000000000001" customHeight="1" x14ac:dyDescent="0.25">
      <c r="B10" s="24">
        <v>6</v>
      </c>
      <c r="C10" s="89" t="e">
        <f>#REF!</f>
        <v>#REF!</v>
      </c>
      <c r="D10" s="25" t="e">
        <f t="shared" si="1"/>
        <v>#REF!</v>
      </c>
      <c r="E10" s="26" t="e">
        <f>SUMIFS(#REF!,#REF!,$C10,#REF!,E$3)</f>
        <v>#REF!</v>
      </c>
      <c r="F10" s="26" t="e">
        <f>SUMIFS(#REF!,#REF!,$C10,#REF!,F$3)</f>
        <v>#REF!</v>
      </c>
      <c r="G10" s="26" t="e">
        <f>SUMIFS(#REF!,#REF!,$C10,#REF!,G$3)</f>
        <v>#REF!</v>
      </c>
      <c r="H10" s="26" t="e">
        <f>SUMIFS(#REF!,#REF!,$C10,#REF!,H$3)</f>
        <v>#REF!</v>
      </c>
      <c r="I10" s="26" t="e">
        <f>SUMIFS(#REF!,#REF!,$C10,#REF!,I$3)</f>
        <v>#REF!</v>
      </c>
      <c r="J10" s="26" t="e">
        <f>SUMIFS(#REF!,#REF!,$C10,#REF!,J$3)</f>
        <v>#REF!</v>
      </c>
      <c r="K10" s="26" t="e">
        <f>SUMIFS(#REF!,#REF!,$C10,#REF!,K$3)</f>
        <v>#REF!</v>
      </c>
      <c r="L10" s="26" t="e">
        <f>SUMIFS(#REF!,#REF!,$C10,#REF!,L$3)</f>
        <v>#REF!</v>
      </c>
      <c r="M10" s="26" t="e">
        <f>SUMIFS(#REF!,#REF!,$C10,#REF!,M$3)</f>
        <v>#REF!</v>
      </c>
      <c r="N10" s="26" t="e">
        <f>SUMIFS(#REF!,#REF!,$C10,#REF!,N$3)</f>
        <v>#REF!</v>
      </c>
      <c r="O10" s="26" t="e">
        <f>SUMIFS(#REF!,#REF!,$C10,#REF!,O$3)</f>
        <v>#REF!</v>
      </c>
      <c r="P10" s="26" t="e">
        <f>SUMIFS(#REF!,#REF!,$C10,#REF!,P$3)</f>
        <v>#REF!</v>
      </c>
      <c r="Q10" s="26" t="e">
        <f>SUMIFS(#REF!,#REF!,$C10,#REF!,Q$3)</f>
        <v>#REF!</v>
      </c>
      <c r="R10" s="26" t="e">
        <f>SUMIFS(#REF!,#REF!,$C10,#REF!,R$3)</f>
        <v>#REF!</v>
      </c>
      <c r="S10" s="26" t="e">
        <f>SUMIFS(#REF!,#REF!,$C10,#REF!,S$3)</f>
        <v>#REF!</v>
      </c>
      <c r="T10" s="26" t="e">
        <f>SUMIFS(#REF!,#REF!,$C10,#REF!,T$3)</f>
        <v>#REF!</v>
      </c>
      <c r="U10" s="26" t="e">
        <f>SUMIFS(#REF!,#REF!,$C10,#REF!,U$3)</f>
        <v>#REF!</v>
      </c>
      <c r="V10" s="26" t="e">
        <f>SUMIFS(#REF!,#REF!,$C10,#REF!,V$3)</f>
        <v>#REF!</v>
      </c>
      <c r="W10" s="26" t="e">
        <f>SUMIFS(#REF!,#REF!,$C10,#REF!,W$3)</f>
        <v>#REF!</v>
      </c>
      <c r="X10" s="26" t="e">
        <f>SUMIFS(#REF!,#REF!,$C10,#REF!,X$3)</f>
        <v>#REF!</v>
      </c>
      <c r="Y10" s="26" t="e">
        <f>SUMIFS(#REF!,#REF!,$C10,#REF!,Y$3)</f>
        <v>#REF!</v>
      </c>
      <c r="Z10" s="26" t="e">
        <f>SUMIFS(#REF!,#REF!,$C10,#REF!,Z$3)</f>
        <v>#REF!</v>
      </c>
      <c r="AA10" s="26" t="e">
        <f>SUMIFS(#REF!,#REF!,$C10,#REF!,AA$3)</f>
        <v>#REF!</v>
      </c>
      <c r="AB10" s="26" t="e">
        <f>SUMIFS(#REF!,#REF!,$C10,#REF!,AB$3)</f>
        <v>#REF!</v>
      </c>
      <c r="AC10" s="26" t="e">
        <f>SUMIFS(#REF!,#REF!,$C10,#REF!,AC$3)</f>
        <v>#REF!</v>
      </c>
      <c r="AD10" s="26" t="e">
        <f>SUMIFS(#REF!,#REF!,$C10,#REF!,AD$3)</f>
        <v>#REF!</v>
      </c>
      <c r="AE10" s="26" t="e">
        <f>SUMIFS(#REF!,#REF!,$C10,#REF!,AE$3)</f>
        <v>#REF!</v>
      </c>
      <c r="AF10" s="26" t="e">
        <f>SUMIFS(#REF!,#REF!,$C10,#REF!,AF$3)</f>
        <v>#REF!</v>
      </c>
      <c r="AG10" s="26" t="e">
        <f>SUMIFS(#REF!,#REF!,$C10,#REF!,AG$3)</f>
        <v>#REF!</v>
      </c>
      <c r="AH10" s="26" t="e">
        <f>SUMIFS(#REF!,#REF!,$C10,#REF!,AH$3)</f>
        <v>#REF!</v>
      </c>
      <c r="AI10" s="26" t="e">
        <f>SUMIFS(#REF!,#REF!,$C10,#REF!,AI$3)</f>
        <v>#REF!</v>
      </c>
    </row>
    <row r="11" spans="2:35" ht="20.100000000000001" customHeight="1" x14ac:dyDescent="0.25">
      <c r="B11" s="24">
        <v>7</v>
      </c>
      <c r="C11" s="89" t="e">
        <f>#REF!</f>
        <v>#REF!</v>
      </c>
      <c r="D11" s="25" t="e">
        <f t="shared" si="1"/>
        <v>#REF!</v>
      </c>
      <c r="E11" s="26" t="e">
        <f>SUMIFS(#REF!,#REF!,$C11,#REF!,E$3)</f>
        <v>#REF!</v>
      </c>
      <c r="F11" s="26" t="e">
        <f>SUMIFS(#REF!,#REF!,$C11,#REF!,F$3)</f>
        <v>#REF!</v>
      </c>
      <c r="G11" s="26" t="e">
        <f>SUMIFS(#REF!,#REF!,$C11,#REF!,G$3)</f>
        <v>#REF!</v>
      </c>
      <c r="H11" s="26" t="e">
        <f>SUMIFS(#REF!,#REF!,$C11,#REF!,H$3)</f>
        <v>#REF!</v>
      </c>
      <c r="I11" s="26" t="e">
        <f>SUMIFS(#REF!,#REF!,$C11,#REF!,I$3)</f>
        <v>#REF!</v>
      </c>
      <c r="J11" s="26" t="e">
        <f>SUMIFS(#REF!,#REF!,$C11,#REF!,J$3)</f>
        <v>#REF!</v>
      </c>
      <c r="K11" s="26" t="e">
        <f>SUMIFS(#REF!,#REF!,$C11,#REF!,K$3)</f>
        <v>#REF!</v>
      </c>
      <c r="L11" s="26" t="e">
        <f>SUMIFS(#REF!,#REF!,$C11,#REF!,L$3)</f>
        <v>#REF!</v>
      </c>
      <c r="M11" s="26" t="e">
        <f>SUMIFS(#REF!,#REF!,$C11,#REF!,M$3)</f>
        <v>#REF!</v>
      </c>
      <c r="N11" s="26" t="e">
        <f>SUMIFS(#REF!,#REF!,$C11,#REF!,N$3)</f>
        <v>#REF!</v>
      </c>
      <c r="O11" s="26" t="e">
        <f>SUMIFS(#REF!,#REF!,$C11,#REF!,O$3)</f>
        <v>#REF!</v>
      </c>
      <c r="P11" s="26" t="e">
        <f>SUMIFS(#REF!,#REF!,$C11,#REF!,P$3)</f>
        <v>#REF!</v>
      </c>
      <c r="Q11" s="26" t="e">
        <f>SUMIFS(#REF!,#REF!,$C11,#REF!,Q$3)</f>
        <v>#REF!</v>
      </c>
      <c r="R11" s="26" t="e">
        <f>SUMIFS(#REF!,#REF!,$C11,#REF!,R$3)</f>
        <v>#REF!</v>
      </c>
      <c r="S11" s="26" t="e">
        <f>SUMIFS(#REF!,#REF!,$C11,#REF!,S$3)</f>
        <v>#REF!</v>
      </c>
      <c r="T11" s="26" t="e">
        <f>SUMIFS(#REF!,#REF!,$C11,#REF!,T$3)</f>
        <v>#REF!</v>
      </c>
      <c r="U11" s="26" t="e">
        <f>SUMIFS(#REF!,#REF!,$C11,#REF!,U$3)</f>
        <v>#REF!</v>
      </c>
      <c r="V11" s="26" t="e">
        <f>SUMIFS(#REF!,#REF!,$C11,#REF!,V$3)</f>
        <v>#REF!</v>
      </c>
      <c r="W11" s="26" t="e">
        <f>SUMIFS(#REF!,#REF!,$C11,#REF!,W$3)</f>
        <v>#REF!</v>
      </c>
      <c r="X11" s="26" t="e">
        <f>SUMIFS(#REF!,#REF!,$C11,#REF!,X$3)</f>
        <v>#REF!</v>
      </c>
      <c r="Y11" s="26" t="e">
        <f>SUMIFS(#REF!,#REF!,$C11,#REF!,Y$3)</f>
        <v>#REF!</v>
      </c>
      <c r="Z11" s="26" t="e">
        <f>SUMIFS(#REF!,#REF!,$C11,#REF!,Z$3)</f>
        <v>#REF!</v>
      </c>
      <c r="AA11" s="26" t="e">
        <f>SUMIFS(#REF!,#REF!,$C11,#REF!,AA$3)</f>
        <v>#REF!</v>
      </c>
      <c r="AB11" s="26" t="e">
        <f>SUMIFS(#REF!,#REF!,$C11,#REF!,AB$3)</f>
        <v>#REF!</v>
      </c>
      <c r="AC11" s="26" t="e">
        <f>SUMIFS(#REF!,#REF!,$C11,#REF!,AC$3)</f>
        <v>#REF!</v>
      </c>
      <c r="AD11" s="26" t="e">
        <f>SUMIFS(#REF!,#REF!,$C11,#REF!,AD$3)</f>
        <v>#REF!</v>
      </c>
      <c r="AE11" s="26" t="e">
        <f>SUMIFS(#REF!,#REF!,$C11,#REF!,AE$3)</f>
        <v>#REF!</v>
      </c>
      <c r="AF11" s="26" t="e">
        <f>SUMIFS(#REF!,#REF!,$C11,#REF!,AF$3)</f>
        <v>#REF!</v>
      </c>
      <c r="AG11" s="26" t="e">
        <f>SUMIFS(#REF!,#REF!,$C11,#REF!,AG$3)</f>
        <v>#REF!</v>
      </c>
      <c r="AH11" s="26" t="e">
        <f>SUMIFS(#REF!,#REF!,$C11,#REF!,AH$3)</f>
        <v>#REF!</v>
      </c>
      <c r="AI11" s="26" t="e">
        <f>SUMIFS(#REF!,#REF!,$C11,#REF!,AI$3)</f>
        <v>#REF!</v>
      </c>
    </row>
    <row r="12" spans="2:35" ht="20.100000000000001" customHeight="1" x14ac:dyDescent="0.25">
      <c r="B12" s="24">
        <v>8</v>
      </c>
      <c r="C12" s="89" t="e">
        <f>#REF!</f>
        <v>#REF!</v>
      </c>
      <c r="D12" s="25" t="e">
        <f t="shared" si="1"/>
        <v>#REF!</v>
      </c>
      <c r="E12" s="26" t="e">
        <f>SUMIFS(#REF!,#REF!,$C12,#REF!,E$3)</f>
        <v>#REF!</v>
      </c>
      <c r="F12" s="26" t="e">
        <f>SUMIFS(#REF!,#REF!,$C12,#REF!,F$3)</f>
        <v>#REF!</v>
      </c>
      <c r="G12" s="26" t="e">
        <f>SUMIFS(#REF!,#REF!,$C12,#REF!,G$3)</f>
        <v>#REF!</v>
      </c>
      <c r="H12" s="26" t="e">
        <f>SUMIFS(#REF!,#REF!,$C12,#REF!,H$3)</f>
        <v>#REF!</v>
      </c>
      <c r="I12" s="26" t="e">
        <f>SUMIFS(#REF!,#REF!,$C12,#REF!,I$3)</f>
        <v>#REF!</v>
      </c>
      <c r="J12" s="26" t="e">
        <f>SUMIFS(#REF!,#REF!,$C12,#REF!,J$3)</f>
        <v>#REF!</v>
      </c>
      <c r="K12" s="26" t="e">
        <f>SUMIFS(#REF!,#REF!,$C12,#REF!,K$3)</f>
        <v>#REF!</v>
      </c>
      <c r="L12" s="26" t="e">
        <f>SUMIFS(#REF!,#REF!,$C12,#REF!,L$3)</f>
        <v>#REF!</v>
      </c>
      <c r="M12" s="26" t="e">
        <f>SUMIFS(#REF!,#REF!,$C12,#REF!,M$3)</f>
        <v>#REF!</v>
      </c>
      <c r="N12" s="26" t="e">
        <f>SUMIFS(#REF!,#REF!,$C12,#REF!,N$3)</f>
        <v>#REF!</v>
      </c>
      <c r="O12" s="26" t="e">
        <f>SUMIFS(#REF!,#REF!,$C12,#REF!,O$3)</f>
        <v>#REF!</v>
      </c>
      <c r="P12" s="26" t="e">
        <f>SUMIFS(#REF!,#REF!,$C12,#REF!,P$3)</f>
        <v>#REF!</v>
      </c>
      <c r="Q12" s="26" t="e">
        <f>SUMIFS(#REF!,#REF!,$C12,#REF!,Q$3)</f>
        <v>#REF!</v>
      </c>
      <c r="R12" s="26" t="e">
        <f>SUMIFS(#REF!,#REF!,$C12,#REF!,R$3)</f>
        <v>#REF!</v>
      </c>
      <c r="S12" s="26" t="e">
        <f>SUMIFS(#REF!,#REF!,$C12,#REF!,S$3)</f>
        <v>#REF!</v>
      </c>
      <c r="T12" s="26" t="e">
        <f>SUMIFS(#REF!,#REF!,$C12,#REF!,T$3)</f>
        <v>#REF!</v>
      </c>
      <c r="U12" s="26" t="e">
        <f>SUMIFS(#REF!,#REF!,$C12,#REF!,U$3)</f>
        <v>#REF!</v>
      </c>
      <c r="V12" s="26" t="e">
        <f>SUMIFS(#REF!,#REF!,$C12,#REF!,V$3)</f>
        <v>#REF!</v>
      </c>
      <c r="W12" s="26" t="e">
        <f>SUMIFS(#REF!,#REF!,$C12,#REF!,W$3)</f>
        <v>#REF!</v>
      </c>
      <c r="X12" s="26" t="e">
        <f>SUMIFS(#REF!,#REF!,$C12,#REF!,X$3)</f>
        <v>#REF!</v>
      </c>
      <c r="Y12" s="26" t="e">
        <f>SUMIFS(#REF!,#REF!,$C12,#REF!,Y$3)</f>
        <v>#REF!</v>
      </c>
      <c r="Z12" s="26" t="e">
        <f>SUMIFS(#REF!,#REF!,$C12,#REF!,Z$3)</f>
        <v>#REF!</v>
      </c>
      <c r="AA12" s="26" t="e">
        <f>SUMIFS(#REF!,#REF!,$C12,#REF!,AA$3)</f>
        <v>#REF!</v>
      </c>
      <c r="AB12" s="26" t="e">
        <f>SUMIFS(#REF!,#REF!,$C12,#REF!,AB$3)</f>
        <v>#REF!</v>
      </c>
      <c r="AC12" s="26" t="e">
        <f>SUMIFS(#REF!,#REF!,$C12,#REF!,AC$3)</f>
        <v>#REF!</v>
      </c>
      <c r="AD12" s="26" t="e">
        <f>SUMIFS(#REF!,#REF!,$C12,#REF!,AD$3)</f>
        <v>#REF!</v>
      </c>
      <c r="AE12" s="26" t="e">
        <f>SUMIFS(#REF!,#REF!,$C12,#REF!,AE$3)</f>
        <v>#REF!</v>
      </c>
      <c r="AF12" s="26" t="e">
        <f>SUMIFS(#REF!,#REF!,$C12,#REF!,AF$3)</f>
        <v>#REF!</v>
      </c>
      <c r="AG12" s="26" t="e">
        <f>SUMIFS(#REF!,#REF!,$C12,#REF!,AG$3)</f>
        <v>#REF!</v>
      </c>
      <c r="AH12" s="26" t="e">
        <f>SUMIFS(#REF!,#REF!,$C12,#REF!,AH$3)</f>
        <v>#REF!</v>
      </c>
      <c r="AI12" s="26" t="e">
        <f>SUMIFS(#REF!,#REF!,$C12,#REF!,AI$3)</f>
        <v>#REF!</v>
      </c>
    </row>
    <row r="13" spans="2:35" ht="20.100000000000001" customHeight="1" x14ac:dyDescent="0.25">
      <c r="B13" s="24">
        <v>9</v>
      </c>
      <c r="C13" s="89" t="e">
        <f>#REF!</f>
        <v>#REF!</v>
      </c>
      <c r="D13" s="25" t="e">
        <f t="shared" si="1"/>
        <v>#REF!</v>
      </c>
      <c r="E13" s="26" t="e">
        <f>SUMIFS(#REF!,#REF!,$C13,#REF!,E$3)</f>
        <v>#REF!</v>
      </c>
      <c r="F13" s="26" t="e">
        <f>SUMIFS(#REF!,#REF!,$C13,#REF!,F$3)</f>
        <v>#REF!</v>
      </c>
      <c r="G13" s="26" t="e">
        <f>SUMIFS(#REF!,#REF!,$C13,#REF!,G$3)</f>
        <v>#REF!</v>
      </c>
      <c r="H13" s="26" t="e">
        <f>SUMIFS(#REF!,#REF!,$C13,#REF!,H$3)</f>
        <v>#REF!</v>
      </c>
      <c r="I13" s="26" t="e">
        <f>SUMIFS(#REF!,#REF!,$C13,#REF!,I$3)</f>
        <v>#REF!</v>
      </c>
      <c r="J13" s="26" t="e">
        <f>SUMIFS(#REF!,#REF!,$C13,#REF!,J$3)</f>
        <v>#REF!</v>
      </c>
      <c r="K13" s="26" t="e">
        <f>SUMIFS(#REF!,#REF!,$C13,#REF!,K$3)</f>
        <v>#REF!</v>
      </c>
      <c r="L13" s="26" t="e">
        <f>SUMIFS(#REF!,#REF!,$C13,#REF!,L$3)</f>
        <v>#REF!</v>
      </c>
      <c r="M13" s="26" t="e">
        <f>SUMIFS(#REF!,#REF!,$C13,#REF!,M$3)</f>
        <v>#REF!</v>
      </c>
      <c r="N13" s="26" t="e">
        <f>SUMIFS(#REF!,#REF!,$C13,#REF!,N$3)</f>
        <v>#REF!</v>
      </c>
      <c r="O13" s="26" t="e">
        <f>SUMIFS(#REF!,#REF!,$C13,#REF!,O$3)</f>
        <v>#REF!</v>
      </c>
      <c r="P13" s="26" t="e">
        <f>SUMIFS(#REF!,#REF!,$C13,#REF!,P$3)</f>
        <v>#REF!</v>
      </c>
      <c r="Q13" s="26" t="e">
        <f>SUMIFS(#REF!,#REF!,$C13,#REF!,Q$3)</f>
        <v>#REF!</v>
      </c>
      <c r="R13" s="26" t="e">
        <f>SUMIFS(#REF!,#REF!,$C13,#REF!,R$3)</f>
        <v>#REF!</v>
      </c>
      <c r="S13" s="26" t="e">
        <f>SUMIFS(#REF!,#REF!,$C13,#REF!,S$3)</f>
        <v>#REF!</v>
      </c>
      <c r="T13" s="26" t="e">
        <f>SUMIFS(#REF!,#REF!,$C13,#REF!,T$3)</f>
        <v>#REF!</v>
      </c>
      <c r="U13" s="26" t="e">
        <f>SUMIFS(#REF!,#REF!,$C13,#REF!,U$3)</f>
        <v>#REF!</v>
      </c>
      <c r="V13" s="26" t="e">
        <f>SUMIFS(#REF!,#REF!,$C13,#REF!,V$3)</f>
        <v>#REF!</v>
      </c>
      <c r="W13" s="26" t="e">
        <f>SUMIFS(#REF!,#REF!,$C13,#REF!,W$3)</f>
        <v>#REF!</v>
      </c>
      <c r="X13" s="26" t="e">
        <f>SUMIFS(#REF!,#REF!,$C13,#REF!,X$3)</f>
        <v>#REF!</v>
      </c>
      <c r="Y13" s="26" t="e">
        <f>SUMIFS(#REF!,#REF!,$C13,#REF!,Y$3)</f>
        <v>#REF!</v>
      </c>
      <c r="Z13" s="26" t="e">
        <f>SUMIFS(#REF!,#REF!,$C13,#REF!,Z$3)</f>
        <v>#REF!</v>
      </c>
      <c r="AA13" s="26" t="e">
        <f>SUMIFS(#REF!,#REF!,$C13,#REF!,AA$3)</f>
        <v>#REF!</v>
      </c>
      <c r="AB13" s="26" t="e">
        <f>SUMIFS(#REF!,#REF!,$C13,#REF!,AB$3)</f>
        <v>#REF!</v>
      </c>
      <c r="AC13" s="26" t="e">
        <f>SUMIFS(#REF!,#REF!,$C13,#REF!,AC$3)</f>
        <v>#REF!</v>
      </c>
      <c r="AD13" s="26" t="e">
        <f>SUMIFS(#REF!,#REF!,$C13,#REF!,AD$3)</f>
        <v>#REF!</v>
      </c>
      <c r="AE13" s="26" t="e">
        <f>SUMIFS(#REF!,#REF!,$C13,#REF!,AE$3)</f>
        <v>#REF!</v>
      </c>
      <c r="AF13" s="26" t="e">
        <f>SUMIFS(#REF!,#REF!,$C13,#REF!,AF$3)</f>
        <v>#REF!</v>
      </c>
      <c r="AG13" s="26" t="e">
        <f>SUMIFS(#REF!,#REF!,$C13,#REF!,AG$3)</f>
        <v>#REF!</v>
      </c>
      <c r="AH13" s="26" t="e">
        <f>SUMIFS(#REF!,#REF!,$C13,#REF!,AH$3)</f>
        <v>#REF!</v>
      </c>
      <c r="AI13" s="26" t="e">
        <f>SUMIFS(#REF!,#REF!,$C13,#REF!,AI$3)</f>
        <v>#REF!</v>
      </c>
    </row>
    <row r="14" spans="2:35" ht="20.100000000000001" customHeight="1" x14ac:dyDescent="0.25">
      <c r="B14" s="24">
        <v>10</v>
      </c>
      <c r="C14" s="89" t="e">
        <f>#REF!</f>
        <v>#REF!</v>
      </c>
      <c r="D14" s="25" t="e">
        <f t="shared" si="1"/>
        <v>#REF!</v>
      </c>
      <c r="E14" s="26" t="e">
        <f>SUMIFS(#REF!,#REF!,$C14,#REF!,E$3)</f>
        <v>#REF!</v>
      </c>
      <c r="F14" s="26" t="e">
        <f>SUMIFS(#REF!,#REF!,$C14,#REF!,F$3)</f>
        <v>#REF!</v>
      </c>
      <c r="G14" s="26" t="e">
        <f>SUMIFS(#REF!,#REF!,$C14,#REF!,G$3)</f>
        <v>#REF!</v>
      </c>
      <c r="H14" s="26" t="e">
        <f>SUMIFS(#REF!,#REF!,$C14,#REF!,H$3)</f>
        <v>#REF!</v>
      </c>
      <c r="I14" s="26" t="e">
        <f>SUMIFS(#REF!,#REF!,$C14,#REF!,I$3)</f>
        <v>#REF!</v>
      </c>
      <c r="J14" s="26" t="e">
        <f>SUMIFS(#REF!,#REF!,$C14,#REF!,J$3)</f>
        <v>#REF!</v>
      </c>
      <c r="K14" s="26" t="e">
        <f>SUMIFS(#REF!,#REF!,$C14,#REF!,K$3)</f>
        <v>#REF!</v>
      </c>
      <c r="L14" s="26" t="e">
        <f>SUMIFS(#REF!,#REF!,$C14,#REF!,L$3)</f>
        <v>#REF!</v>
      </c>
      <c r="M14" s="26" t="e">
        <f>SUMIFS(#REF!,#REF!,$C14,#REF!,M$3)</f>
        <v>#REF!</v>
      </c>
      <c r="N14" s="26" t="e">
        <f>SUMIFS(#REF!,#REF!,$C14,#REF!,N$3)</f>
        <v>#REF!</v>
      </c>
      <c r="O14" s="26" t="e">
        <f>SUMIFS(#REF!,#REF!,$C14,#REF!,O$3)</f>
        <v>#REF!</v>
      </c>
      <c r="P14" s="26" t="e">
        <f>SUMIFS(#REF!,#REF!,$C14,#REF!,P$3)</f>
        <v>#REF!</v>
      </c>
      <c r="Q14" s="26" t="e">
        <f>SUMIFS(#REF!,#REF!,$C14,#REF!,Q$3)</f>
        <v>#REF!</v>
      </c>
      <c r="R14" s="26" t="e">
        <f>SUMIFS(#REF!,#REF!,$C14,#REF!,R$3)</f>
        <v>#REF!</v>
      </c>
      <c r="S14" s="26" t="e">
        <f>SUMIFS(#REF!,#REF!,$C14,#REF!,S$3)</f>
        <v>#REF!</v>
      </c>
      <c r="T14" s="26" t="e">
        <f>SUMIFS(#REF!,#REF!,$C14,#REF!,T$3)</f>
        <v>#REF!</v>
      </c>
      <c r="U14" s="26" t="e">
        <f>SUMIFS(#REF!,#REF!,$C14,#REF!,U$3)</f>
        <v>#REF!</v>
      </c>
      <c r="V14" s="26" t="e">
        <f>SUMIFS(#REF!,#REF!,$C14,#REF!,V$3)</f>
        <v>#REF!</v>
      </c>
      <c r="W14" s="26" t="e">
        <f>SUMIFS(#REF!,#REF!,$C14,#REF!,W$3)</f>
        <v>#REF!</v>
      </c>
      <c r="X14" s="26" t="e">
        <f>SUMIFS(#REF!,#REF!,$C14,#REF!,X$3)</f>
        <v>#REF!</v>
      </c>
      <c r="Y14" s="26" t="e">
        <f>SUMIFS(#REF!,#REF!,$C14,#REF!,Y$3)</f>
        <v>#REF!</v>
      </c>
      <c r="Z14" s="26" t="e">
        <f>SUMIFS(#REF!,#REF!,$C14,#REF!,Z$3)</f>
        <v>#REF!</v>
      </c>
      <c r="AA14" s="26" t="e">
        <f>SUMIFS(#REF!,#REF!,$C14,#REF!,AA$3)</f>
        <v>#REF!</v>
      </c>
      <c r="AB14" s="26" t="e">
        <f>SUMIFS(#REF!,#REF!,$C14,#REF!,AB$3)</f>
        <v>#REF!</v>
      </c>
      <c r="AC14" s="26" t="e">
        <f>SUMIFS(#REF!,#REF!,$C14,#REF!,AC$3)</f>
        <v>#REF!</v>
      </c>
      <c r="AD14" s="26" t="e">
        <f>SUMIFS(#REF!,#REF!,$C14,#REF!,AD$3)</f>
        <v>#REF!</v>
      </c>
      <c r="AE14" s="26" t="e">
        <f>SUMIFS(#REF!,#REF!,$C14,#REF!,AE$3)</f>
        <v>#REF!</v>
      </c>
      <c r="AF14" s="26" t="e">
        <f>SUMIFS(#REF!,#REF!,$C14,#REF!,AF$3)</f>
        <v>#REF!</v>
      </c>
      <c r="AG14" s="26" t="e">
        <f>SUMIFS(#REF!,#REF!,$C14,#REF!,AG$3)</f>
        <v>#REF!</v>
      </c>
      <c r="AH14" s="26" t="e">
        <f>SUMIFS(#REF!,#REF!,$C14,#REF!,AH$3)</f>
        <v>#REF!</v>
      </c>
      <c r="AI14" s="26" t="e">
        <f>SUMIFS(#REF!,#REF!,$C14,#REF!,AI$3)</f>
        <v>#REF!</v>
      </c>
    </row>
    <row r="15" spans="2:35" ht="20.100000000000001" customHeight="1" x14ac:dyDescent="0.25">
      <c r="B15" s="24">
        <v>11</v>
      </c>
      <c r="C15" s="89" t="e">
        <f>#REF!</f>
        <v>#REF!</v>
      </c>
      <c r="D15" s="25" t="e">
        <f t="shared" si="1"/>
        <v>#REF!</v>
      </c>
      <c r="E15" s="26" t="e">
        <f>SUMIFS(#REF!,#REF!,$C15,#REF!,E$3)</f>
        <v>#REF!</v>
      </c>
      <c r="F15" s="26" t="e">
        <f>SUMIFS(#REF!,#REF!,$C15,#REF!,F$3)</f>
        <v>#REF!</v>
      </c>
      <c r="G15" s="26" t="e">
        <f>SUMIFS(#REF!,#REF!,$C15,#REF!,G$3)</f>
        <v>#REF!</v>
      </c>
      <c r="H15" s="26" t="e">
        <f>SUMIFS(#REF!,#REF!,$C15,#REF!,H$3)</f>
        <v>#REF!</v>
      </c>
      <c r="I15" s="26" t="e">
        <f>SUMIFS(#REF!,#REF!,$C15,#REF!,I$3)</f>
        <v>#REF!</v>
      </c>
      <c r="J15" s="26" t="e">
        <f>SUMIFS(#REF!,#REF!,$C15,#REF!,J$3)</f>
        <v>#REF!</v>
      </c>
      <c r="K15" s="26" t="e">
        <f>SUMIFS(#REF!,#REF!,$C15,#REF!,K$3)</f>
        <v>#REF!</v>
      </c>
      <c r="L15" s="26" t="e">
        <f>SUMIFS(#REF!,#REF!,$C15,#REF!,L$3)</f>
        <v>#REF!</v>
      </c>
      <c r="M15" s="26" t="e">
        <f>SUMIFS(#REF!,#REF!,$C15,#REF!,M$3)</f>
        <v>#REF!</v>
      </c>
      <c r="N15" s="26" t="e">
        <f>SUMIFS(#REF!,#REF!,$C15,#REF!,N$3)</f>
        <v>#REF!</v>
      </c>
      <c r="O15" s="26" t="e">
        <f>SUMIFS(#REF!,#REF!,$C15,#REF!,O$3)</f>
        <v>#REF!</v>
      </c>
      <c r="P15" s="26" t="e">
        <f>SUMIFS(#REF!,#REF!,$C15,#REF!,P$3)</f>
        <v>#REF!</v>
      </c>
      <c r="Q15" s="26" t="e">
        <f>SUMIFS(#REF!,#REF!,$C15,#REF!,Q$3)</f>
        <v>#REF!</v>
      </c>
      <c r="R15" s="26" t="e">
        <f>SUMIFS(#REF!,#REF!,$C15,#REF!,R$3)</f>
        <v>#REF!</v>
      </c>
      <c r="S15" s="26" t="e">
        <f>SUMIFS(#REF!,#REF!,$C15,#REF!,S$3)</f>
        <v>#REF!</v>
      </c>
      <c r="T15" s="26" t="e">
        <f>SUMIFS(#REF!,#REF!,$C15,#REF!,T$3)</f>
        <v>#REF!</v>
      </c>
      <c r="U15" s="26" t="e">
        <f>SUMIFS(#REF!,#REF!,$C15,#REF!,U$3)</f>
        <v>#REF!</v>
      </c>
      <c r="V15" s="26" t="e">
        <f>SUMIFS(#REF!,#REF!,$C15,#REF!,V$3)</f>
        <v>#REF!</v>
      </c>
      <c r="W15" s="26" t="e">
        <f>SUMIFS(#REF!,#REF!,$C15,#REF!,W$3)</f>
        <v>#REF!</v>
      </c>
      <c r="X15" s="26" t="e">
        <f>SUMIFS(#REF!,#REF!,$C15,#REF!,X$3)</f>
        <v>#REF!</v>
      </c>
      <c r="Y15" s="26" t="e">
        <f>SUMIFS(#REF!,#REF!,$C15,#REF!,Y$3)</f>
        <v>#REF!</v>
      </c>
      <c r="Z15" s="26" t="e">
        <f>SUMIFS(#REF!,#REF!,$C15,#REF!,Z$3)</f>
        <v>#REF!</v>
      </c>
      <c r="AA15" s="26" t="e">
        <f>SUMIFS(#REF!,#REF!,$C15,#REF!,AA$3)</f>
        <v>#REF!</v>
      </c>
      <c r="AB15" s="26" t="e">
        <f>SUMIFS(#REF!,#REF!,$C15,#REF!,AB$3)</f>
        <v>#REF!</v>
      </c>
      <c r="AC15" s="26" t="e">
        <f>SUMIFS(#REF!,#REF!,$C15,#REF!,AC$3)</f>
        <v>#REF!</v>
      </c>
      <c r="AD15" s="26" t="e">
        <f>SUMIFS(#REF!,#REF!,$C15,#REF!,AD$3)</f>
        <v>#REF!</v>
      </c>
      <c r="AE15" s="26" t="e">
        <f>SUMIFS(#REF!,#REF!,$C15,#REF!,AE$3)</f>
        <v>#REF!</v>
      </c>
      <c r="AF15" s="26" t="e">
        <f>SUMIFS(#REF!,#REF!,$C15,#REF!,AF$3)</f>
        <v>#REF!</v>
      </c>
      <c r="AG15" s="26" t="e">
        <f>SUMIFS(#REF!,#REF!,$C15,#REF!,AG$3)</f>
        <v>#REF!</v>
      </c>
      <c r="AH15" s="26" t="e">
        <f>SUMIFS(#REF!,#REF!,$C15,#REF!,AH$3)</f>
        <v>#REF!</v>
      </c>
      <c r="AI15" s="26" t="e">
        <f>SUMIFS(#REF!,#REF!,$C15,#REF!,AI$3)</f>
        <v>#REF!</v>
      </c>
    </row>
    <row r="16" spans="2:35" ht="20.100000000000001" customHeight="1" x14ac:dyDescent="0.25">
      <c r="B16" s="24">
        <v>12</v>
      </c>
      <c r="C16" s="89" t="e">
        <f>#REF!</f>
        <v>#REF!</v>
      </c>
      <c r="D16" s="25" t="e">
        <f t="shared" si="1"/>
        <v>#REF!</v>
      </c>
      <c r="E16" s="26" t="e">
        <f>SUMIFS(#REF!,#REF!,$C16,#REF!,E$3)</f>
        <v>#REF!</v>
      </c>
      <c r="F16" s="26" t="e">
        <f>SUMIFS(#REF!,#REF!,$C16,#REF!,F$3)</f>
        <v>#REF!</v>
      </c>
      <c r="G16" s="26" t="e">
        <f>SUMIFS(#REF!,#REF!,$C16,#REF!,G$3)</f>
        <v>#REF!</v>
      </c>
      <c r="H16" s="26" t="e">
        <f>SUMIFS(#REF!,#REF!,$C16,#REF!,H$3)</f>
        <v>#REF!</v>
      </c>
      <c r="I16" s="26" t="e">
        <f>SUMIFS(#REF!,#REF!,$C16,#REF!,I$3)</f>
        <v>#REF!</v>
      </c>
      <c r="J16" s="26" t="e">
        <f>SUMIFS(#REF!,#REF!,$C16,#REF!,J$3)</f>
        <v>#REF!</v>
      </c>
      <c r="K16" s="26" t="e">
        <f>SUMIFS(#REF!,#REF!,$C16,#REF!,K$3)</f>
        <v>#REF!</v>
      </c>
      <c r="L16" s="26" t="e">
        <f>SUMIFS(#REF!,#REF!,$C16,#REF!,L$3)</f>
        <v>#REF!</v>
      </c>
      <c r="M16" s="26" t="e">
        <f>SUMIFS(#REF!,#REF!,$C16,#REF!,M$3)</f>
        <v>#REF!</v>
      </c>
      <c r="N16" s="26" t="e">
        <f>SUMIFS(#REF!,#REF!,$C16,#REF!,N$3)</f>
        <v>#REF!</v>
      </c>
      <c r="O16" s="26" t="e">
        <f>SUMIFS(#REF!,#REF!,$C16,#REF!,O$3)</f>
        <v>#REF!</v>
      </c>
      <c r="P16" s="26" t="e">
        <f>SUMIFS(#REF!,#REF!,$C16,#REF!,P$3)</f>
        <v>#REF!</v>
      </c>
      <c r="Q16" s="26" t="e">
        <f>SUMIFS(#REF!,#REF!,$C16,#REF!,Q$3)</f>
        <v>#REF!</v>
      </c>
      <c r="R16" s="26" t="e">
        <f>SUMIFS(#REF!,#REF!,$C16,#REF!,R$3)</f>
        <v>#REF!</v>
      </c>
      <c r="S16" s="26" t="e">
        <f>SUMIFS(#REF!,#REF!,$C16,#REF!,S$3)</f>
        <v>#REF!</v>
      </c>
      <c r="T16" s="26" t="e">
        <f>SUMIFS(#REF!,#REF!,$C16,#REF!,T$3)</f>
        <v>#REF!</v>
      </c>
      <c r="U16" s="26" t="e">
        <f>SUMIFS(#REF!,#REF!,$C16,#REF!,U$3)</f>
        <v>#REF!</v>
      </c>
      <c r="V16" s="26" t="e">
        <f>SUMIFS(#REF!,#REF!,$C16,#REF!,V$3)</f>
        <v>#REF!</v>
      </c>
      <c r="W16" s="26" t="e">
        <f>SUMIFS(#REF!,#REF!,$C16,#REF!,W$3)</f>
        <v>#REF!</v>
      </c>
      <c r="X16" s="26" t="e">
        <f>SUMIFS(#REF!,#REF!,$C16,#REF!,X$3)</f>
        <v>#REF!</v>
      </c>
      <c r="Y16" s="26" t="e">
        <f>SUMIFS(#REF!,#REF!,$C16,#REF!,Y$3)</f>
        <v>#REF!</v>
      </c>
      <c r="Z16" s="26" t="e">
        <f>SUMIFS(#REF!,#REF!,$C16,#REF!,Z$3)</f>
        <v>#REF!</v>
      </c>
      <c r="AA16" s="26" t="e">
        <f>SUMIFS(#REF!,#REF!,$C16,#REF!,AA$3)</f>
        <v>#REF!</v>
      </c>
      <c r="AB16" s="26" t="e">
        <f>SUMIFS(#REF!,#REF!,$C16,#REF!,AB$3)</f>
        <v>#REF!</v>
      </c>
      <c r="AC16" s="26" t="e">
        <f>SUMIFS(#REF!,#REF!,$C16,#REF!,AC$3)</f>
        <v>#REF!</v>
      </c>
      <c r="AD16" s="26" t="e">
        <f>SUMIFS(#REF!,#REF!,$C16,#REF!,AD$3)</f>
        <v>#REF!</v>
      </c>
      <c r="AE16" s="26" t="e">
        <f>SUMIFS(#REF!,#REF!,$C16,#REF!,AE$3)</f>
        <v>#REF!</v>
      </c>
      <c r="AF16" s="26" t="e">
        <f>SUMIFS(#REF!,#REF!,$C16,#REF!,AF$3)</f>
        <v>#REF!</v>
      </c>
      <c r="AG16" s="26" t="e">
        <f>SUMIFS(#REF!,#REF!,$C16,#REF!,AG$3)</f>
        <v>#REF!</v>
      </c>
      <c r="AH16" s="26" t="e">
        <f>SUMIFS(#REF!,#REF!,$C16,#REF!,AH$3)</f>
        <v>#REF!</v>
      </c>
      <c r="AI16" s="26" t="e">
        <f>SUMIFS(#REF!,#REF!,$C16,#REF!,AI$3)</f>
        <v>#REF!</v>
      </c>
    </row>
    <row r="17" spans="2:35" ht="20.100000000000001" customHeight="1" x14ac:dyDescent="0.25">
      <c r="B17" s="24">
        <v>13</v>
      </c>
      <c r="C17" s="89" t="e">
        <f>#REF!</f>
        <v>#REF!</v>
      </c>
      <c r="D17" s="25" t="e">
        <f t="shared" si="1"/>
        <v>#REF!</v>
      </c>
      <c r="E17" s="26" t="e">
        <f>SUMIFS(#REF!,#REF!,$C17,#REF!,E$3)</f>
        <v>#REF!</v>
      </c>
      <c r="F17" s="26" t="e">
        <f>SUMIFS(#REF!,#REF!,$C17,#REF!,F$3)</f>
        <v>#REF!</v>
      </c>
      <c r="G17" s="26" t="e">
        <f>SUMIFS(#REF!,#REF!,$C17,#REF!,G$3)</f>
        <v>#REF!</v>
      </c>
      <c r="H17" s="26" t="e">
        <f>SUMIFS(#REF!,#REF!,$C17,#REF!,H$3)</f>
        <v>#REF!</v>
      </c>
      <c r="I17" s="26" t="e">
        <f>SUMIFS(#REF!,#REF!,$C17,#REF!,I$3)</f>
        <v>#REF!</v>
      </c>
      <c r="J17" s="26" t="e">
        <f>SUMIFS(#REF!,#REF!,$C17,#REF!,J$3)</f>
        <v>#REF!</v>
      </c>
      <c r="K17" s="26" t="e">
        <f>SUMIFS(#REF!,#REF!,$C17,#REF!,K$3)</f>
        <v>#REF!</v>
      </c>
      <c r="L17" s="26" t="e">
        <f>SUMIFS(#REF!,#REF!,$C17,#REF!,L$3)</f>
        <v>#REF!</v>
      </c>
      <c r="M17" s="26" t="e">
        <f>SUMIFS(#REF!,#REF!,$C17,#REF!,M$3)</f>
        <v>#REF!</v>
      </c>
      <c r="N17" s="26" t="e">
        <f>SUMIFS(#REF!,#REF!,$C17,#REF!,N$3)</f>
        <v>#REF!</v>
      </c>
      <c r="O17" s="26" t="e">
        <f>SUMIFS(#REF!,#REF!,$C17,#REF!,O$3)</f>
        <v>#REF!</v>
      </c>
      <c r="P17" s="26" t="e">
        <f>SUMIFS(#REF!,#REF!,$C17,#REF!,P$3)</f>
        <v>#REF!</v>
      </c>
      <c r="Q17" s="26" t="e">
        <f>SUMIFS(#REF!,#REF!,$C17,#REF!,Q$3)</f>
        <v>#REF!</v>
      </c>
      <c r="R17" s="26" t="e">
        <f>SUMIFS(#REF!,#REF!,$C17,#REF!,R$3)</f>
        <v>#REF!</v>
      </c>
      <c r="S17" s="26" t="e">
        <f>SUMIFS(#REF!,#REF!,$C17,#REF!,S$3)</f>
        <v>#REF!</v>
      </c>
      <c r="T17" s="26" t="e">
        <f>SUMIFS(#REF!,#REF!,$C17,#REF!,T$3)</f>
        <v>#REF!</v>
      </c>
      <c r="U17" s="26" t="e">
        <f>SUMIFS(#REF!,#REF!,$C17,#REF!,U$3)</f>
        <v>#REF!</v>
      </c>
      <c r="V17" s="26" t="e">
        <f>SUMIFS(#REF!,#REF!,$C17,#REF!,V$3)</f>
        <v>#REF!</v>
      </c>
      <c r="W17" s="26" t="e">
        <f>SUMIFS(#REF!,#REF!,$C17,#REF!,W$3)</f>
        <v>#REF!</v>
      </c>
      <c r="X17" s="26" t="e">
        <f>SUMIFS(#REF!,#REF!,$C17,#REF!,X$3)</f>
        <v>#REF!</v>
      </c>
      <c r="Y17" s="26" t="e">
        <f>SUMIFS(#REF!,#REF!,$C17,#REF!,Y$3)</f>
        <v>#REF!</v>
      </c>
      <c r="Z17" s="26" t="e">
        <f>SUMIFS(#REF!,#REF!,$C17,#REF!,Z$3)</f>
        <v>#REF!</v>
      </c>
      <c r="AA17" s="26" t="e">
        <f>SUMIFS(#REF!,#REF!,$C17,#REF!,AA$3)</f>
        <v>#REF!</v>
      </c>
      <c r="AB17" s="26" t="e">
        <f>SUMIFS(#REF!,#REF!,$C17,#REF!,AB$3)</f>
        <v>#REF!</v>
      </c>
      <c r="AC17" s="26" t="e">
        <f>SUMIFS(#REF!,#REF!,$C17,#REF!,AC$3)</f>
        <v>#REF!</v>
      </c>
      <c r="AD17" s="26" t="e">
        <f>SUMIFS(#REF!,#REF!,$C17,#REF!,AD$3)</f>
        <v>#REF!</v>
      </c>
      <c r="AE17" s="26" t="e">
        <f>SUMIFS(#REF!,#REF!,$C17,#REF!,AE$3)</f>
        <v>#REF!</v>
      </c>
      <c r="AF17" s="26" t="e">
        <f>SUMIFS(#REF!,#REF!,$C17,#REF!,AF$3)</f>
        <v>#REF!</v>
      </c>
      <c r="AG17" s="26" t="e">
        <f>SUMIFS(#REF!,#REF!,$C17,#REF!,AG$3)</f>
        <v>#REF!</v>
      </c>
      <c r="AH17" s="26" t="e">
        <f>SUMIFS(#REF!,#REF!,$C17,#REF!,AH$3)</f>
        <v>#REF!</v>
      </c>
      <c r="AI17" s="26" t="e">
        <f>SUMIFS(#REF!,#REF!,$C17,#REF!,AI$3)</f>
        <v>#REF!</v>
      </c>
    </row>
    <row r="18" spans="2:35" ht="20.100000000000001" customHeight="1" x14ac:dyDescent="0.25">
      <c r="B18" s="24">
        <v>14</v>
      </c>
      <c r="C18" s="89" t="e">
        <f>#REF!</f>
        <v>#REF!</v>
      </c>
      <c r="D18" s="25" t="e">
        <f t="shared" si="1"/>
        <v>#REF!</v>
      </c>
      <c r="E18" s="26" t="e">
        <f>SUMIFS(#REF!,#REF!,$C18,#REF!,E$3)</f>
        <v>#REF!</v>
      </c>
      <c r="F18" s="26" t="e">
        <f>SUMIFS(#REF!,#REF!,$C18,#REF!,F$3)</f>
        <v>#REF!</v>
      </c>
      <c r="G18" s="26" t="e">
        <f>SUMIFS(#REF!,#REF!,$C18,#REF!,G$3)</f>
        <v>#REF!</v>
      </c>
      <c r="H18" s="26" t="e">
        <f>SUMIFS(#REF!,#REF!,$C18,#REF!,H$3)</f>
        <v>#REF!</v>
      </c>
      <c r="I18" s="26" t="e">
        <f>SUMIFS(#REF!,#REF!,$C18,#REF!,I$3)</f>
        <v>#REF!</v>
      </c>
      <c r="J18" s="26" t="e">
        <f>SUMIFS(#REF!,#REF!,$C18,#REF!,J$3)</f>
        <v>#REF!</v>
      </c>
      <c r="K18" s="26" t="e">
        <f>SUMIFS(#REF!,#REF!,$C18,#REF!,K$3)</f>
        <v>#REF!</v>
      </c>
      <c r="L18" s="26" t="e">
        <f>SUMIFS(#REF!,#REF!,$C18,#REF!,L$3)</f>
        <v>#REF!</v>
      </c>
      <c r="M18" s="26" t="e">
        <f>SUMIFS(#REF!,#REF!,$C18,#REF!,M$3)</f>
        <v>#REF!</v>
      </c>
      <c r="N18" s="26" t="e">
        <f>SUMIFS(#REF!,#REF!,$C18,#REF!,N$3)</f>
        <v>#REF!</v>
      </c>
      <c r="O18" s="26" t="e">
        <f>SUMIFS(#REF!,#REF!,$C18,#REF!,O$3)</f>
        <v>#REF!</v>
      </c>
      <c r="P18" s="26" t="e">
        <f>SUMIFS(#REF!,#REF!,$C18,#REF!,P$3)</f>
        <v>#REF!</v>
      </c>
      <c r="Q18" s="26" t="e">
        <f>SUMIFS(#REF!,#REF!,$C18,#REF!,Q$3)</f>
        <v>#REF!</v>
      </c>
      <c r="R18" s="26" t="e">
        <f>SUMIFS(#REF!,#REF!,$C18,#REF!,R$3)</f>
        <v>#REF!</v>
      </c>
      <c r="S18" s="26" t="e">
        <f>SUMIFS(#REF!,#REF!,$C18,#REF!,S$3)</f>
        <v>#REF!</v>
      </c>
      <c r="T18" s="26" t="e">
        <f>SUMIFS(#REF!,#REF!,$C18,#REF!,T$3)</f>
        <v>#REF!</v>
      </c>
      <c r="U18" s="26" t="e">
        <f>SUMIFS(#REF!,#REF!,$C18,#REF!,U$3)</f>
        <v>#REF!</v>
      </c>
      <c r="V18" s="26" t="e">
        <f>SUMIFS(#REF!,#REF!,$C18,#REF!,V$3)</f>
        <v>#REF!</v>
      </c>
      <c r="W18" s="26" t="e">
        <f>SUMIFS(#REF!,#REF!,$C18,#REF!,W$3)</f>
        <v>#REF!</v>
      </c>
      <c r="X18" s="26" t="e">
        <f>SUMIFS(#REF!,#REF!,$C18,#REF!,X$3)</f>
        <v>#REF!</v>
      </c>
      <c r="Y18" s="26" t="e">
        <f>SUMIFS(#REF!,#REF!,$C18,#REF!,Y$3)</f>
        <v>#REF!</v>
      </c>
      <c r="Z18" s="26" t="e">
        <f>SUMIFS(#REF!,#REF!,$C18,#REF!,Z$3)</f>
        <v>#REF!</v>
      </c>
      <c r="AA18" s="26" t="e">
        <f>SUMIFS(#REF!,#REF!,$C18,#REF!,AA$3)</f>
        <v>#REF!</v>
      </c>
      <c r="AB18" s="26" t="e">
        <f>SUMIFS(#REF!,#REF!,$C18,#REF!,AB$3)</f>
        <v>#REF!</v>
      </c>
      <c r="AC18" s="26" t="e">
        <f>SUMIFS(#REF!,#REF!,$C18,#REF!,AC$3)</f>
        <v>#REF!</v>
      </c>
      <c r="AD18" s="26" t="e">
        <f>SUMIFS(#REF!,#REF!,$C18,#REF!,AD$3)</f>
        <v>#REF!</v>
      </c>
      <c r="AE18" s="26" t="e">
        <f>SUMIFS(#REF!,#REF!,$C18,#REF!,AE$3)</f>
        <v>#REF!</v>
      </c>
      <c r="AF18" s="26" t="e">
        <f>SUMIFS(#REF!,#REF!,$C18,#REF!,AF$3)</f>
        <v>#REF!</v>
      </c>
      <c r="AG18" s="26" t="e">
        <f>SUMIFS(#REF!,#REF!,$C18,#REF!,AG$3)</f>
        <v>#REF!</v>
      </c>
      <c r="AH18" s="26" t="e">
        <f>SUMIFS(#REF!,#REF!,$C18,#REF!,AH$3)</f>
        <v>#REF!</v>
      </c>
      <c r="AI18" s="26" t="e">
        <f>SUMIFS(#REF!,#REF!,$C18,#REF!,AI$3)</f>
        <v>#REF!</v>
      </c>
    </row>
    <row r="19" spans="2:35" ht="20.100000000000001" customHeight="1" x14ac:dyDescent="0.25">
      <c r="B19" s="24">
        <v>15</v>
      </c>
      <c r="C19" s="89" t="e">
        <f>#REF!</f>
        <v>#REF!</v>
      </c>
      <c r="D19" s="25" t="e">
        <f t="shared" si="1"/>
        <v>#REF!</v>
      </c>
      <c r="E19" s="26" t="e">
        <f>SUMIFS(#REF!,#REF!,$C19,#REF!,E$3)</f>
        <v>#REF!</v>
      </c>
      <c r="F19" s="26" t="e">
        <f>SUMIFS(#REF!,#REF!,$C19,#REF!,F$3)</f>
        <v>#REF!</v>
      </c>
      <c r="G19" s="26" t="e">
        <f>SUMIFS(#REF!,#REF!,$C19,#REF!,G$3)</f>
        <v>#REF!</v>
      </c>
      <c r="H19" s="26" t="e">
        <f>SUMIFS(#REF!,#REF!,$C19,#REF!,H$3)</f>
        <v>#REF!</v>
      </c>
      <c r="I19" s="26" t="e">
        <f>SUMIFS(#REF!,#REF!,$C19,#REF!,I$3)</f>
        <v>#REF!</v>
      </c>
      <c r="J19" s="26" t="e">
        <f>SUMIFS(#REF!,#REF!,$C19,#REF!,J$3)</f>
        <v>#REF!</v>
      </c>
      <c r="K19" s="26" t="e">
        <f>SUMIFS(#REF!,#REF!,$C19,#REF!,K$3)</f>
        <v>#REF!</v>
      </c>
      <c r="L19" s="26" t="e">
        <f>SUMIFS(#REF!,#REF!,$C19,#REF!,L$3)</f>
        <v>#REF!</v>
      </c>
      <c r="M19" s="26" t="e">
        <f>SUMIFS(#REF!,#REF!,$C19,#REF!,M$3)</f>
        <v>#REF!</v>
      </c>
      <c r="N19" s="26" t="e">
        <f>SUMIFS(#REF!,#REF!,$C19,#REF!,N$3)</f>
        <v>#REF!</v>
      </c>
      <c r="O19" s="26" t="e">
        <f>SUMIFS(#REF!,#REF!,$C19,#REF!,O$3)</f>
        <v>#REF!</v>
      </c>
      <c r="P19" s="26" t="e">
        <f>SUMIFS(#REF!,#REF!,$C19,#REF!,P$3)</f>
        <v>#REF!</v>
      </c>
      <c r="Q19" s="26" t="e">
        <f>SUMIFS(#REF!,#REF!,$C19,#REF!,Q$3)</f>
        <v>#REF!</v>
      </c>
      <c r="R19" s="26" t="e">
        <f>SUMIFS(#REF!,#REF!,$C19,#REF!,R$3)</f>
        <v>#REF!</v>
      </c>
      <c r="S19" s="26" t="e">
        <f>SUMIFS(#REF!,#REF!,$C19,#REF!,S$3)</f>
        <v>#REF!</v>
      </c>
      <c r="T19" s="26" t="e">
        <f>SUMIFS(#REF!,#REF!,$C19,#REF!,T$3)</f>
        <v>#REF!</v>
      </c>
      <c r="U19" s="26" t="e">
        <f>SUMIFS(#REF!,#REF!,$C19,#REF!,U$3)</f>
        <v>#REF!</v>
      </c>
      <c r="V19" s="26" t="e">
        <f>SUMIFS(#REF!,#REF!,$C19,#REF!,V$3)</f>
        <v>#REF!</v>
      </c>
      <c r="W19" s="26" t="e">
        <f>SUMIFS(#REF!,#REF!,$C19,#REF!,W$3)</f>
        <v>#REF!</v>
      </c>
      <c r="X19" s="26" t="e">
        <f>SUMIFS(#REF!,#REF!,$C19,#REF!,X$3)</f>
        <v>#REF!</v>
      </c>
      <c r="Y19" s="26" t="e">
        <f>SUMIFS(#REF!,#REF!,$C19,#REF!,Y$3)</f>
        <v>#REF!</v>
      </c>
      <c r="Z19" s="26" t="e">
        <f>SUMIFS(#REF!,#REF!,$C19,#REF!,Z$3)</f>
        <v>#REF!</v>
      </c>
      <c r="AA19" s="26" t="e">
        <f>SUMIFS(#REF!,#REF!,$C19,#REF!,AA$3)</f>
        <v>#REF!</v>
      </c>
      <c r="AB19" s="26" t="e">
        <f>SUMIFS(#REF!,#REF!,$C19,#REF!,AB$3)</f>
        <v>#REF!</v>
      </c>
      <c r="AC19" s="26" t="e">
        <f>SUMIFS(#REF!,#REF!,$C19,#REF!,AC$3)</f>
        <v>#REF!</v>
      </c>
      <c r="AD19" s="26" t="e">
        <f>SUMIFS(#REF!,#REF!,$C19,#REF!,AD$3)</f>
        <v>#REF!</v>
      </c>
      <c r="AE19" s="26" t="e">
        <f>SUMIFS(#REF!,#REF!,$C19,#REF!,AE$3)</f>
        <v>#REF!</v>
      </c>
      <c r="AF19" s="26" t="e">
        <f>SUMIFS(#REF!,#REF!,$C19,#REF!,AF$3)</f>
        <v>#REF!</v>
      </c>
      <c r="AG19" s="26" t="e">
        <f>SUMIFS(#REF!,#REF!,$C19,#REF!,AG$3)</f>
        <v>#REF!</v>
      </c>
      <c r="AH19" s="26" t="e">
        <f>SUMIFS(#REF!,#REF!,$C19,#REF!,AH$3)</f>
        <v>#REF!</v>
      </c>
      <c r="AI19" s="26" t="e">
        <f>SUMIFS(#REF!,#REF!,$C19,#REF!,AI$3)</f>
        <v>#REF!</v>
      </c>
    </row>
    <row r="20" spans="2:35" ht="20.100000000000001" customHeight="1" x14ac:dyDescent="0.25">
      <c r="B20" s="24">
        <v>16</v>
      </c>
      <c r="C20" s="89" t="e">
        <f>#REF!</f>
        <v>#REF!</v>
      </c>
      <c r="D20" s="25" t="e">
        <f t="shared" si="1"/>
        <v>#REF!</v>
      </c>
      <c r="E20" s="26" t="e">
        <f>SUMIFS(#REF!,#REF!,$C20,#REF!,E$3)</f>
        <v>#REF!</v>
      </c>
      <c r="F20" s="26" t="e">
        <f>SUMIFS(#REF!,#REF!,$C20,#REF!,F$3)</f>
        <v>#REF!</v>
      </c>
      <c r="G20" s="26" t="e">
        <f>SUMIFS(#REF!,#REF!,$C20,#REF!,G$3)</f>
        <v>#REF!</v>
      </c>
      <c r="H20" s="26" t="e">
        <f>SUMIFS(#REF!,#REF!,$C20,#REF!,H$3)</f>
        <v>#REF!</v>
      </c>
      <c r="I20" s="26" t="e">
        <f>SUMIFS(#REF!,#REF!,$C20,#REF!,I$3)</f>
        <v>#REF!</v>
      </c>
      <c r="J20" s="26" t="e">
        <f>SUMIFS(#REF!,#REF!,$C20,#REF!,J$3)</f>
        <v>#REF!</v>
      </c>
      <c r="K20" s="26" t="e">
        <f>SUMIFS(#REF!,#REF!,$C20,#REF!,K$3)</f>
        <v>#REF!</v>
      </c>
      <c r="L20" s="26" t="e">
        <f>SUMIFS(#REF!,#REF!,$C20,#REF!,L$3)</f>
        <v>#REF!</v>
      </c>
      <c r="M20" s="26" t="e">
        <f>SUMIFS(#REF!,#REF!,$C20,#REF!,M$3)</f>
        <v>#REF!</v>
      </c>
      <c r="N20" s="26" t="e">
        <f>SUMIFS(#REF!,#REF!,$C20,#REF!,N$3)</f>
        <v>#REF!</v>
      </c>
      <c r="O20" s="26" t="e">
        <f>SUMIFS(#REF!,#REF!,$C20,#REF!,O$3)</f>
        <v>#REF!</v>
      </c>
      <c r="P20" s="26" t="e">
        <f>SUMIFS(#REF!,#REF!,$C20,#REF!,P$3)</f>
        <v>#REF!</v>
      </c>
      <c r="Q20" s="26" t="e">
        <f>SUMIFS(#REF!,#REF!,$C20,#REF!,Q$3)</f>
        <v>#REF!</v>
      </c>
      <c r="R20" s="26" t="e">
        <f>SUMIFS(#REF!,#REF!,$C20,#REF!,R$3)</f>
        <v>#REF!</v>
      </c>
      <c r="S20" s="26" t="e">
        <f>SUMIFS(#REF!,#REF!,$C20,#REF!,S$3)</f>
        <v>#REF!</v>
      </c>
      <c r="T20" s="26" t="e">
        <f>SUMIFS(#REF!,#REF!,$C20,#REF!,T$3)</f>
        <v>#REF!</v>
      </c>
      <c r="U20" s="26" t="e">
        <f>SUMIFS(#REF!,#REF!,$C20,#REF!,U$3)</f>
        <v>#REF!</v>
      </c>
      <c r="V20" s="26" t="e">
        <f>SUMIFS(#REF!,#REF!,$C20,#REF!,V$3)</f>
        <v>#REF!</v>
      </c>
      <c r="W20" s="26" t="e">
        <f>SUMIFS(#REF!,#REF!,$C20,#REF!,W$3)</f>
        <v>#REF!</v>
      </c>
      <c r="X20" s="26" t="e">
        <f>SUMIFS(#REF!,#REF!,$C20,#REF!,X$3)</f>
        <v>#REF!</v>
      </c>
      <c r="Y20" s="26" t="e">
        <f>SUMIFS(#REF!,#REF!,$C20,#REF!,Y$3)</f>
        <v>#REF!</v>
      </c>
      <c r="Z20" s="26" t="e">
        <f>SUMIFS(#REF!,#REF!,$C20,#REF!,Z$3)</f>
        <v>#REF!</v>
      </c>
      <c r="AA20" s="26" t="e">
        <f>SUMIFS(#REF!,#REF!,$C20,#REF!,AA$3)</f>
        <v>#REF!</v>
      </c>
      <c r="AB20" s="26" t="e">
        <f>SUMIFS(#REF!,#REF!,$C20,#REF!,AB$3)</f>
        <v>#REF!</v>
      </c>
      <c r="AC20" s="26" t="e">
        <f>SUMIFS(#REF!,#REF!,$C20,#REF!,AC$3)</f>
        <v>#REF!</v>
      </c>
      <c r="AD20" s="26" t="e">
        <f>SUMIFS(#REF!,#REF!,$C20,#REF!,AD$3)</f>
        <v>#REF!</v>
      </c>
      <c r="AE20" s="26" t="e">
        <f>SUMIFS(#REF!,#REF!,$C20,#REF!,AE$3)</f>
        <v>#REF!</v>
      </c>
      <c r="AF20" s="26" t="e">
        <f>SUMIFS(#REF!,#REF!,$C20,#REF!,AF$3)</f>
        <v>#REF!</v>
      </c>
      <c r="AG20" s="26" t="e">
        <f>SUMIFS(#REF!,#REF!,$C20,#REF!,AG$3)</f>
        <v>#REF!</v>
      </c>
      <c r="AH20" s="26" t="e">
        <f>SUMIFS(#REF!,#REF!,$C20,#REF!,AH$3)</f>
        <v>#REF!</v>
      </c>
      <c r="AI20" s="26" t="e">
        <f>SUMIFS(#REF!,#REF!,$C20,#REF!,AI$3)</f>
        <v>#REF!</v>
      </c>
    </row>
    <row r="21" spans="2:35" ht="20.100000000000001" customHeight="1" x14ac:dyDescent="0.25">
      <c r="B21" s="24">
        <v>17</v>
      </c>
      <c r="C21" s="89" t="e">
        <f>#REF!</f>
        <v>#REF!</v>
      </c>
      <c r="D21" s="25" t="e">
        <f t="shared" si="1"/>
        <v>#REF!</v>
      </c>
      <c r="E21" s="26" t="e">
        <f>SUMIFS(#REF!,#REF!,$C21,#REF!,E$3)</f>
        <v>#REF!</v>
      </c>
      <c r="F21" s="26" t="e">
        <f>SUMIFS(#REF!,#REF!,$C21,#REF!,F$3)</f>
        <v>#REF!</v>
      </c>
      <c r="G21" s="26" t="e">
        <f>SUMIFS(#REF!,#REF!,$C21,#REF!,G$3)</f>
        <v>#REF!</v>
      </c>
      <c r="H21" s="26" t="e">
        <f>SUMIFS(#REF!,#REF!,$C21,#REF!,H$3)</f>
        <v>#REF!</v>
      </c>
      <c r="I21" s="26" t="e">
        <f>SUMIFS(#REF!,#REF!,$C21,#REF!,I$3)</f>
        <v>#REF!</v>
      </c>
      <c r="J21" s="26" t="e">
        <f>SUMIFS(#REF!,#REF!,$C21,#REF!,J$3)</f>
        <v>#REF!</v>
      </c>
      <c r="K21" s="26" t="e">
        <f>SUMIFS(#REF!,#REF!,$C21,#REF!,K$3)</f>
        <v>#REF!</v>
      </c>
      <c r="L21" s="26" t="e">
        <f>SUMIFS(#REF!,#REF!,$C21,#REF!,L$3)</f>
        <v>#REF!</v>
      </c>
      <c r="M21" s="26" t="e">
        <f>SUMIFS(#REF!,#REF!,$C21,#REF!,M$3)</f>
        <v>#REF!</v>
      </c>
      <c r="N21" s="26" t="e">
        <f>SUMIFS(#REF!,#REF!,$C21,#REF!,N$3)</f>
        <v>#REF!</v>
      </c>
      <c r="O21" s="26" t="e">
        <f>SUMIFS(#REF!,#REF!,$C21,#REF!,O$3)</f>
        <v>#REF!</v>
      </c>
      <c r="P21" s="26" t="e">
        <f>SUMIFS(#REF!,#REF!,$C21,#REF!,P$3)</f>
        <v>#REF!</v>
      </c>
      <c r="Q21" s="26" t="e">
        <f>SUMIFS(#REF!,#REF!,$C21,#REF!,Q$3)</f>
        <v>#REF!</v>
      </c>
      <c r="R21" s="26" t="e">
        <f>SUMIFS(#REF!,#REF!,$C21,#REF!,R$3)</f>
        <v>#REF!</v>
      </c>
      <c r="S21" s="26" t="e">
        <f>SUMIFS(#REF!,#REF!,$C21,#REF!,S$3)</f>
        <v>#REF!</v>
      </c>
      <c r="T21" s="26" t="e">
        <f>SUMIFS(#REF!,#REF!,$C21,#REF!,T$3)</f>
        <v>#REF!</v>
      </c>
      <c r="U21" s="26" t="e">
        <f>SUMIFS(#REF!,#REF!,$C21,#REF!,U$3)</f>
        <v>#REF!</v>
      </c>
      <c r="V21" s="26" t="e">
        <f>SUMIFS(#REF!,#REF!,$C21,#REF!,V$3)</f>
        <v>#REF!</v>
      </c>
      <c r="W21" s="26" t="e">
        <f>SUMIFS(#REF!,#REF!,$C21,#REF!,W$3)</f>
        <v>#REF!</v>
      </c>
      <c r="X21" s="26" t="e">
        <f>SUMIFS(#REF!,#REF!,$C21,#REF!,X$3)</f>
        <v>#REF!</v>
      </c>
      <c r="Y21" s="26" t="e">
        <f>SUMIFS(#REF!,#REF!,$C21,#REF!,Y$3)</f>
        <v>#REF!</v>
      </c>
      <c r="Z21" s="26" t="e">
        <f>SUMIFS(#REF!,#REF!,$C21,#REF!,Z$3)</f>
        <v>#REF!</v>
      </c>
      <c r="AA21" s="26" t="e">
        <f>SUMIFS(#REF!,#REF!,$C21,#REF!,AA$3)</f>
        <v>#REF!</v>
      </c>
      <c r="AB21" s="26" t="e">
        <f>SUMIFS(#REF!,#REF!,$C21,#REF!,AB$3)</f>
        <v>#REF!</v>
      </c>
      <c r="AC21" s="26" t="e">
        <f>SUMIFS(#REF!,#REF!,$C21,#REF!,AC$3)</f>
        <v>#REF!</v>
      </c>
      <c r="AD21" s="26" t="e">
        <f>SUMIFS(#REF!,#REF!,$C21,#REF!,AD$3)</f>
        <v>#REF!</v>
      </c>
      <c r="AE21" s="26" t="e">
        <f>SUMIFS(#REF!,#REF!,$C21,#REF!,AE$3)</f>
        <v>#REF!</v>
      </c>
      <c r="AF21" s="26" t="e">
        <f>SUMIFS(#REF!,#REF!,$C21,#REF!,AF$3)</f>
        <v>#REF!</v>
      </c>
      <c r="AG21" s="26" t="e">
        <f>SUMIFS(#REF!,#REF!,$C21,#REF!,AG$3)</f>
        <v>#REF!</v>
      </c>
      <c r="AH21" s="26" t="e">
        <f>SUMIFS(#REF!,#REF!,$C21,#REF!,AH$3)</f>
        <v>#REF!</v>
      </c>
      <c r="AI21" s="26" t="e">
        <f>SUMIFS(#REF!,#REF!,$C21,#REF!,AI$3)</f>
        <v>#REF!</v>
      </c>
    </row>
    <row r="22" spans="2:35" ht="20.100000000000001" customHeight="1" x14ac:dyDescent="0.25">
      <c r="B22" s="24">
        <v>18</v>
      </c>
      <c r="C22" s="89" t="e">
        <f>#REF!</f>
        <v>#REF!</v>
      </c>
      <c r="D22" s="25" t="e">
        <f t="shared" si="1"/>
        <v>#REF!</v>
      </c>
      <c r="E22" s="26" t="e">
        <f>SUMIFS(#REF!,#REF!,$C22,#REF!,E$3)</f>
        <v>#REF!</v>
      </c>
      <c r="F22" s="26" t="e">
        <f>SUMIFS(#REF!,#REF!,$C22,#REF!,F$3)</f>
        <v>#REF!</v>
      </c>
      <c r="G22" s="26" t="e">
        <f>SUMIFS(#REF!,#REF!,$C22,#REF!,G$3)</f>
        <v>#REF!</v>
      </c>
      <c r="H22" s="26" t="e">
        <f>SUMIFS(#REF!,#REF!,$C22,#REF!,H$3)</f>
        <v>#REF!</v>
      </c>
      <c r="I22" s="26" t="e">
        <f>SUMIFS(#REF!,#REF!,$C22,#REF!,I$3)</f>
        <v>#REF!</v>
      </c>
      <c r="J22" s="26" t="e">
        <f>SUMIFS(#REF!,#REF!,$C22,#REF!,J$3)</f>
        <v>#REF!</v>
      </c>
      <c r="K22" s="26" t="e">
        <f>SUMIFS(#REF!,#REF!,$C22,#REF!,K$3)</f>
        <v>#REF!</v>
      </c>
      <c r="L22" s="26" t="e">
        <f>SUMIFS(#REF!,#REF!,$C22,#REF!,L$3)</f>
        <v>#REF!</v>
      </c>
      <c r="M22" s="26" t="e">
        <f>SUMIFS(#REF!,#REF!,$C22,#REF!,M$3)</f>
        <v>#REF!</v>
      </c>
      <c r="N22" s="26" t="e">
        <f>SUMIFS(#REF!,#REF!,$C22,#REF!,N$3)</f>
        <v>#REF!</v>
      </c>
      <c r="O22" s="26" t="e">
        <f>SUMIFS(#REF!,#REF!,$C22,#REF!,O$3)</f>
        <v>#REF!</v>
      </c>
      <c r="P22" s="26" t="e">
        <f>SUMIFS(#REF!,#REF!,$C22,#REF!,P$3)</f>
        <v>#REF!</v>
      </c>
      <c r="Q22" s="26" t="e">
        <f>SUMIFS(#REF!,#REF!,$C22,#REF!,Q$3)</f>
        <v>#REF!</v>
      </c>
      <c r="R22" s="26" t="e">
        <f>SUMIFS(#REF!,#REF!,$C22,#REF!,R$3)</f>
        <v>#REF!</v>
      </c>
      <c r="S22" s="26" t="e">
        <f>SUMIFS(#REF!,#REF!,$C22,#REF!,S$3)</f>
        <v>#REF!</v>
      </c>
      <c r="T22" s="26" t="e">
        <f>SUMIFS(#REF!,#REF!,$C22,#REF!,T$3)</f>
        <v>#REF!</v>
      </c>
      <c r="U22" s="26" t="e">
        <f>SUMIFS(#REF!,#REF!,$C22,#REF!,U$3)</f>
        <v>#REF!</v>
      </c>
      <c r="V22" s="26" t="e">
        <f>SUMIFS(#REF!,#REF!,$C22,#REF!,V$3)</f>
        <v>#REF!</v>
      </c>
      <c r="W22" s="26" t="e">
        <f>SUMIFS(#REF!,#REF!,$C22,#REF!,W$3)</f>
        <v>#REF!</v>
      </c>
      <c r="X22" s="26" t="e">
        <f>SUMIFS(#REF!,#REF!,$C22,#REF!,X$3)</f>
        <v>#REF!</v>
      </c>
      <c r="Y22" s="26" t="e">
        <f>SUMIFS(#REF!,#REF!,$C22,#REF!,Y$3)</f>
        <v>#REF!</v>
      </c>
      <c r="Z22" s="26" t="e">
        <f>SUMIFS(#REF!,#REF!,$C22,#REF!,Z$3)</f>
        <v>#REF!</v>
      </c>
      <c r="AA22" s="26" t="e">
        <f>SUMIFS(#REF!,#REF!,$C22,#REF!,AA$3)</f>
        <v>#REF!</v>
      </c>
      <c r="AB22" s="26" t="e">
        <f>SUMIFS(#REF!,#REF!,$C22,#REF!,AB$3)</f>
        <v>#REF!</v>
      </c>
      <c r="AC22" s="26" t="e">
        <f>SUMIFS(#REF!,#REF!,$C22,#REF!,AC$3)</f>
        <v>#REF!</v>
      </c>
      <c r="AD22" s="26" t="e">
        <f>SUMIFS(#REF!,#REF!,$C22,#REF!,AD$3)</f>
        <v>#REF!</v>
      </c>
      <c r="AE22" s="26" t="e">
        <f>SUMIFS(#REF!,#REF!,$C22,#REF!,AE$3)</f>
        <v>#REF!</v>
      </c>
      <c r="AF22" s="26" t="e">
        <f>SUMIFS(#REF!,#REF!,$C22,#REF!,AF$3)</f>
        <v>#REF!</v>
      </c>
      <c r="AG22" s="26" t="e">
        <f>SUMIFS(#REF!,#REF!,$C22,#REF!,AG$3)</f>
        <v>#REF!</v>
      </c>
      <c r="AH22" s="26" t="e">
        <f>SUMIFS(#REF!,#REF!,$C22,#REF!,AH$3)</f>
        <v>#REF!</v>
      </c>
      <c r="AI22" s="26" t="e">
        <f>SUMIFS(#REF!,#REF!,$C22,#REF!,AI$3)</f>
        <v>#REF!</v>
      </c>
    </row>
    <row r="23" spans="2:35" ht="20.100000000000001" customHeight="1" x14ac:dyDescent="0.25">
      <c r="B23" s="24">
        <v>19</v>
      </c>
      <c r="C23" s="89" t="e">
        <f>#REF!</f>
        <v>#REF!</v>
      </c>
      <c r="D23" s="25" t="e">
        <f t="shared" si="1"/>
        <v>#REF!</v>
      </c>
      <c r="E23" s="26" t="e">
        <f>SUMIFS(#REF!,#REF!,$C23,#REF!,E$3)</f>
        <v>#REF!</v>
      </c>
      <c r="F23" s="26" t="e">
        <f>SUMIFS(#REF!,#REF!,$C23,#REF!,F$3)</f>
        <v>#REF!</v>
      </c>
      <c r="G23" s="26" t="e">
        <f>SUMIFS(#REF!,#REF!,$C23,#REF!,G$3)</f>
        <v>#REF!</v>
      </c>
      <c r="H23" s="26" t="e">
        <f>SUMIFS(#REF!,#REF!,$C23,#REF!,H$3)</f>
        <v>#REF!</v>
      </c>
      <c r="I23" s="26" t="e">
        <f>SUMIFS(#REF!,#REF!,$C23,#REF!,I$3)</f>
        <v>#REF!</v>
      </c>
      <c r="J23" s="26" t="e">
        <f>SUMIFS(#REF!,#REF!,$C23,#REF!,J$3)</f>
        <v>#REF!</v>
      </c>
      <c r="K23" s="26" t="e">
        <f>SUMIFS(#REF!,#REF!,$C23,#REF!,K$3)</f>
        <v>#REF!</v>
      </c>
      <c r="L23" s="26" t="e">
        <f>SUMIFS(#REF!,#REF!,$C23,#REF!,L$3)</f>
        <v>#REF!</v>
      </c>
      <c r="M23" s="26" t="e">
        <f>SUMIFS(#REF!,#REF!,$C23,#REF!,M$3)</f>
        <v>#REF!</v>
      </c>
      <c r="N23" s="26" t="e">
        <f>SUMIFS(#REF!,#REF!,$C23,#REF!,N$3)</f>
        <v>#REF!</v>
      </c>
      <c r="O23" s="26" t="e">
        <f>SUMIFS(#REF!,#REF!,$C23,#REF!,O$3)</f>
        <v>#REF!</v>
      </c>
      <c r="P23" s="26" t="e">
        <f>SUMIFS(#REF!,#REF!,$C23,#REF!,P$3)</f>
        <v>#REF!</v>
      </c>
      <c r="Q23" s="26" t="e">
        <f>SUMIFS(#REF!,#REF!,$C23,#REF!,Q$3)</f>
        <v>#REF!</v>
      </c>
      <c r="R23" s="26" t="e">
        <f>SUMIFS(#REF!,#REF!,$C23,#REF!,R$3)</f>
        <v>#REF!</v>
      </c>
      <c r="S23" s="26" t="e">
        <f>SUMIFS(#REF!,#REF!,$C23,#REF!,S$3)</f>
        <v>#REF!</v>
      </c>
      <c r="T23" s="26" t="e">
        <f>SUMIFS(#REF!,#REF!,$C23,#REF!,T$3)</f>
        <v>#REF!</v>
      </c>
      <c r="U23" s="26" t="e">
        <f>SUMIFS(#REF!,#REF!,$C23,#REF!,U$3)</f>
        <v>#REF!</v>
      </c>
      <c r="V23" s="26" t="e">
        <f>SUMIFS(#REF!,#REF!,$C23,#REF!,V$3)</f>
        <v>#REF!</v>
      </c>
      <c r="W23" s="26" t="e">
        <f>SUMIFS(#REF!,#REF!,$C23,#REF!,W$3)</f>
        <v>#REF!</v>
      </c>
      <c r="X23" s="26" t="e">
        <f>SUMIFS(#REF!,#REF!,$C23,#REF!,X$3)</f>
        <v>#REF!</v>
      </c>
      <c r="Y23" s="26" t="e">
        <f>SUMIFS(#REF!,#REF!,$C23,#REF!,Y$3)</f>
        <v>#REF!</v>
      </c>
      <c r="Z23" s="26" t="e">
        <f>SUMIFS(#REF!,#REF!,$C23,#REF!,Z$3)</f>
        <v>#REF!</v>
      </c>
      <c r="AA23" s="26" t="e">
        <f>SUMIFS(#REF!,#REF!,$C23,#REF!,AA$3)</f>
        <v>#REF!</v>
      </c>
      <c r="AB23" s="26" t="e">
        <f>SUMIFS(#REF!,#REF!,$C23,#REF!,AB$3)</f>
        <v>#REF!</v>
      </c>
      <c r="AC23" s="26" t="e">
        <f>SUMIFS(#REF!,#REF!,$C23,#REF!,AC$3)</f>
        <v>#REF!</v>
      </c>
      <c r="AD23" s="26" t="e">
        <f>SUMIFS(#REF!,#REF!,$C23,#REF!,AD$3)</f>
        <v>#REF!</v>
      </c>
      <c r="AE23" s="26" t="e">
        <f>SUMIFS(#REF!,#REF!,$C23,#REF!,AE$3)</f>
        <v>#REF!</v>
      </c>
      <c r="AF23" s="26" t="e">
        <f>SUMIFS(#REF!,#REF!,$C23,#REF!,AF$3)</f>
        <v>#REF!</v>
      </c>
      <c r="AG23" s="26" t="e">
        <f>SUMIFS(#REF!,#REF!,$C23,#REF!,AG$3)</f>
        <v>#REF!</v>
      </c>
      <c r="AH23" s="26" t="e">
        <f>SUMIFS(#REF!,#REF!,$C23,#REF!,AH$3)</f>
        <v>#REF!</v>
      </c>
      <c r="AI23" s="26" t="e">
        <f>SUMIFS(#REF!,#REF!,$C23,#REF!,AI$3)</f>
        <v>#REF!</v>
      </c>
    </row>
    <row r="24" spans="2:35" ht="20.100000000000001" customHeight="1" x14ac:dyDescent="0.25">
      <c r="B24" s="24">
        <v>20</v>
      </c>
      <c r="C24" s="89" t="e">
        <f>#REF!</f>
        <v>#REF!</v>
      </c>
      <c r="D24" s="25" t="e">
        <f t="shared" si="1"/>
        <v>#REF!</v>
      </c>
      <c r="E24" s="26" t="e">
        <f>SUMIFS(#REF!,#REF!,$C24,#REF!,E$3)</f>
        <v>#REF!</v>
      </c>
      <c r="F24" s="26" t="e">
        <f>SUMIFS(#REF!,#REF!,$C24,#REF!,F$3)</f>
        <v>#REF!</v>
      </c>
      <c r="G24" s="26" t="e">
        <f>SUMIFS(#REF!,#REF!,$C24,#REF!,G$3)</f>
        <v>#REF!</v>
      </c>
      <c r="H24" s="26" t="e">
        <f>SUMIFS(#REF!,#REF!,$C24,#REF!,H$3)</f>
        <v>#REF!</v>
      </c>
      <c r="I24" s="26" t="e">
        <f>SUMIFS(#REF!,#REF!,$C24,#REF!,I$3)</f>
        <v>#REF!</v>
      </c>
      <c r="J24" s="26" t="e">
        <f>SUMIFS(#REF!,#REF!,$C24,#REF!,J$3)</f>
        <v>#REF!</v>
      </c>
      <c r="K24" s="26" t="e">
        <f>SUMIFS(#REF!,#REF!,$C24,#REF!,K$3)</f>
        <v>#REF!</v>
      </c>
      <c r="L24" s="26" t="e">
        <f>SUMIFS(#REF!,#REF!,$C24,#REF!,L$3)</f>
        <v>#REF!</v>
      </c>
      <c r="M24" s="26" t="e">
        <f>SUMIFS(#REF!,#REF!,$C24,#REF!,M$3)</f>
        <v>#REF!</v>
      </c>
      <c r="N24" s="26" t="e">
        <f>SUMIFS(#REF!,#REF!,$C24,#REF!,N$3)</f>
        <v>#REF!</v>
      </c>
      <c r="O24" s="26" t="e">
        <f>SUMIFS(#REF!,#REF!,$C24,#REF!,O$3)</f>
        <v>#REF!</v>
      </c>
      <c r="P24" s="26" t="e">
        <f>SUMIFS(#REF!,#REF!,$C24,#REF!,P$3)</f>
        <v>#REF!</v>
      </c>
      <c r="Q24" s="26" t="e">
        <f>SUMIFS(#REF!,#REF!,$C24,#REF!,Q$3)</f>
        <v>#REF!</v>
      </c>
      <c r="R24" s="26" t="e">
        <f>SUMIFS(#REF!,#REF!,$C24,#REF!,R$3)</f>
        <v>#REF!</v>
      </c>
      <c r="S24" s="26" t="e">
        <f>SUMIFS(#REF!,#REF!,$C24,#REF!,S$3)</f>
        <v>#REF!</v>
      </c>
      <c r="T24" s="26" t="e">
        <f>SUMIFS(#REF!,#REF!,$C24,#REF!,T$3)</f>
        <v>#REF!</v>
      </c>
      <c r="U24" s="26" t="e">
        <f>SUMIFS(#REF!,#REF!,$C24,#REF!,U$3)</f>
        <v>#REF!</v>
      </c>
      <c r="V24" s="26" t="e">
        <f>SUMIFS(#REF!,#REF!,$C24,#REF!,V$3)</f>
        <v>#REF!</v>
      </c>
      <c r="W24" s="26" t="e">
        <f>SUMIFS(#REF!,#REF!,$C24,#REF!,W$3)</f>
        <v>#REF!</v>
      </c>
      <c r="X24" s="26" t="e">
        <f>SUMIFS(#REF!,#REF!,$C24,#REF!,X$3)</f>
        <v>#REF!</v>
      </c>
      <c r="Y24" s="26" t="e">
        <f>SUMIFS(#REF!,#REF!,$C24,#REF!,Y$3)</f>
        <v>#REF!</v>
      </c>
      <c r="Z24" s="26" t="e">
        <f>SUMIFS(#REF!,#REF!,$C24,#REF!,Z$3)</f>
        <v>#REF!</v>
      </c>
      <c r="AA24" s="26" t="e">
        <f>SUMIFS(#REF!,#REF!,$C24,#REF!,AA$3)</f>
        <v>#REF!</v>
      </c>
      <c r="AB24" s="26" t="e">
        <f>SUMIFS(#REF!,#REF!,$C24,#REF!,AB$3)</f>
        <v>#REF!</v>
      </c>
      <c r="AC24" s="26" t="e">
        <f>SUMIFS(#REF!,#REF!,$C24,#REF!,AC$3)</f>
        <v>#REF!</v>
      </c>
      <c r="AD24" s="26" t="e">
        <f>SUMIFS(#REF!,#REF!,$C24,#REF!,AD$3)</f>
        <v>#REF!</v>
      </c>
      <c r="AE24" s="26" t="e">
        <f>SUMIFS(#REF!,#REF!,$C24,#REF!,AE$3)</f>
        <v>#REF!</v>
      </c>
      <c r="AF24" s="26" t="e">
        <f>SUMIFS(#REF!,#REF!,$C24,#REF!,AF$3)</f>
        <v>#REF!</v>
      </c>
      <c r="AG24" s="26" t="e">
        <f>SUMIFS(#REF!,#REF!,$C24,#REF!,AG$3)</f>
        <v>#REF!</v>
      </c>
      <c r="AH24" s="26" t="e">
        <f>SUMIFS(#REF!,#REF!,$C24,#REF!,AH$3)</f>
        <v>#REF!</v>
      </c>
      <c r="AI24" s="26" t="e">
        <f>SUMIFS(#REF!,#REF!,$C24,#REF!,AI$3)</f>
        <v>#REF!</v>
      </c>
    </row>
    <row r="25" spans="2:35" ht="20.100000000000001" customHeight="1" x14ac:dyDescent="0.25">
      <c r="B25" s="24">
        <v>21</v>
      </c>
      <c r="C25" s="89" t="e">
        <f>#REF!</f>
        <v>#REF!</v>
      </c>
      <c r="D25" s="25" t="e">
        <f t="shared" si="1"/>
        <v>#REF!</v>
      </c>
      <c r="E25" s="26" t="e">
        <f>SUMIFS(#REF!,#REF!,$C25,#REF!,E$3)</f>
        <v>#REF!</v>
      </c>
      <c r="F25" s="26" t="e">
        <f>SUMIFS(#REF!,#REF!,$C25,#REF!,F$3)</f>
        <v>#REF!</v>
      </c>
      <c r="G25" s="26" t="e">
        <f>SUMIFS(#REF!,#REF!,$C25,#REF!,G$3)</f>
        <v>#REF!</v>
      </c>
      <c r="H25" s="26" t="e">
        <f>SUMIFS(#REF!,#REF!,$C25,#REF!,H$3)</f>
        <v>#REF!</v>
      </c>
      <c r="I25" s="26" t="e">
        <f>SUMIFS(#REF!,#REF!,$C25,#REF!,I$3)</f>
        <v>#REF!</v>
      </c>
      <c r="J25" s="26" t="e">
        <f>SUMIFS(#REF!,#REF!,$C25,#REF!,J$3)</f>
        <v>#REF!</v>
      </c>
      <c r="K25" s="26" t="e">
        <f>SUMIFS(#REF!,#REF!,$C25,#REF!,K$3)</f>
        <v>#REF!</v>
      </c>
      <c r="L25" s="26" t="e">
        <f>SUMIFS(#REF!,#REF!,$C25,#REF!,L$3)</f>
        <v>#REF!</v>
      </c>
      <c r="M25" s="26" t="e">
        <f>SUMIFS(#REF!,#REF!,$C25,#REF!,M$3)</f>
        <v>#REF!</v>
      </c>
      <c r="N25" s="26" t="e">
        <f>SUMIFS(#REF!,#REF!,$C25,#REF!,N$3)</f>
        <v>#REF!</v>
      </c>
      <c r="O25" s="26" t="e">
        <f>SUMIFS(#REF!,#REF!,$C25,#REF!,O$3)</f>
        <v>#REF!</v>
      </c>
      <c r="P25" s="26" t="e">
        <f>SUMIFS(#REF!,#REF!,$C25,#REF!,P$3)</f>
        <v>#REF!</v>
      </c>
      <c r="Q25" s="26" t="e">
        <f>SUMIFS(#REF!,#REF!,$C25,#REF!,Q$3)</f>
        <v>#REF!</v>
      </c>
      <c r="R25" s="26" t="e">
        <f>SUMIFS(#REF!,#REF!,$C25,#REF!,R$3)</f>
        <v>#REF!</v>
      </c>
      <c r="S25" s="26" t="e">
        <f>SUMIFS(#REF!,#REF!,$C25,#REF!,S$3)</f>
        <v>#REF!</v>
      </c>
      <c r="T25" s="26" t="e">
        <f>SUMIFS(#REF!,#REF!,$C25,#REF!,T$3)</f>
        <v>#REF!</v>
      </c>
      <c r="U25" s="26" t="e">
        <f>SUMIFS(#REF!,#REF!,$C25,#REF!,U$3)</f>
        <v>#REF!</v>
      </c>
      <c r="V25" s="26" t="e">
        <f>SUMIFS(#REF!,#REF!,$C25,#REF!,V$3)</f>
        <v>#REF!</v>
      </c>
      <c r="W25" s="26" t="e">
        <f>SUMIFS(#REF!,#REF!,$C25,#REF!,W$3)</f>
        <v>#REF!</v>
      </c>
      <c r="X25" s="26" t="e">
        <f>SUMIFS(#REF!,#REF!,$C25,#REF!,X$3)</f>
        <v>#REF!</v>
      </c>
      <c r="Y25" s="26" t="e">
        <f>SUMIFS(#REF!,#REF!,$C25,#REF!,Y$3)</f>
        <v>#REF!</v>
      </c>
      <c r="Z25" s="26" t="e">
        <f>SUMIFS(#REF!,#REF!,$C25,#REF!,Z$3)</f>
        <v>#REF!</v>
      </c>
      <c r="AA25" s="26" t="e">
        <f>SUMIFS(#REF!,#REF!,$C25,#REF!,AA$3)</f>
        <v>#REF!</v>
      </c>
      <c r="AB25" s="26" t="e">
        <f>SUMIFS(#REF!,#REF!,$C25,#REF!,AB$3)</f>
        <v>#REF!</v>
      </c>
      <c r="AC25" s="26" t="e">
        <f>SUMIFS(#REF!,#REF!,$C25,#REF!,AC$3)</f>
        <v>#REF!</v>
      </c>
      <c r="AD25" s="26" t="e">
        <f>SUMIFS(#REF!,#REF!,$C25,#REF!,AD$3)</f>
        <v>#REF!</v>
      </c>
      <c r="AE25" s="26" t="e">
        <f>SUMIFS(#REF!,#REF!,$C25,#REF!,AE$3)</f>
        <v>#REF!</v>
      </c>
      <c r="AF25" s="26" t="e">
        <f>SUMIFS(#REF!,#REF!,$C25,#REF!,AF$3)</f>
        <v>#REF!</v>
      </c>
      <c r="AG25" s="26" t="e">
        <f>SUMIFS(#REF!,#REF!,$C25,#REF!,AG$3)</f>
        <v>#REF!</v>
      </c>
      <c r="AH25" s="26" t="e">
        <f>SUMIFS(#REF!,#REF!,$C25,#REF!,AH$3)</f>
        <v>#REF!</v>
      </c>
      <c r="AI25" s="26" t="e">
        <f>SUMIFS(#REF!,#REF!,$C25,#REF!,AI$3)</f>
        <v>#REF!</v>
      </c>
    </row>
    <row r="26" spans="2:35" ht="20.100000000000001" customHeight="1" x14ac:dyDescent="0.25">
      <c r="B26" s="24">
        <v>22</v>
      </c>
      <c r="C26" s="89" t="e">
        <f>#REF!</f>
        <v>#REF!</v>
      </c>
      <c r="D26" s="25" t="e">
        <f t="shared" si="1"/>
        <v>#REF!</v>
      </c>
      <c r="E26" s="26" t="e">
        <f>SUMIFS(#REF!,#REF!,$C26,#REF!,E$3)</f>
        <v>#REF!</v>
      </c>
      <c r="F26" s="26" t="e">
        <f>SUMIFS(#REF!,#REF!,$C26,#REF!,F$3)</f>
        <v>#REF!</v>
      </c>
      <c r="G26" s="26" t="e">
        <f>SUMIFS(#REF!,#REF!,$C26,#REF!,G$3)</f>
        <v>#REF!</v>
      </c>
      <c r="H26" s="26" t="e">
        <f>SUMIFS(#REF!,#REF!,$C26,#REF!,H$3)</f>
        <v>#REF!</v>
      </c>
      <c r="I26" s="26" t="e">
        <f>SUMIFS(#REF!,#REF!,$C26,#REF!,I$3)</f>
        <v>#REF!</v>
      </c>
      <c r="J26" s="26" t="e">
        <f>SUMIFS(#REF!,#REF!,$C26,#REF!,J$3)</f>
        <v>#REF!</v>
      </c>
      <c r="K26" s="26" t="e">
        <f>SUMIFS(#REF!,#REF!,$C26,#REF!,K$3)</f>
        <v>#REF!</v>
      </c>
      <c r="L26" s="26" t="e">
        <f>SUMIFS(#REF!,#REF!,$C26,#REF!,L$3)</f>
        <v>#REF!</v>
      </c>
      <c r="M26" s="26" t="e">
        <f>SUMIFS(#REF!,#REF!,$C26,#REF!,M$3)</f>
        <v>#REF!</v>
      </c>
      <c r="N26" s="26" t="e">
        <f>SUMIFS(#REF!,#REF!,$C26,#REF!,N$3)</f>
        <v>#REF!</v>
      </c>
      <c r="O26" s="26" t="e">
        <f>SUMIFS(#REF!,#REF!,$C26,#REF!,O$3)</f>
        <v>#REF!</v>
      </c>
      <c r="P26" s="26" t="e">
        <f>SUMIFS(#REF!,#REF!,$C26,#REF!,P$3)</f>
        <v>#REF!</v>
      </c>
      <c r="Q26" s="26" t="e">
        <f>SUMIFS(#REF!,#REF!,$C26,#REF!,Q$3)</f>
        <v>#REF!</v>
      </c>
      <c r="R26" s="26" t="e">
        <f>SUMIFS(#REF!,#REF!,$C26,#REF!,R$3)</f>
        <v>#REF!</v>
      </c>
      <c r="S26" s="26" t="e">
        <f>SUMIFS(#REF!,#REF!,$C26,#REF!,S$3)</f>
        <v>#REF!</v>
      </c>
      <c r="T26" s="26" t="e">
        <f>SUMIFS(#REF!,#REF!,$C26,#REF!,T$3)</f>
        <v>#REF!</v>
      </c>
      <c r="U26" s="26" t="e">
        <f>SUMIFS(#REF!,#REF!,$C26,#REF!,U$3)</f>
        <v>#REF!</v>
      </c>
      <c r="V26" s="26" t="e">
        <f>SUMIFS(#REF!,#REF!,$C26,#REF!,V$3)</f>
        <v>#REF!</v>
      </c>
      <c r="W26" s="26" t="e">
        <f>SUMIFS(#REF!,#REF!,$C26,#REF!,W$3)</f>
        <v>#REF!</v>
      </c>
      <c r="X26" s="26" t="e">
        <f>SUMIFS(#REF!,#REF!,$C26,#REF!,X$3)</f>
        <v>#REF!</v>
      </c>
      <c r="Y26" s="26" t="e">
        <f>SUMIFS(#REF!,#REF!,$C26,#REF!,Y$3)</f>
        <v>#REF!</v>
      </c>
      <c r="Z26" s="26" t="e">
        <f>SUMIFS(#REF!,#REF!,$C26,#REF!,Z$3)</f>
        <v>#REF!</v>
      </c>
      <c r="AA26" s="26" t="e">
        <f>SUMIFS(#REF!,#REF!,$C26,#REF!,AA$3)</f>
        <v>#REF!</v>
      </c>
      <c r="AB26" s="26" t="e">
        <f>SUMIFS(#REF!,#REF!,$C26,#REF!,AB$3)</f>
        <v>#REF!</v>
      </c>
      <c r="AC26" s="26" t="e">
        <f>SUMIFS(#REF!,#REF!,$C26,#REF!,AC$3)</f>
        <v>#REF!</v>
      </c>
      <c r="AD26" s="26" t="e">
        <f>SUMIFS(#REF!,#REF!,$C26,#REF!,AD$3)</f>
        <v>#REF!</v>
      </c>
      <c r="AE26" s="26" t="e">
        <f>SUMIFS(#REF!,#REF!,$C26,#REF!,AE$3)</f>
        <v>#REF!</v>
      </c>
      <c r="AF26" s="26" t="e">
        <f>SUMIFS(#REF!,#REF!,$C26,#REF!,AF$3)</f>
        <v>#REF!</v>
      </c>
      <c r="AG26" s="26" t="e">
        <f>SUMIFS(#REF!,#REF!,$C26,#REF!,AG$3)</f>
        <v>#REF!</v>
      </c>
      <c r="AH26" s="26" t="e">
        <f>SUMIFS(#REF!,#REF!,$C26,#REF!,AH$3)</f>
        <v>#REF!</v>
      </c>
      <c r="AI26" s="26" t="e">
        <f>SUMIFS(#REF!,#REF!,$C26,#REF!,AI$3)</f>
        <v>#REF!</v>
      </c>
    </row>
    <row r="27" spans="2:35" ht="20.100000000000001" customHeight="1" x14ac:dyDescent="0.25">
      <c r="B27" s="24">
        <v>23</v>
      </c>
      <c r="C27" s="89" t="e">
        <f>#REF!</f>
        <v>#REF!</v>
      </c>
      <c r="D27" s="25" t="e">
        <f t="shared" si="1"/>
        <v>#REF!</v>
      </c>
      <c r="E27" s="26" t="e">
        <f>SUMIFS(#REF!,#REF!,$C27,#REF!,E$3)</f>
        <v>#REF!</v>
      </c>
      <c r="F27" s="26" t="e">
        <f>SUMIFS(#REF!,#REF!,$C27,#REF!,F$3)</f>
        <v>#REF!</v>
      </c>
      <c r="G27" s="26" t="e">
        <f>SUMIFS(#REF!,#REF!,$C27,#REF!,G$3)</f>
        <v>#REF!</v>
      </c>
      <c r="H27" s="26" t="e">
        <f>SUMIFS(#REF!,#REF!,$C27,#REF!,H$3)</f>
        <v>#REF!</v>
      </c>
      <c r="I27" s="26" t="e">
        <f>SUMIFS(#REF!,#REF!,$C27,#REF!,I$3)</f>
        <v>#REF!</v>
      </c>
      <c r="J27" s="26" t="e">
        <f>SUMIFS(#REF!,#REF!,$C27,#REF!,J$3)</f>
        <v>#REF!</v>
      </c>
      <c r="K27" s="26" t="e">
        <f>SUMIFS(#REF!,#REF!,$C27,#REF!,K$3)</f>
        <v>#REF!</v>
      </c>
      <c r="L27" s="26" t="e">
        <f>SUMIFS(#REF!,#REF!,$C27,#REF!,L$3)</f>
        <v>#REF!</v>
      </c>
      <c r="M27" s="26" t="e">
        <f>SUMIFS(#REF!,#REF!,$C27,#REF!,M$3)</f>
        <v>#REF!</v>
      </c>
      <c r="N27" s="26" t="e">
        <f>SUMIFS(#REF!,#REF!,$C27,#REF!,N$3)</f>
        <v>#REF!</v>
      </c>
      <c r="O27" s="26" t="e">
        <f>SUMIFS(#REF!,#REF!,$C27,#REF!,O$3)</f>
        <v>#REF!</v>
      </c>
      <c r="P27" s="26" t="e">
        <f>SUMIFS(#REF!,#REF!,$C27,#REF!,P$3)</f>
        <v>#REF!</v>
      </c>
      <c r="Q27" s="26" t="e">
        <f>SUMIFS(#REF!,#REF!,$C27,#REF!,Q$3)</f>
        <v>#REF!</v>
      </c>
      <c r="R27" s="26" t="e">
        <f>SUMIFS(#REF!,#REF!,$C27,#REF!,R$3)</f>
        <v>#REF!</v>
      </c>
      <c r="S27" s="26" t="e">
        <f>SUMIFS(#REF!,#REF!,$C27,#REF!,S$3)</f>
        <v>#REF!</v>
      </c>
      <c r="T27" s="26" t="e">
        <f>SUMIFS(#REF!,#REF!,$C27,#REF!,T$3)</f>
        <v>#REF!</v>
      </c>
      <c r="U27" s="26" t="e">
        <f>SUMIFS(#REF!,#REF!,$C27,#REF!,U$3)</f>
        <v>#REF!</v>
      </c>
      <c r="V27" s="26" t="e">
        <f>SUMIFS(#REF!,#REF!,$C27,#REF!,V$3)</f>
        <v>#REF!</v>
      </c>
      <c r="W27" s="26" t="e">
        <f>SUMIFS(#REF!,#REF!,$C27,#REF!,W$3)</f>
        <v>#REF!</v>
      </c>
      <c r="X27" s="26" t="e">
        <f>SUMIFS(#REF!,#REF!,$C27,#REF!,X$3)</f>
        <v>#REF!</v>
      </c>
      <c r="Y27" s="26" t="e">
        <f>SUMIFS(#REF!,#REF!,$C27,#REF!,Y$3)</f>
        <v>#REF!</v>
      </c>
      <c r="Z27" s="26" t="e">
        <f>SUMIFS(#REF!,#REF!,$C27,#REF!,Z$3)</f>
        <v>#REF!</v>
      </c>
      <c r="AA27" s="26" t="e">
        <f>SUMIFS(#REF!,#REF!,$C27,#REF!,AA$3)</f>
        <v>#REF!</v>
      </c>
      <c r="AB27" s="26" t="e">
        <f>SUMIFS(#REF!,#REF!,$C27,#REF!,AB$3)</f>
        <v>#REF!</v>
      </c>
      <c r="AC27" s="26" t="e">
        <f>SUMIFS(#REF!,#REF!,$C27,#REF!,AC$3)</f>
        <v>#REF!</v>
      </c>
      <c r="AD27" s="26" t="e">
        <f>SUMIFS(#REF!,#REF!,$C27,#REF!,AD$3)</f>
        <v>#REF!</v>
      </c>
      <c r="AE27" s="26" t="e">
        <f>SUMIFS(#REF!,#REF!,$C27,#REF!,AE$3)</f>
        <v>#REF!</v>
      </c>
      <c r="AF27" s="26" t="e">
        <f>SUMIFS(#REF!,#REF!,$C27,#REF!,AF$3)</f>
        <v>#REF!</v>
      </c>
      <c r="AG27" s="26" t="e">
        <f>SUMIFS(#REF!,#REF!,$C27,#REF!,AG$3)</f>
        <v>#REF!</v>
      </c>
      <c r="AH27" s="26" t="e">
        <f>SUMIFS(#REF!,#REF!,$C27,#REF!,AH$3)</f>
        <v>#REF!</v>
      </c>
      <c r="AI27" s="26" t="e">
        <f>SUMIFS(#REF!,#REF!,$C27,#REF!,AI$3)</f>
        <v>#REF!</v>
      </c>
    </row>
    <row r="28" spans="2:35" ht="20.100000000000001" customHeight="1" x14ac:dyDescent="0.25">
      <c r="B28" s="24">
        <v>24</v>
      </c>
      <c r="C28" s="89" t="e">
        <f>#REF!</f>
        <v>#REF!</v>
      </c>
      <c r="D28" s="25" t="e">
        <f t="shared" si="1"/>
        <v>#REF!</v>
      </c>
      <c r="E28" s="26" t="e">
        <f>SUMIFS(#REF!,#REF!,$C28,#REF!,E$3)</f>
        <v>#REF!</v>
      </c>
      <c r="F28" s="26" t="e">
        <f>SUMIFS(#REF!,#REF!,$C28,#REF!,F$3)</f>
        <v>#REF!</v>
      </c>
      <c r="G28" s="26" t="e">
        <f>SUMIFS(#REF!,#REF!,$C28,#REF!,G$3)</f>
        <v>#REF!</v>
      </c>
      <c r="H28" s="26" t="e">
        <f>SUMIFS(#REF!,#REF!,$C28,#REF!,H$3)</f>
        <v>#REF!</v>
      </c>
      <c r="I28" s="26" t="e">
        <f>SUMIFS(#REF!,#REF!,$C28,#REF!,I$3)</f>
        <v>#REF!</v>
      </c>
      <c r="J28" s="26" t="e">
        <f>SUMIFS(#REF!,#REF!,$C28,#REF!,J$3)</f>
        <v>#REF!</v>
      </c>
      <c r="K28" s="26" t="e">
        <f>SUMIFS(#REF!,#REF!,$C28,#REF!,K$3)</f>
        <v>#REF!</v>
      </c>
      <c r="L28" s="26" t="e">
        <f>SUMIFS(#REF!,#REF!,$C28,#REF!,L$3)</f>
        <v>#REF!</v>
      </c>
      <c r="M28" s="26" t="e">
        <f>SUMIFS(#REF!,#REF!,$C28,#REF!,M$3)</f>
        <v>#REF!</v>
      </c>
      <c r="N28" s="26" t="e">
        <f>SUMIFS(#REF!,#REF!,$C28,#REF!,N$3)</f>
        <v>#REF!</v>
      </c>
      <c r="O28" s="26" t="e">
        <f>SUMIFS(#REF!,#REF!,$C28,#REF!,O$3)</f>
        <v>#REF!</v>
      </c>
      <c r="P28" s="26" t="e">
        <f>SUMIFS(#REF!,#REF!,$C28,#REF!,P$3)</f>
        <v>#REF!</v>
      </c>
      <c r="Q28" s="26" t="e">
        <f>SUMIFS(#REF!,#REF!,$C28,#REF!,Q$3)</f>
        <v>#REF!</v>
      </c>
      <c r="R28" s="26" t="e">
        <f>SUMIFS(#REF!,#REF!,$C28,#REF!,R$3)</f>
        <v>#REF!</v>
      </c>
      <c r="S28" s="26" t="e">
        <f>SUMIFS(#REF!,#REF!,$C28,#REF!,S$3)</f>
        <v>#REF!</v>
      </c>
      <c r="T28" s="26" t="e">
        <f>SUMIFS(#REF!,#REF!,$C28,#REF!,T$3)</f>
        <v>#REF!</v>
      </c>
      <c r="U28" s="26" t="e">
        <f>SUMIFS(#REF!,#REF!,$C28,#REF!,U$3)</f>
        <v>#REF!</v>
      </c>
      <c r="V28" s="26" t="e">
        <f>SUMIFS(#REF!,#REF!,$C28,#REF!,V$3)</f>
        <v>#REF!</v>
      </c>
      <c r="W28" s="26" t="e">
        <f>SUMIFS(#REF!,#REF!,$C28,#REF!,W$3)</f>
        <v>#REF!</v>
      </c>
      <c r="X28" s="26" t="e">
        <f>SUMIFS(#REF!,#REF!,$C28,#REF!,X$3)</f>
        <v>#REF!</v>
      </c>
      <c r="Y28" s="26" t="e">
        <f>SUMIFS(#REF!,#REF!,$C28,#REF!,Y$3)</f>
        <v>#REF!</v>
      </c>
      <c r="Z28" s="26" t="e">
        <f>SUMIFS(#REF!,#REF!,$C28,#REF!,Z$3)</f>
        <v>#REF!</v>
      </c>
      <c r="AA28" s="26" t="e">
        <f>SUMIFS(#REF!,#REF!,$C28,#REF!,AA$3)</f>
        <v>#REF!</v>
      </c>
      <c r="AB28" s="26" t="e">
        <f>SUMIFS(#REF!,#REF!,$C28,#REF!,AB$3)</f>
        <v>#REF!</v>
      </c>
      <c r="AC28" s="26" t="e">
        <f>SUMIFS(#REF!,#REF!,$C28,#REF!,AC$3)</f>
        <v>#REF!</v>
      </c>
      <c r="AD28" s="26" t="e">
        <f>SUMIFS(#REF!,#REF!,$C28,#REF!,AD$3)</f>
        <v>#REF!</v>
      </c>
      <c r="AE28" s="26" t="e">
        <f>SUMIFS(#REF!,#REF!,$C28,#REF!,AE$3)</f>
        <v>#REF!</v>
      </c>
      <c r="AF28" s="26" t="e">
        <f>SUMIFS(#REF!,#REF!,$C28,#REF!,AF$3)</f>
        <v>#REF!</v>
      </c>
      <c r="AG28" s="26" t="e">
        <f>SUMIFS(#REF!,#REF!,$C28,#REF!,AG$3)</f>
        <v>#REF!</v>
      </c>
      <c r="AH28" s="26" t="e">
        <f>SUMIFS(#REF!,#REF!,$C28,#REF!,AH$3)</f>
        <v>#REF!</v>
      </c>
      <c r="AI28" s="26" t="e">
        <f>SUMIFS(#REF!,#REF!,$C28,#REF!,AI$3)</f>
        <v>#REF!</v>
      </c>
    </row>
    <row r="29" spans="2:35" ht="20.100000000000001" customHeight="1" x14ac:dyDescent="0.25">
      <c r="B29" s="24">
        <v>25</v>
      </c>
      <c r="C29" s="89" t="e">
        <f>#REF!</f>
        <v>#REF!</v>
      </c>
      <c r="D29" s="25" t="e">
        <f t="shared" si="1"/>
        <v>#REF!</v>
      </c>
      <c r="E29" s="26" t="e">
        <f>SUMIFS(#REF!,#REF!,$C29,#REF!,E$3)</f>
        <v>#REF!</v>
      </c>
      <c r="F29" s="26" t="e">
        <f>SUMIFS(#REF!,#REF!,$C29,#REF!,F$3)</f>
        <v>#REF!</v>
      </c>
      <c r="G29" s="26" t="e">
        <f>SUMIFS(#REF!,#REF!,$C29,#REF!,G$3)</f>
        <v>#REF!</v>
      </c>
      <c r="H29" s="26" t="e">
        <f>SUMIFS(#REF!,#REF!,$C29,#REF!,H$3)</f>
        <v>#REF!</v>
      </c>
      <c r="I29" s="26" t="e">
        <f>SUMIFS(#REF!,#REF!,$C29,#REF!,I$3)</f>
        <v>#REF!</v>
      </c>
      <c r="J29" s="26" t="e">
        <f>SUMIFS(#REF!,#REF!,$C29,#REF!,J$3)</f>
        <v>#REF!</v>
      </c>
      <c r="K29" s="26" t="e">
        <f>SUMIFS(#REF!,#REF!,$C29,#REF!,K$3)</f>
        <v>#REF!</v>
      </c>
      <c r="L29" s="26" t="e">
        <f>SUMIFS(#REF!,#REF!,$C29,#REF!,L$3)</f>
        <v>#REF!</v>
      </c>
      <c r="M29" s="26" t="e">
        <f>SUMIFS(#REF!,#REF!,$C29,#REF!,M$3)</f>
        <v>#REF!</v>
      </c>
      <c r="N29" s="26" t="e">
        <f>SUMIFS(#REF!,#REF!,$C29,#REF!,N$3)</f>
        <v>#REF!</v>
      </c>
      <c r="O29" s="26" t="e">
        <f>SUMIFS(#REF!,#REF!,$C29,#REF!,O$3)</f>
        <v>#REF!</v>
      </c>
      <c r="P29" s="26" t="e">
        <f>SUMIFS(#REF!,#REF!,$C29,#REF!,P$3)</f>
        <v>#REF!</v>
      </c>
      <c r="Q29" s="26" t="e">
        <f>SUMIFS(#REF!,#REF!,$C29,#REF!,Q$3)</f>
        <v>#REF!</v>
      </c>
      <c r="R29" s="26" t="e">
        <f>SUMIFS(#REF!,#REF!,$C29,#REF!,R$3)</f>
        <v>#REF!</v>
      </c>
      <c r="S29" s="26" t="e">
        <f>SUMIFS(#REF!,#REF!,$C29,#REF!,S$3)</f>
        <v>#REF!</v>
      </c>
      <c r="T29" s="26" t="e">
        <f>SUMIFS(#REF!,#REF!,$C29,#REF!,T$3)</f>
        <v>#REF!</v>
      </c>
      <c r="U29" s="26" t="e">
        <f>SUMIFS(#REF!,#REF!,$C29,#REF!,U$3)</f>
        <v>#REF!</v>
      </c>
      <c r="V29" s="26" t="e">
        <f>SUMIFS(#REF!,#REF!,$C29,#REF!,V$3)</f>
        <v>#REF!</v>
      </c>
      <c r="W29" s="26" t="e">
        <f>SUMIFS(#REF!,#REF!,$C29,#REF!,W$3)</f>
        <v>#REF!</v>
      </c>
      <c r="X29" s="26" t="e">
        <f>SUMIFS(#REF!,#REF!,$C29,#REF!,X$3)</f>
        <v>#REF!</v>
      </c>
      <c r="Y29" s="26" t="e">
        <f>SUMIFS(#REF!,#REF!,$C29,#REF!,Y$3)</f>
        <v>#REF!</v>
      </c>
      <c r="Z29" s="26" t="e">
        <f>SUMIFS(#REF!,#REF!,$C29,#REF!,Z$3)</f>
        <v>#REF!</v>
      </c>
      <c r="AA29" s="26" t="e">
        <f>SUMIFS(#REF!,#REF!,$C29,#REF!,AA$3)</f>
        <v>#REF!</v>
      </c>
      <c r="AB29" s="26" t="e">
        <f>SUMIFS(#REF!,#REF!,$C29,#REF!,AB$3)</f>
        <v>#REF!</v>
      </c>
      <c r="AC29" s="26" t="e">
        <f>SUMIFS(#REF!,#REF!,$C29,#REF!,AC$3)</f>
        <v>#REF!</v>
      </c>
      <c r="AD29" s="26" t="e">
        <f>SUMIFS(#REF!,#REF!,$C29,#REF!,AD$3)</f>
        <v>#REF!</v>
      </c>
      <c r="AE29" s="26" t="e">
        <f>SUMIFS(#REF!,#REF!,$C29,#REF!,AE$3)</f>
        <v>#REF!</v>
      </c>
      <c r="AF29" s="26" t="e">
        <f>SUMIFS(#REF!,#REF!,$C29,#REF!,AF$3)</f>
        <v>#REF!</v>
      </c>
      <c r="AG29" s="26" t="e">
        <f>SUMIFS(#REF!,#REF!,$C29,#REF!,AG$3)</f>
        <v>#REF!</v>
      </c>
      <c r="AH29" s="26" t="e">
        <f>SUMIFS(#REF!,#REF!,$C29,#REF!,AH$3)</f>
        <v>#REF!</v>
      </c>
      <c r="AI29" s="26" t="e">
        <f>SUMIFS(#REF!,#REF!,$C29,#REF!,AI$3)</f>
        <v>#REF!</v>
      </c>
    </row>
    <row r="30" spans="2:35" ht="20.100000000000001" customHeight="1" x14ac:dyDescent="0.25">
      <c r="B30" s="24">
        <v>26</v>
      </c>
      <c r="C30" s="89" t="e">
        <f>#REF!</f>
        <v>#REF!</v>
      </c>
      <c r="D30" s="25" t="e">
        <f t="shared" si="1"/>
        <v>#REF!</v>
      </c>
      <c r="E30" s="26" t="e">
        <f>SUMIFS(#REF!,#REF!,$C30,#REF!,E$3)</f>
        <v>#REF!</v>
      </c>
      <c r="F30" s="26" t="e">
        <f>SUMIFS(#REF!,#REF!,$C30,#REF!,F$3)</f>
        <v>#REF!</v>
      </c>
      <c r="G30" s="26" t="e">
        <f>SUMIFS(#REF!,#REF!,$C30,#REF!,G$3)</f>
        <v>#REF!</v>
      </c>
      <c r="H30" s="26" t="e">
        <f>SUMIFS(#REF!,#REF!,$C30,#REF!,H$3)</f>
        <v>#REF!</v>
      </c>
      <c r="I30" s="26" t="e">
        <f>SUMIFS(#REF!,#REF!,$C30,#REF!,I$3)</f>
        <v>#REF!</v>
      </c>
      <c r="J30" s="26" t="e">
        <f>SUMIFS(#REF!,#REF!,$C30,#REF!,J$3)</f>
        <v>#REF!</v>
      </c>
      <c r="K30" s="26" t="e">
        <f>SUMIFS(#REF!,#REF!,$C30,#REF!,K$3)</f>
        <v>#REF!</v>
      </c>
      <c r="L30" s="26" t="e">
        <f>SUMIFS(#REF!,#REF!,$C30,#REF!,L$3)</f>
        <v>#REF!</v>
      </c>
      <c r="M30" s="26" t="e">
        <f>SUMIFS(#REF!,#REF!,$C30,#REF!,M$3)</f>
        <v>#REF!</v>
      </c>
      <c r="N30" s="26" t="e">
        <f>SUMIFS(#REF!,#REF!,$C30,#REF!,N$3)</f>
        <v>#REF!</v>
      </c>
      <c r="O30" s="26" t="e">
        <f>SUMIFS(#REF!,#REF!,$C30,#REF!,O$3)</f>
        <v>#REF!</v>
      </c>
      <c r="P30" s="26" t="e">
        <f>SUMIFS(#REF!,#REF!,$C30,#REF!,P$3)</f>
        <v>#REF!</v>
      </c>
      <c r="Q30" s="26" t="e">
        <f>SUMIFS(#REF!,#REF!,$C30,#REF!,Q$3)</f>
        <v>#REF!</v>
      </c>
      <c r="R30" s="26" t="e">
        <f>SUMIFS(#REF!,#REF!,$C30,#REF!,R$3)</f>
        <v>#REF!</v>
      </c>
      <c r="S30" s="26" t="e">
        <f>SUMIFS(#REF!,#REF!,$C30,#REF!,S$3)</f>
        <v>#REF!</v>
      </c>
      <c r="T30" s="26" t="e">
        <f>SUMIFS(#REF!,#REF!,$C30,#REF!,T$3)</f>
        <v>#REF!</v>
      </c>
      <c r="U30" s="26" t="e">
        <f>SUMIFS(#REF!,#REF!,$C30,#REF!,U$3)</f>
        <v>#REF!</v>
      </c>
      <c r="V30" s="26" t="e">
        <f>SUMIFS(#REF!,#REF!,$C30,#REF!,V$3)</f>
        <v>#REF!</v>
      </c>
      <c r="W30" s="26" t="e">
        <f>SUMIFS(#REF!,#REF!,$C30,#REF!,W$3)</f>
        <v>#REF!</v>
      </c>
      <c r="X30" s="26" t="e">
        <f>SUMIFS(#REF!,#REF!,$C30,#REF!,X$3)</f>
        <v>#REF!</v>
      </c>
      <c r="Y30" s="26" t="e">
        <f>SUMIFS(#REF!,#REF!,$C30,#REF!,Y$3)</f>
        <v>#REF!</v>
      </c>
      <c r="Z30" s="26" t="e">
        <f>SUMIFS(#REF!,#REF!,$C30,#REF!,Z$3)</f>
        <v>#REF!</v>
      </c>
      <c r="AA30" s="26" t="e">
        <f>SUMIFS(#REF!,#REF!,$C30,#REF!,AA$3)</f>
        <v>#REF!</v>
      </c>
      <c r="AB30" s="26" t="e">
        <f>SUMIFS(#REF!,#REF!,$C30,#REF!,AB$3)</f>
        <v>#REF!</v>
      </c>
      <c r="AC30" s="26" t="e">
        <f>SUMIFS(#REF!,#REF!,$C30,#REF!,AC$3)</f>
        <v>#REF!</v>
      </c>
      <c r="AD30" s="26" t="e">
        <f>SUMIFS(#REF!,#REF!,$C30,#REF!,AD$3)</f>
        <v>#REF!</v>
      </c>
      <c r="AE30" s="26" t="e">
        <f>SUMIFS(#REF!,#REF!,$C30,#REF!,AE$3)</f>
        <v>#REF!</v>
      </c>
      <c r="AF30" s="26" t="e">
        <f>SUMIFS(#REF!,#REF!,$C30,#REF!,AF$3)</f>
        <v>#REF!</v>
      </c>
      <c r="AG30" s="26" t="e">
        <f>SUMIFS(#REF!,#REF!,$C30,#REF!,AG$3)</f>
        <v>#REF!</v>
      </c>
      <c r="AH30" s="26" t="e">
        <f>SUMIFS(#REF!,#REF!,$C30,#REF!,AH$3)</f>
        <v>#REF!</v>
      </c>
      <c r="AI30" s="26" t="e">
        <f>SUMIFS(#REF!,#REF!,$C30,#REF!,AI$3)</f>
        <v>#REF!</v>
      </c>
    </row>
    <row r="31" spans="2:35" ht="20.100000000000001" customHeight="1" x14ac:dyDescent="0.25">
      <c r="B31" s="24">
        <v>27</v>
      </c>
      <c r="C31" s="89" t="e">
        <f>#REF!</f>
        <v>#REF!</v>
      </c>
      <c r="D31" s="25" t="e">
        <f t="shared" si="1"/>
        <v>#REF!</v>
      </c>
      <c r="E31" s="26" t="e">
        <f>SUMIFS(#REF!,#REF!,$C31,#REF!,E$3)</f>
        <v>#REF!</v>
      </c>
      <c r="F31" s="26" t="e">
        <f>SUMIFS(#REF!,#REF!,$C31,#REF!,F$3)</f>
        <v>#REF!</v>
      </c>
      <c r="G31" s="26" t="e">
        <f>SUMIFS(#REF!,#REF!,$C31,#REF!,G$3)</f>
        <v>#REF!</v>
      </c>
      <c r="H31" s="26" t="e">
        <f>SUMIFS(#REF!,#REF!,$C31,#REF!,H$3)</f>
        <v>#REF!</v>
      </c>
      <c r="I31" s="26" t="e">
        <f>SUMIFS(#REF!,#REF!,$C31,#REF!,I$3)</f>
        <v>#REF!</v>
      </c>
      <c r="J31" s="26" t="e">
        <f>SUMIFS(#REF!,#REF!,$C31,#REF!,J$3)</f>
        <v>#REF!</v>
      </c>
      <c r="K31" s="26" t="e">
        <f>SUMIFS(#REF!,#REF!,$C31,#REF!,K$3)</f>
        <v>#REF!</v>
      </c>
      <c r="L31" s="26" t="e">
        <f>SUMIFS(#REF!,#REF!,$C31,#REF!,L$3)</f>
        <v>#REF!</v>
      </c>
      <c r="M31" s="26" t="e">
        <f>SUMIFS(#REF!,#REF!,$C31,#REF!,M$3)</f>
        <v>#REF!</v>
      </c>
      <c r="N31" s="26" t="e">
        <f>SUMIFS(#REF!,#REF!,$C31,#REF!,N$3)</f>
        <v>#REF!</v>
      </c>
      <c r="O31" s="26" t="e">
        <f>SUMIFS(#REF!,#REF!,$C31,#REF!,O$3)</f>
        <v>#REF!</v>
      </c>
      <c r="P31" s="26" t="e">
        <f>SUMIFS(#REF!,#REF!,$C31,#REF!,P$3)</f>
        <v>#REF!</v>
      </c>
      <c r="Q31" s="26" t="e">
        <f>SUMIFS(#REF!,#REF!,$C31,#REF!,Q$3)</f>
        <v>#REF!</v>
      </c>
      <c r="R31" s="26" t="e">
        <f>SUMIFS(#REF!,#REF!,$C31,#REF!,R$3)</f>
        <v>#REF!</v>
      </c>
      <c r="S31" s="26" t="e">
        <f>SUMIFS(#REF!,#REF!,$C31,#REF!,S$3)</f>
        <v>#REF!</v>
      </c>
      <c r="T31" s="26" t="e">
        <f>SUMIFS(#REF!,#REF!,$C31,#REF!,T$3)</f>
        <v>#REF!</v>
      </c>
      <c r="U31" s="26" t="e">
        <f>SUMIFS(#REF!,#REF!,$C31,#REF!,U$3)</f>
        <v>#REF!</v>
      </c>
      <c r="V31" s="26" t="e">
        <f>SUMIFS(#REF!,#REF!,$C31,#REF!,V$3)</f>
        <v>#REF!</v>
      </c>
      <c r="W31" s="26" t="e">
        <f>SUMIFS(#REF!,#REF!,$C31,#REF!,W$3)</f>
        <v>#REF!</v>
      </c>
      <c r="X31" s="26" t="e">
        <f>SUMIFS(#REF!,#REF!,$C31,#REF!,X$3)</f>
        <v>#REF!</v>
      </c>
      <c r="Y31" s="26" t="e">
        <f>SUMIFS(#REF!,#REF!,$C31,#REF!,Y$3)</f>
        <v>#REF!</v>
      </c>
      <c r="Z31" s="26" t="e">
        <f>SUMIFS(#REF!,#REF!,$C31,#REF!,Z$3)</f>
        <v>#REF!</v>
      </c>
      <c r="AA31" s="26" t="e">
        <f>SUMIFS(#REF!,#REF!,$C31,#REF!,AA$3)</f>
        <v>#REF!</v>
      </c>
      <c r="AB31" s="26" t="e">
        <f>SUMIFS(#REF!,#REF!,$C31,#REF!,AB$3)</f>
        <v>#REF!</v>
      </c>
      <c r="AC31" s="26" t="e">
        <f>SUMIFS(#REF!,#REF!,$C31,#REF!,AC$3)</f>
        <v>#REF!</v>
      </c>
      <c r="AD31" s="26" t="e">
        <f>SUMIFS(#REF!,#REF!,$C31,#REF!,AD$3)</f>
        <v>#REF!</v>
      </c>
      <c r="AE31" s="26" t="e">
        <f>SUMIFS(#REF!,#REF!,$C31,#REF!,AE$3)</f>
        <v>#REF!</v>
      </c>
      <c r="AF31" s="26" t="e">
        <f>SUMIFS(#REF!,#REF!,$C31,#REF!,AF$3)</f>
        <v>#REF!</v>
      </c>
      <c r="AG31" s="26" t="e">
        <f>SUMIFS(#REF!,#REF!,$C31,#REF!,AG$3)</f>
        <v>#REF!</v>
      </c>
      <c r="AH31" s="26" t="e">
        <f>SUMIFS(#REF!,#REF!,$C31,#REF!,AH$3)</f>
        <v>#REF!</v>
      </c>
      <c r="AI31" s="26" t="e">
        <f>SUMIFS(#REF!,#REF!,$C31,#REF!,AI$3)</f>
        <v>#REF!</v>
      </c>
    </row>
    <row r="32" spans="2:35" ht="20.100000000000001" customHeight="1" x14ac:dyDescent="0.25">
      <c r="B32" s="24">
        <v>28</v>
      </c>
      <c r="C32" s="89" t="e">
        <f>#REF!</f>
        <v>#REF!</v>
      </c>
      <c r="D32" s="25" t="e">
        <f t="shared" si="1"/>
        <v>#REF!</v>
      </c>
      <c r="E32" s="26" t="e">
        <f>SUMIFS(#REF!,#REF!,$C32,#REF!,E$3)</f>
        <v>#REF!</v>
      </c>
      <c r="F32" s="26" t="e">
        <f>SUMIFS(#REF!,#REF!,$C32,#REF!,F$3)</f>
        <v>#REF!</v>
      </c>
      <c r="G32" s="26" t="e">
        <f>SUMIFS(#REF!,#REF!,$C32,#REF!,G$3)</f>
        <v>#REF!</v>
      </c>
      <c r="H32" s="26" t="e">
        <f>SUMIFS(#REF!,#REF!,$C32,#REF!,H$3)</f>
        <v>#REF!</v>
      </c>
      <c r="I32" s="26" t="e">
        <f>SUMIFS(#REF!,#REF!,$C32,#REF!,I$3)</f>
        <v>#REF!</v>
      </c>
      <c r="J32" s="26" t="e">
        <f>SUMIFS(#REF!,#REF!,$C32,#REF!,J$3)</f>
        <v>#REF!</v>
      </c>
      <c r="K32" s="26" t="e">
        <f>SUMIFS(#REF!,#REF!,$C32,#REF!,K$3)</f>
        <v>#REF!</v>
      </c>
      <c r="L32" s="26" t="e">
        <f>SUMIFS(#REF!,#REF!,$C32,#REF!,L$3)</f>
        <v>#REF!</v>
      </c>
      <c r="M32" s="26" t="e">
        <f>SUMIFS(#REF!,#REF!,$C32,#REF!,M$3)</f>
        <v>#REF!</v>
      </c>
      <c r="N32" s="26" t="e">
        <f>SUMIFS(#REF!,#REF!,$C32,#REF!,N$3)</f>
        <v>#REF!</v>
      </c>
      <c r="O32" s="26" t="e">
        <f>SUMIFS(#REF!,#REF!,$C32,#REF!,O$3)</f>
        <v>#REF!</v>
      </c>
      <c r="P32" s="26" t="e">
        <f>SUMIFS(#REF!,#REF!,$C32,#REF!,P$3)</f>
        <v>#REF!</v>
      </c>
      <c r="Q32" s="26" t="e">
        <f>SUMIFS(#REF!,#REF!,$C32,#REF!,Q$3)</f>
        <v>#REF!</v>
      </c>
      <c r="R32" s="26" t="e">
        <f>SUMIFS(#REF!,#REF!,$C32,#REF!,R$3)</f>
        <v>#REF!</v>
      </c>
      <c r="S32" s="26" t="e">
        <f>SUMIFS(#REF!,#REF!,$C32,#REF!,S$3)</f>
        <v>#REF!</v>
      </c>
      <c r="T32" s="26" t="e">
        <f>SUMIFS(#REF!,#REF!,$C32,#REF!,T$3)</f>
        <v>#REF!</v>
      </c>
      <c r="U32" s="26" t="e">
        <f>SUMIFS(#REF!,#REF!,$C32,#REF!,U$3)</f>
        <v>#REF!</v>
      </c>
      <c r="V32" s="26" t="e">
        <f>SUMIFS(#REF!,#REF!,$C32,#REF!,V$3)</f>
        <v>#REF!</v>
      </c>
      <c r="W32" s="26" t="e">
        <f>SUMIFS(#REF!,#REF!,$C32,#REF!,W$3)</f>
        <v>#REF!</v>
      </c>
      <c r="X32" s="26" t="e">
        <f>SUMIFS(#REF!,#REF!,$C32,#REF!,X$3)</f>
        <v>#REF!</v>
      </c>
      <c r="Y32" s="26" t="e">
        <f>SUMIFS(#REF!,#REF!,$C32,#REF!,Y$3)</f>
        <v>#REF!</v>
      </c>
      <c r="Z32" s="26" t="e">
        <f>SUMIFS(#REF!,#REF!,$C32,#REF!,Z$3)</f>
        <v>#REF!</v>
      </c>
      <c r="AA32" s="26" t="e">
        <f>SUMIFS(#REF!,#REF!,$C32,#REF!,AA$3)</f>
        <v>#REF!</v>
      </c>
      <c r="AB32" s="26" t="e">
        <f>SUMIFS(#REF!,#REF!,$C32,#REF!,AB$3)</f>
        <v>#REF!</v>
      </c>
      <c r="AC32" s="26" t="e">
        <f>SUMIFS(#REF!,#REF!,$C32,#REF!,AC$3)</f>
        <v>#REF!</v>
      </c>
      <c r="AD32" s="26" t="e">
        <f>SUMIFS(#REF!,#REF!,$C32,#REF!,AD$3)</f>
        <v>#REF!</v>
      </c>
      <c r="AE32" s="26" t="e">
        <f>SUMIFS(#REF!,#REF!,$C32,#REF!,AE$3)</f>
        <v>#REF!</v>
      </c>
      <c r="AF32" s="26" t="e">
        <f>SUMIFS(#REF!,#REF!,$C32,#REF!,AF$3)</f>
        <v>#REF!</v>
      </c>
      <c r="AG32" s="26" t="e">
        <f>SUMIFS(#REF!,#REF!,$C32,#REF!,AG$3)</f>
        <v>#REF!</v>
      </c>
      <c r="AH32" s="26" t="e">
        <f>SUMIFS(#REF!,#REF!,$C32,#REF!,AH$3)</f>
        <v>#REF!</v>
      </c>
      <c r="AI32" s="26" t="e">
        <f>SUMIFS(#REF!,#REF!,$C32,#REF!,AI$3)</f>
        <v>#REF!</v>
      </c>
    </row>
    <row r="33" spans="2:35" ht="20.100000000000001" customHeight="1" x14ac:dyDescent="0.25">
      <c r="B33" s="24">
        <v>29</v>
      </c>
      <c r="C33" s="89" t="e">
        <f>#REF!</f>
        <v>#REF!</v>
      </c>
      <c r="D33" s="25" t="e">
        <f t="shared" si="1"/>
        <v>#REF!</v>
      </c>
      <c r="E33" s="26" t="e">
        <f>SUMIFS(#REF!,#REF!,$C33,#REF!,E$3)</f>
        <v>#REF!</v>
      </c>
      <c r="F33" s="26" t="e">
        <f>SUMIFS(#REF!,#REF!,$C33,#REF!,F$3)</f>
        <v>#REF!</v>
      </c>
      <c r="G33" s="26" t="e">
        <f>SUMIFS(#REF!,#REF!,$C33,#REF!,G$3)</f>
        <v>#REF!</v>
      </c>
      <c r="H33" s="26" t="e">
        <f>SUMIFS(#REF!,#REF!,$C33,#REF!,H$3)</f>
        <v>#REF!</v>
      </c>
      <c r="I33" s="26" t="e">
        <f>SUMIFS(#REF!,#REF!,$C33,#REF!,I$3)</f>
        <v>#REF!</v>
      </c>
      <c r="J33" s="26" t="e">
        <f>SUMIFS(#REF!,#REF!,$C33,#REF!,J$3)</f>
        <v>#REF!</v>
      </c>
      <c r="K33" s="26" t="e">
        <f>SUMIFS(#REF!,#REF!,$C33,#REF!,K$3)</f>
        <v>#REF!</v>
      </c>
      <c r="L33" s="26" t="e">
        <f>SUMIFS(#REF!,#REF!,$C33,#REF!,L$3)</f>
        <v>#REF!</v>
      </c>
      <c r="M33" s="26" t="e">
        <f>SUMIFS(#REF!,#REF!,$C33,#REF!,M$3)</f>
        <v>#REF!</v>
      </c>
      <c r="N33" s="26" t="e">
        <f>SUMIFS(#REF!,#REF!,$C33,#REF!,N$3)</f>
        <v>#REF!</v>
      </c>
      <c r="O33" s="26" t="e">
        <f>SUMIFS(#REF!,#REF!,$C33,#REF!,O$3)</f>
        <v>#REF!</v>
      </c>
      <c r="P33" s="26" t="e">
        <f>SUMIFS(#REF!,#REF!,$C33,#REF!,P$3)</f>
        <v>#REF!</v>
      </c>
      <c r="Q33" s="26" t="e">
        <f>SUMIFS(#REF!,#REF!,$C33,#REF!,Q$3)</f>
        <v>#REF!</v>
      </c>
      <c r="R33" s="26" t="e">
        <f>SUMIFS(#REF!,#REF!,$C33,#REF!,R$3)</f>
        <v>#REF!</v>
      </c>
      <c r="S33" s="26" t="e">
        <f>SUMIFS(#REF!,#REF!,$C33,#REF!,S$3)</f>
        <v>#REF!</v>
      </c>
      <c r="T33" s="26" t="e">
        <f>SUMIFS(#REF!,#REF!,$C33,#REF!,T$3)</f>
        <v>#REF!</v>
      </c>
      <c r="U33" s="26" t="e">
        <f>SUMIFS(#REF!,#REF!,$C33,#REF!,U$3)</f>
        <v>#REF!</v>
      </c>
      <c r="V33" s="26" t="e">
        <f>SUMIFS(#REF!,#REF!,$C33,#REF!,V$3)</f>
        <v>#REF!</v>
      </c>
      <c r="W33" s="26" t="e">
        <f>SUMIFS(#REF!,#REF!,$C33,#REF!,W$3)</f>
        <v>#REF!</v>
      </c>
      <c r="X33" s="26" t="e">
        <f>SUMIFS(#REF!,#REF!,$C33,#REF!,X$3)</f>
        <v>#REF!</v>
      </c>
      <c r="Y33" s="26" t="e">
        <f>SUMIFS(#REF!,#REF!,$C33,#REF!,Y$3)</f>
        <v>#REF!</v>
      </c>
      <c r="Z33" s="26" t="e">
        <f>SUMIFS(#REF!,#REF!,$C33,#REF!,Z$3)</f>
        <v>#REF!</v>
      </c>
      <c r="AA33" s="26" t="e">
        <f>SUMIFS(#REF!,#REF!,$C33,#REF!,AA$3)</f>
        <v>#REF!</v>
      </c>
      <c r="AB33" s="26" t="e">
        <f>SUMIFS(#REF!,#REF!,$C33,#REF!,AB$3)</f>
        <v>#REF!</v>
      </c>
      <c r="AC33" s="26" t="e">
        <f>SUMIFS(#REF!,#REF!,$C33,#REF!,AC$3)</f>
        <v>#REF!</v>
      </c>
      <c r="AD33" s="26" t="e">
        <f>SUMIFS(#REF!,#REF!,$C33,#REF!,AD$3)</f>
        <v>#REF!</v>
      </c>
      <c r="AE33" s="26" t="e">
        <f>SUMIFS(#REF!,#REF!,$C33,#REF!,AE$3)</f>
        <v>#REF!</v>
      </c>
      <c r="AF33" s="26" t="e">
        <f>SUMIFS(#REF!,#REF!,$C33,#REF!,AF$3)</f>
        <v>#REF!</v>
      </c>
      <c r="AG33" s="26" t="e">
        <f>SUMIFS(#REF!,#REF!,$C33,#REF!,AG$3)</f>
        <v>#REF!</v>
      </c>
      <c r="AH33" s="26" t="e">
        <f>SUMIFS(#REF!,#REF!,$C33,#REF!,AH$3)</f>
        <v>#REF!</v>
      </c>
      <c r="AI33" s="26" t="e">
        <f>SUMIFS(#REF!,#REF!,$C33,#REF!,AI$3)</f>
        <v>#REF!</v>
      </c>
    </row>
    <row r="34" spans="2:35" ht="20.100000000000001" customHeight="1" x14ac:dyDescent="0.25">
      <c r="B34" s="24">
        <v>30</v>
      </c>
      <c r="C34" s="89" t="e">
        <f>#REF!</f>
        <v>#REF!</v>
      </c>
      <c r="D34" s="25" t="e">
        <f t="shared" si="1"/>
        <v>#REF!</v>
      </c>
      <c r="E34" s="26" t="e">
        <f>SUMIFS(#REF!,#REF!,$C34,#REF!,E$3)</f>
        <v>#REF!</v>
      </c>
      <c r="F34" s="26" t="e">
        <f>SUMIFS(#REF!,#REF!,$C34,#REF!,F$3)</f>
        <v>#REF!</v>
      </c>
      <c r="G34" s="26" t="e">
        <f>SUMIFS(#REF!,#REF!,$C34,#REF!,G$3)</f>
        <v>#REF!</v>
      </c>
      <c r="H34" s="26" t="e">
        <f>SUMIFS(#REF!,#REF!,$C34,#REF!,H$3)</f>
        <v>#REF!</v>
      </c>
      <c r="I34" s="26" t="e">
        <f>SUMIFS(#REF!,#REF!,$C34,#REF!,I$3)</f>
        <v>#REF!</v>
      </c>
      <c r="J34" s="26" t="e">
        <f>SUMIFS(#REF!,#REF!,$C34,#REF!,J$3)</f>
        <v>#REF!</v>
      </c>
      <c r="K34" s="26" t="e">
        <f>SUMIFS(#REF!,#REF!,$C34,#REF!,K$3)</f>
        <v>#REF!</v>
      </c>
      <c r="L34" s="26" t="e">
        <f>SUMIFS(#REF!,#REF!,$C34,#REF!,L$3)</f>
        <v>#REF!</v>
      </c>
      <c r="M34" s="26" t="e">
        <f>SUMIFS(#REF!,#REF!,$C34,#REF!,M$3)</f>
        <v>#REF!</v>
      </c>
      <c r="N34" s="26" t="e">
        <f>SUMIFS(#REF!,#REF!,$C34,#REF!,N$3)</f>
        <v>#REF!</v>
      </c>
      <c r="O34" s="26" t="e">
        <f>SUMIFS(#REF!,#REF!,$C34,#REF!,O$3)</f>
        <v>#REF!</v>
      </c>
      <c r="P34" s="26" t="e">
        <f>SUMIFS(#REF!,#REF!,$C34,#REF!,P$3)</f>
        <v>#REF!</v>
      </c>
      <c r="Q34" s="26" t="e">
        <f>SUMIFS(#REF!,#REF!,$C34,#REF!,Q$3)</f>
        <v>#REF!</v>
      </c>
      <c r="R34" s="26" t="e">
        <f>SUMIFS(#REF!,#REF!,$C34,#REF!,R$3)</f>
        <v>#REF!</v>
      </c>
      <c r="S34" s="26" t="e">
        <f>SUMIFS(#REF!,#REF!,$C34,#REF!,S$3)</f>
        <v>#REF!</v>
      </c>
      <c r="T34" s="26" t="e">
        <f>SUMIFS(#REF!,#REF!,$C34,#REF!,T$3)</f>
        <v>#REF!</v>
      </c>
      <c r="U34" s="26" t="e">
        <f>SUMIFS(#REF!,#REF!,$C34,#REF!,U$3)</f>
        <v>#REF!</v>
      </c>
      <c r="V34" s="26" t="e">
        <f>SUMIFS(#REF!,#REF!,$C34,#REF!,V$3)</f>
        <v>#REF!</v>
      </c>
      <c r="W34" s="26" t="e">
        <f>SUMIFS(#REF!,#REF!,$C34,#REF!,W$3)</f>
        <v>#REF!</v>
      </c>
      <c r="X34" s="26" t="e">
        <f>SUMIFS(#REF!,#REF!,$C34,#REF!,X$3)</f>
        <v>#REF!</v>
      </c>
      <c r="Y34" s="26" t="e">
        <f>SUMIFS(#REF!,#REF!,$C34,#REF!,Y$3)</f>
        <v>#REF!</v>
      </c>
      <c r="Z34" s="26" t="e">
        <f>SUMIFS(#REF!,#REF!,$C34,#REF!,Z$3)</f>
        <v>#REF!</v>
      </c>
      <c r="AA34" s="26" t="e">
        <f>SUMIFS(#REF!,#REF!,$C34,#REF!,AA$3)</f>
        <v>#REF!</v>
      </c>
      <c r="AB34" s="26" t="e">
        <f>SUMIFS(#REF!,#REF!,$C34,#REF!,AB$3)</f>
        <v>#REF!</v>
      </c>
      <c r="AC34" s="26" t="e">
        <f>SUMIFS(#REF!,#REF!,$C34,#REF!,AC$3)</f>
        <v>#REF!</v>
      </c>
      <c r="AD34" s="26" t="e">
        <f>SUMIFS(#REF!,#REF!,$C34,#REF!,AD$3)</f>
        <v>#REF!</v>
      </c>
      <c r="AE34" s="26" t="e">
        <f>SUMIFS(#REF!,#REF!,$C34,#REF!,AE$3)</f>
        <v>#REF!</v>
      </c>
      <c r="AF34" s="26" t="e">
        <f>SUMIFS(#REF!,#REF!,$C34,#REF!,AF$3)</f>
        <v>#REF!</v>
      </c>
      <c r="AG34" s="26" t="e">
        <f>SUMIFS(#REF!,#REF!,$C34,#REF!,AG$3)</f>
        <v>#REF!</v>
      </c>
      <c r="AH34" s="26" t="e">
        <f>SUMIFS(#REF!,#REF!,$C34,#REF!,AH$3)</f>
        <v>#REF!</v>
      </c>
      <c r="AI34" s="26" t="e">
        <f>SUMIFS(#REF!,#REF!,$C34,#REF!,AI$3)</f>
        <v>#REF!</v>
      </c>
    </row>
  </sheetData>
  <mergeCells count="3">
    <mergeCell ref="B2:N2"/>
    <mergeCell ref="O2:P2"/>
    <mergeCell ref="Q2:R2"/>
  </mergeCells>
  <conditionalFormatting sqref="D5:D34">
    <cfRule type="cellIs" dxfId="4155" priority="15" operator="equal">
      <formula>0</formula>
    </cfRule>
    <cfRule type="cellIs" dxfId="4154" priority="17" operator="greaterThan">
      <formula>0</formula>
    </cfRule>
  </conditionalFormatting>
  <conditionalFormatting sqref="E5:AI34">
    <cfRule type="cellIs" dxfId="4153" priority="16" operator="equal">
      <formula>0</formula>
    </cfRule>
  </conditionalFormatting>
  <pageMargins left="0.75" right="0.75" top="1" bottom="1" header="0.51180555555555562" footer="0.51180555555555562"/>
  <pageSetup paperSize="9" fitToWidth="0" fitToHeight="0" orientation="portrait" useFirstPageNumber="1" errors="NA" r:id="rId1"/>
  <headerFooter scaleWithDoc="0"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EBEE9"/>
  </sheetPr>
  <dimension ref="B1:AI34"/>
  <sheetViews>
    <sheetView workbookViewId="0">
      <selection activeCell="E12" sqref="E12"/>
    </sheetView>
  </sheetViews>
  <sheetFormatPr defaultColWidth="8.85546875" defaultRowHeight="14.25" x14ac:dyDescent="0.2"/>
  <cols>
    <col min="1" max="1" width="0.7109375" style="16" customWidth="1"/>
    <col min="2" max="2" width="5" style="16" customWidth="1"/>
    <col min="3" max="3" width="13.7109375" style="16" customWidth="1"/>
    <col min="4" max="4" width="18.5703125" style="16" customWidth="1"/>
    <col min="5" max="11" width="7.5703125" style="16" bestFit="1" customWidth="1"/>
    <col min="12" max="12" width="8.140625" style="16" bestFit="1" customWidth="1"/>
    <col min="13" max="35" width="7.5703125" style="16" bestFit="1" customWidth="1"/>
    <col min="36" max="16384" width="8.85546875" style="16"/>
  </cols>
  <sheetData>
    <row r="1" spans="2:35" ht="0.95" customHeight="1" x14ac:dyDescent="0.2"/>
    <row r="2" spans="2:35" ht="51" customHeight="1" x14ac:dyDescent="0.2">
      <c r="B2" s="343" t="s">
        <v>5</v>
      </c>
      <c r="C2" s="343"/>
      <c r="D2" s="343"/>
      <c r="E2" s="343"/>
      <c r="F2" s="343"/>
      <c r="G2" s="343"/>
      <c r="H2" s="343"/>
      <c r="I2" s="343"/>
      <c r="J2" s="343"/>
      <c r="K2" s="29" t="e">
        <f>#REF!</f>
        <v>#REF!</v>
      </c>
      <c r="L2" s="29">
        <v>2023</v>
      </c>
    </row>
    <row r="3" spans="2:35" s="19" customFormat="1" ht="36.950000000000003" customHeight="1" x14ac:dyDescent="0.2">
      <c r="B3" s="17" t="s">
        <v>2</v>
      </c>
      <c r="C3" s="18" t="s">
        <v>3</v>
      </c>
      <c r="D3" s="30" t="s">
        <v>6</v>
      </c>
      <c r="E3" s="27" t="e">
        <f>DATE(L2,K2,1)</f>
        <v>#REF!</v>
      </c>
      <c r="F3" s="27" t="e">
        <f>E3+1</f>
        <v>#REF!</v>
      </c>
      <c r="G3" s="27" t="e">
        <f t="shared" ref="G3:AI3" si="0">F3+1</f>
        <v>#REF!</v>
      </c>
      <c r="H3" s="27" t="e">
        <f t="shared" si="0"/>
        <v>#REF!</v>
      </c>
      <c r="I3" s="27" t="e">
        <f t="shared" si="0"/>
        <v>#REF!</v>
      </c>
      <c r="J3" s="27" t="e">
        <f t="shared" si="0"/>
        <v>#REF!</v>
      </c>
      <c r="K3" s="27" t="e">
        <f t="shared" si="0"/>
        <v>#REF!</v>
      </c>
      <c r="L3" s="27" t="e">
        <f t="shared" si="0"/>
        <v>#REF!</v>
      </c>
      <c r="M3" s="27" t="e">
        <f t="shared" si="0"/>
        <v>#REF!</v>
      </c>
      <c r="N3" s="27" t="e">
        <f t="shared" si="0"/>
        <v>#REF!</v>
      </c>
      <c r="O3" s="27" t="e">
        <f t="shared" si="0"/>
        <v>#REF!</v>
      </c>
      <c r="P3" s="27" t="e">
        <f t="shared" si="0"/>
        <v>#REF!</v>
      </c>
      <c r="Q3" s="27" t="e">
        <f t="shared" si="0"/>
        <v>#REF!</v>
      </c>
      <c r="R3" s="27" t="e">
        <f t="shared" si="0"/>
        <v>#REF!</v>
      </c>
      <c r="S3" s="27" t="e">
        <f t="shared" si="0"/>
        <v>#REF!</v>
      </c>
      <c r="T3" s="27" t="e">
        <f t="shared" si="0"/>
        <v>#REF!</v>
      </c>
      <c r="U3" s="27" t="e">
        <f t="shared" si="0"/>
        <v>#REF!</v>
      </c>
      <c r="V3" s="27" t="e">
        <f t="shared" si="0"/>
        <v>#REF!</v>
      </c>
      <c r="W3" s="27" t="e">
        <f t="shared" si="0"/>
        <v>#REF!</v>
      </c>
      <c r="X3" s="27" t="e">
        <f t="shared" si="0"/>
        <v>#REF!</v>
      </c>
      <c r="Y3" s="27" t="e">
        <f t="shared" si="0"/>
        <v>#REF!</v>
      </c>
      <c r="Z3" s="27" t="e">
        <f t="shared" si="0"/>
        <v>#REF!</v>
      </c>
      <c r="AA3" s="27" t="e">
        <f t="shared" si="0"/>
        <v>#REF!</v>
      </c>
      <c r="AB3" s="27" t="e">
        <f t="shared" si="0"/>
        <v>#REF!</v>
      </c>
      <c r="AC3" s="27" t="e">
        <f t="shared" si="0"/>
        <v>#REF!</v>
      </c>
      <c r="AD3" s="27" t="e">
        <f t="shared" si="0"/>
        <v>#REF!</v>
      </c>
      <c r="AE3" s="27" t="e">
        <f t="shared" si="0"/>
        <v>#REF!</v>
      </c>
      <c r="AF3" s="27" t="e">
        <f t="shared" si="0"/>
        <v>#REF!</v>
      </c>
      <c r="AG3" s="27" t="e">
        <f t="shared" si="0"/>
        <v>#REF!</v>
      </c>
      <c r="AH3" s="27" t="e">
        <f t="shared" si="0"/>
        <v>#REF!</v>
      </c>
      <c r="AI3" s="27" t="e">
        <f t="shared" si="0"/>
        <v>#REF!</v>
      </c>
    </row>
    <row r="4" spans="2:35" s="19" customFormat="1" ht="20.100000000000001" customHeight="1" x14ac:dyDescent="0.2">
      <c r="B4" s="20"/>
      <c r="C4" s="21"/>
      <c r="D4" s="22" t="e">
        <f t="shared" ref="D4:D34" si="1">SUM(E4:AI4)</f>
        <v>#REF!</v>
      </c>
      <c r="E4" s="23" t="e">
        <f t="shared" ref="E4:AI4" si="2">SUM(E5:E34)</f>
        <v>#REF!</v>
      </c>
      <c r="F4" s="23" t="e">
        <f t="shared" si="2"/>
        <v>#REF!</v>
      </c>
      <c r="G4" s="23" t="e">
        <f t="shared" si="2"/>
        <v>#REF!</v>
      </c>
      <c r="H4" s="23" t="e">
        <f t="shared" si="2"/>
        <v>#REF!</v>
      </c>
      <c r="I4" s="23" t="e">
        <f t="shared" si="2"/>
        <v>#REF!</v>
      </c>
      <c r="J4" s="23" t="e">
        <f t="shared" si="2"/>
        <v>#REF!</v>
      </c>
      <c r="K4" s="23" t="e">
        <f t="shared" si="2"/>
        <v>#REF!</v>
      </c>
      <c r="L4" s="23" t="e">
        <f t="shared" si="2"/>
        <v>#REF!</v>
      </c>
      <c r="M4" s="23" t="e">
        <f t="shared" si="2"/>
        <v>#REF!</v>
      </c>
      <c r="N4" s="23" t="e">
        <f t="shared" si="2"/>
        <v>#REF!</v>
      </c>
      <c r="O4" s="23" t="e">
        <f t="shared" si="2"/>
        <v>#REF!</v>
      </c>
      <c r="P4" s="23" t="e">
        <f t="shared" si="2"/>
        <v>#REF!</v>
      </c>
      <c r="Q4" s="23" t="e">
        <f t="shared" si="2"/>
        <v>#REF!</v>
      </c>
      <c r="R4" s="23" t="e">
        <f t="shared" si="2"/>
        <v>#REF!</v>
      </c>
      <c r="S4" s="23" t="e">
        <f t="shared" si="2"/>
        <v>#REF!</v>
      </c>
      <c r="T4" s="23" t="e">
        <f t="shared" si="2"/>
        <v>#REF!</v>
      </c>
      <c r="U4" s="23" t="e">
        <f t="shared" si="2"/>
        <v>#REF!</v>
      </c>
      <c r="V4" s="23" t="e">
        <f t="shared" si="2"/>
        <v>#REF!</v>
      </c>
      <c r="W4" s="23" t="e">
        <f t="shared" si="2"/>
        <v>#REF!</v>
      </c>
      <c r="X4" s="23" t="e">
        <f t="shared" si="2"/>
        <v>#REF!</v>
      </c>
      <c r="Y4" s="23" t="e">
        <f t="shared" si="2"/>
        <v>#REF!</v>
      </c>
      <c r="Z4" s="23" t="e">
        <f t="shared" si="2"/>
        <v>#REF!</v>
      </c>
      <c r="AA4" s="23" t="e">
        <f t="shared" si="2"/>
        <v>#REF!</v>
      </c>
      <c r="AB4" s="23" t="e">
        <f t="shared" si="2"/>
        <v>#REF!</v>
      </c>
      <c r="AC4" s="23" t="e">
        <f t="shared" si="2"/>
        <v>#REF!</v>
      </c>
      <c r="AD4" s="23" t="e">
        <f t="shared" si="2"/>
        <v>#REF!</v>
      </c>
      <c r="AE4" s="23" t="e">
        <f t="shared" si="2"/>
        <v>#REF!</v>
      </c>
      <c r="AF4" s="23" t="e">
        <f t="shared" si="2"/>
        <v>#REF!</v>
      </c>
      <c r="AG4" s="23" t="e">
        <f t="shared" si="2"/>
        <v>#REF!</v>
      </c>
      <c r="AH4" s="23" t="e">
        <f t="shared" si="2"/>
        <v>#REF!</v>
      </c>
      <c r="AI4" s="23" t="e">
        <f t="shared" si="2"/>
        <v>#REF!</v>
      </c>
    </row>
    <row r="5" spans="2:35" ht="20.100000000000001" customHeight="1" x14ac:dyDescent="0.25">
      <c r="B5" s="24">
        <v>1</v>
      </c>
      <c r="C5" s="28" t="e">
        <f>IF(#REF!=0,"",IF(#REF!&lt;&gt;0,#REF!))</f>
        <v>#REF!</v>
      </c>
      <c r="D5" s="25" t="e">
        <f t="shared" si="1"/>
        <v>#REF!</v>
      </c>
      <c r="E5" s="26" t="e">
        <f>SUMIFS(#REF!,#REF!,$C5,#REF!,E$3)</f>
        <v>#REF!</v>
      </c>
      <c r="F5" s="26" t="e">
        <f>SUMIFS(#REF!,#REF!,$C5,#REF!,F$3)</f>
        <v>#REF!</v>
      </c>
      <c r="G5" s="26" t="e">
        <f>SUMIFS(#REF!,#REF!,$C5,#REF!,G$3)</f>
        <v>#REF!</v>
      </c>
      <c r="H5" s="26" t="e">
        <f>SUMIFS(#REF!,#REF!,$C5,#REF!,H$3)</f>
        <v>#REF!</v>
      </c>
      <c r="I5" s="26" t="e">
        <f>SUMIFS(#REF!,#REF!,$C5,#REF!,I$3)</f>
        <v>#REF!</v>
      </c>
      <c r="J5" s="26" t="e">
        <f>SUMIFS(#REF!,#REF!,$C5,#REF!,J$3)</f>
        <v>#REF!</v>
      </c>
      <c r="K5" s="26" t="e">
        <f>SUMIFS(#REF!,#REF!,$C5,#REF!,K$3)</f>
        <v>#REF!</v>
      </c>
      <c r="L5" s="26" t="e">
        <f>SUMIFS(#REF!,#REF!,$C5,#REF!,L$3)</f>
        <v>#REF!</v>
      </c>
      <c r="M5" s="26" t="e">
        <f>SUMIFS(#REF!,#REF!,$C5,#REF!,M$3)</f>
        <v>#REF!</v>
      </c>
      <c r="N5" s="26" t="e">
        <f>SUMIFS(#REF!,#REF!,$C5,#REF!,N$3)</f>
        <v>#REF!</v>
      </c>
      <c r="O5" s="26" t="e">
        <f>SUMIFS(#REF!,#REF!,$C5,#REF!,O$3)</f>
        <v>#REF!</v>
      </c>
      <c r="P5" s="26" t="e">
        <f>SUMIFS(#REF!,#REF!,$C5,#REF!,P$3)</f>
        <v>#REF!</v>
      </c>
      <c r="Q5" s="26" t="e">
        <f>SUMIFS(#REF!,#REF!,$C5,#REF!,Q$3)</f>
        <v>#REF!</v>
      </c>
      <c r="R5" s="26" t="e">
        <f>SUMIFS(#REF!,#REF!,$C5,#REF!,R$3)</f>
        <v>#REF!</v>
      </c>
      <c r="S5" s="26" t="e">
        <f>SUMIFS(#REF!,#REF!,$C5,#REF!,S$3)</f>
        <v>#REF!</v>
      </c>
      <c r="T5" s="26" t="e">
        <f>SUMIFS(#REF!,#REF!,$C5,#REF!,T$3)</f>
        <v>#REF!</v>
      </c>
      <c r="U5" s="26" t="e">
        <f>SUMIFS(#REF!,#REF!,$C5,#REF!,U$3)</f>
        <v>#REF!</v>
      </c>
      <c r="V5" s="26" t="e">
        <f>SUMIFS(#REF!,#REF!,$C5,#REF!,V$3)</f>
        <v>#REF!</v>
      </c>
      <c r="W5" s="26" t="e">
        <f>SUMIFS(#REF!,#REF!,$C5,#REF!,W$3)</f>
        <v>#REF!</v>
      </c>
      <c r="X5" s="26" t="e">
        <f>SUMIFS(#REF!,#REF!,$C5,#REF!,X$3)</f>
        <v>#REF!</v>
      </c>
      <c r="Y5" s="26" t="e">
        <f>SUMIFS(#REF!,#REF!,$C5,#REF!,Y$3)</f>
        <v>#REF!</v>
      </c>
      <c r="Z5" s="26" t="e">
        <f>SUMIFS(#REF!,#REF!,$C5,#REF!,Z$3)</f>
        <v>#REF!</v>
      </c>
      <c r="AA5" s="26" t="e">
        <f>SUMIFS(#REF!,#REF!,$C5,#REF!,AA$3)</f>
        <v>#REF!</v>
      </c>
      <c r="AB5" s="26" t="e">
        <f>SUMIFS(#REF!,#REF!,$C5,#REF!,AB$3)</f>
        <v>#REF!</v>
      </c>
      <c r="AC5" s="26" t="e">
        <f>SUMIFS(#REF!,#REF!,$C5,#REF!,AC$3)</f>
        <v>#REF!</v>
      </c>
      <c r="AD5" s="26" t="e">
        <f>SUMIFS(#REF!,#REF!,$C5,#REF!,AD$3)</f>
        <v>#REF!</v>
      </c>
      <c r="AE5" s="26" t="e">
        <f>SUMIFS(#REF!,#REF!,$C5,#REF!,AE$3)</f>
        <v>#REF!</v>
      </c>
      <c r="AF5" s="26" t="e">
        <f>SUMIFS(#REF!,#REF!,$C5,#REF!,AF$3)</f>
        <v>#REF!</v>
      </c>
      <c r="AG5" s="26" t="e">
        <f>SUMIFS(#REF!,#REF!,$C5,#REF!,AG$3)</f>
        <v>#REF!</v>
      </c>
      <c r="AH5" s="26" t="e">
        <f>SUMIFS(#REF!,#REF!,$C5,#REF!,AH$3)</f>
        <v>#REF!</v>
      </c>
      <c r="AI5" s="26" t="e">
        <f>SUMIFS(#REF!,#REF!,$C5,#REF!,AI$3)</f>
        <v>#REF!</v>
      </c>
    </row>
    <row r="6" spans="2:35" ht="20.100000000000001" customHeight="1" x14ac:dyDescent="0.25">
      <c r="B6" s="24">
        <v>2</v>
      </c>
      <c r="C6" s="28" t="e">
        <f>IF(#REF!=0,"",IF(#REF!&lt;&gt;0,#REF!))</f>
        <v>#REF!</v>
      </c>
      <c r="D6" s="25" t="e">
        <f t="shared" si="1"/>
        <v>#REF!</v>
      </c>
      <c r="E6" s="26" t="e">
        <f>SUMIFS(#REF!,#REF!,$C6,#REF!,E$3)</f>
        <v>#REF!</v>
      </c>
      <c r="F6" s="26" t="e">
        <f>SUMIFS(#REF!,#REF!,$C6,#REF!,F$3)</f>
        <v>#REF!</v>
      </c>
      <c r="G6" s="26" t="e">
        <f>SUMIFS(#REF!,#REF!,$C6,#REF!,G$3)</f>
        <v>#REF!</v>
      </c>
      <c r="H6" s="26" t="e">
        <f>SUMIFS(#REF!,#REF!,$C6,#REF!,H$3)</f>
        <v>#REF!</v>
      </c>
      <c r="I6" s="26" t="e">
        <f>SUMIFS(#REF!,#REF!,$C6,#REF!,I$3)</f>
        <v>#REF!</v>
      </c>
      <c r="J6" s="26" t="e">
        <f>SUMIFS(#REF!,#REF!,$C6,#REF!,J$3)</f>
        <v>#REF!</v>
      </c>
      <c r="K6" s="26" t="e">
        <f>SUMIFS(#REF!,#REF!,$C6,#REF!,K$3)</f>
        <v>#REF!</v>
      </c>
      <c r="L6" s="26" t="e">
        <f>SUMIFS(#REF!,#REF!,$C6,#REF!,L$3)</f>
        <v>#REF!</v>
      </c>
      <c r="M6" s="26" t="e">
        <f>SUMIFS(#REF!,#REF!,$C6,#REF!,M$3)</f>
        <v>#REF!</v>
      </c>
      <c r="N6" s="26" t="e">
        <f>SUMIFS(#REF!,#REF!,$C6,#REF!,N$3)</f>
        <v>#REF!</v>
      </c>
      <c r="O6" s="26" t="e">
        <f>SUMIFS(#REF!,#REF!,$C6,#REF!,O$3)</f>
        <v>#REF!</v>
      </c>
      <c r="P6" s="26" t="e">
        <f>SUMIFS(#REF!,#REF!,$C6,#REF!,P$3)</f>
        <v>#REF!</v>
      </c>
      <c r="Q6" s="26" t="e">
        <f>SUMIFS(#REF!,#REF!,$C6,#REF!,Q$3)</f>
        <v>#REF!</v>
      </c>
      <c r="R6" s="26" t="e">
        <f>SUMIFS(#REF!,#REF!,$C6,#REF!,R$3)</f>
        <v>#REF!</v>
      </c>
      <c r="S6" s="26" t="e">
        <f>SUMIFS(#REF!,#REF!,$C6,#REF!,S$3)</f>
        <v>#REF!</v>
      </c>
      <c r="T6" s="26" t="e">
        <f>SUMIFS(#REF!,#REF!,$C6,#REF!,T$3)</f>
        <v>#REF!</v>
      </c>
      <c r="U6" s="26" t="e">
        <f>SUMIFS(#REF!,#REF!,$C6,#REF!,U$3)</f>
        <v>#REF!</v>
      </c>
      <c r="V6" s="26" t="e">
        <f>SUMIFS(#REF!,#REF!,$C6,#REF!,V$3)</f>
        <v>#REF!</v>
      </c>
      <c r="W6" s="26" t="e">
        <f>SUMIFS(#REF!,#REF!,$C6,#REF!,W$3)</f>
        <v>#REF!</v>
      </c>
      <c r="X6" s="26" t="e">
        <f>SUMIFS(#REF!,#REF!,$C6,#REF!,X$3)</f>
        <v>#REF!</v>
      </c>
      <c r="Y6" s="26" t="e">
        <f>SUMIFS(#REF!,#REF!,$C6,#REF!,Y$3)</f>
        <v>#REF!</v>
      </c>
      <c r="Z6" s="26" t="e">
        <f>SUMIFS(#REF!,#REF!,$C6,#REF!,Z$3)</f>
        <v>#REF!</v>
      </c>
      <c r="AA6" s="26" t="e">
        <f>SUMIFS(#REF!,#REF!,$C6,#REF!,AA$3)</f>
        <v>#REF!</v>
      </c>
      <c r="AB6" s="26" t="e">
        <f>SUMIFS(#REF!,#REF!,$C6,#REF!,AB$3)</f>
        <v>#REF!</v>
      </c>
      <c r="AC6" s="26" t="e">
        <f>SUMIFS(#REF!,#REF!,$C6,#REF!,AC$3)</f>
        <v>#REF!</v>
      </c>
      <c r="AD6" s="26" t="e">
        <f>SUMIFS(#REF!,#REF!,$C6,#REF!,AD$3)</f>
        <v>#REF!</v>
      </c>
      <c r="AE6" s="26" t="e">
        <f>SUMIFS(#REF!,#REF!,$C6,#REF!,AE$3)</f>
        <v>#REF!</v>
      </c>
      <c r="AF6" s="26" t="e">
        <f>SUMIFS(#REF!,#REF!,$C6,#REF!,AF$3)</f>
        <v>#REF!</v>
      </c>
      <c r="AG6" s="26" t="e">
        <f>SUMIFS(#REF!,#REF!,$C6,#REF!,AG$3)</f>
        <v>#REF!</v>
      </c>
      <c r="AH6" s="26" t="e">
        <f>SUMIFS(#REF!,#REF!,$C6,#REF!,AH$3)</f>
        <v>#REF!</v>
      </c>
      <c r="AI6" s="26" t="e">
        <f>SUMIFS(#REF!,#REF!,$C6,#REF!,AI$3)</f>
        <v>#REF!</v>
      </c>
    </row>
    <row r="7" spans="2:35" ht="20.100000000000001" customHeight="1" x14ac:dyDescent="0.25">
      <c r="B7" s="24">
        <v>3</v>
      </c>
      <c r="C7" s="28" t="e">
        <f>IF(#REF!=0,"",IF(#REF!&lt;&gt;0,#REF!))</f>
        <v>#REF!</v>
      </c>
      <c r="D7" s="25" t="e">
        <f t="shared" si="1"/>
        <v>#REF!</v>
      </c>
      <c r="E7" s="26" t="e">
        <f>SUMIFS(#REF!,#REF!,$C7,#REF!,E$3)</f>
        <v>#REF!</v>
      </c>
      <c r="F7" s="26" t="e">
        <f>SUMIFS(#REF!,#REF!,$C7,#REF!,F$3)</f>
        <v>#REF!</v>
      </c>
      <c r="G7" s="26" t="e">
        <f>SUMIFS(#REF!,#REF!,$C7,#REF!,G$3)</f>
        <v>#REF!</v>
      </c>
      <c r="H7" s="26" t="e">
        <f>SUMIFS(#REF!,#REF!,$C7,#REF!,H$3)</f>
        <v>#REF!</v>
      </c>
      <c r="I7" s="26" t="e">
        <f>SUMIFS(#REF!,#REF!,$C7,#REF!,I$3)</f>
        <v>#REF!</v>
      </c>
      <c r="J7" s="26" t="e">
        <f>SUMIFS(#REF!,#REF!,$C7,#REF!,J$3)</f>
        <v>#REF!</v>
      </c>
      <c r="K7" s="26" t="e">
        <f>SUMIFS(#REF!,#REF!,$C7,#REF!,K$3)</f>
        <v>#REF!</v>
      </c>
      <c r="L7" s="26" t="e">
        <f>SUMIFS(#REF!,#REF!,$C7,#REF!,L$3)</f>
        <v>#REF!</v>
      </c>
      <c r="M7" s="26" t="e">
        <f>SUMIFS(#REF!,#REF!,$C7,#REF!,M$3)</f>
        <v>#REF!</v>
      </c>
      <c r="N7" s="26" t="e">
        <f>SUMIFS(#REF!,#REF!,$C7,#REF!,N$3)</f>
        <v>#REF!</v>
      </c>
      <c r="O7" s="26" t="e">
        <f>SUMIFS(#REF!,#REF!,$C7,#REF!,O$3)</f>
        <v>#REF!</v>
      </c>
      <c r="P7" s="26" t="e">
        <f>SUMIFS(#REF!,#REF!,$C7,#REF!,P$3)</f>
        <v>#REF!</v>
      </c>
      <c r="Q7" s="26" t="e">
        <f>SUMIFS(#REF!,#REF!,$C7,#REF!,Q$3)</f>
        <v>#REF!</v>
      </c>
      <c r="R7" s="26" t="e">
        <f>SUMIFS(#REF!,#REF!,$C7,#REF!,R$3)</f>
        <v>#REF!</v>
      </c>
      <c r="S7" s="26" t="e">
        <f>SUMIFS(#REF!,#REF!,$C7,#REF!,S$3)</f>
        <v>#REF!</v>
      </c>
      <c r="T7" s="26" t="e">
        <f>SUMIFS(#REF!,#REF!,$C7,#REF!,T$3)</f>
        <v>#REF!</v>
      </c>
      <c r="U7" s="26" t="e">
        <f>SUMIFS(#REF!,#REF!,$C7,#REF!,U$3)</f>
        <v>#REF!</v>
      </c>
      <c r="V7" s="26" t="e">
        <f>SUMIFS(#REF!,#REF!,$C7,#REF!,V$3)</f>
        <v>#REF!</v>
      </c>
      <c r="W7" s="26" t="e">
        <f>SUMIFS(#REF!,#REF!,$C7,#REF!,W$3)</f>
        <v>#REF!</v>
      </c>
      <c r="X7" s="26" t="e">
        <f>SUMIFS(#REF!,#REF!,$C7,#REF!,X$3)</f>
        <v>#REF!</v>
      </c>
      <c r="Y7" s="26" t="e">
        <f>SUMIFS(#REF!,#REF!,$C7,#REF!,Y$3)</f>
        <v>#REF!</v>
      </c>
      <c r="Z7" s="26" t="e">
        <f>SUMIFS(#REF!,#REF!,$C7,#REF!,Z$3)</f>
        <v>#REF!</v>
      </c>
      <c r="AA7" s="26" t="e">
        <f>SUMIFS(#REF!,#REF!,$C7,#REF!,AA$3)</f>
        <v>#REF!</v>
      </c>
      <c r="AB7" s="26" t="e">
        <f>SUMIFS(#REF!,#REF!,$C7,#REF!,AB$3)</f>
        <v>#REF!</v>
      </c>
      <c r="AC7" s="26" t="e">
        <f>SUMIFS(#REF!,#REF!,$C7,#REF!,AC$3)</f>
        <v>#REF!</v>
      </c>
      <c r="AD7" s="26" t="e">
        <f>SUMIFS(#REF!,#REF!,$C7,#REF!,AD$3)</f>
        <v>#REF!</v>
      </c>
      <c r="AE7" s="26" t="e">
        <f>SUMIFS(#REF!,#REF!,$C7,#REF!,AE$3)</f>
        <v>#REF!</v>
      </c>
      <c r="AF7" s="26" t="e">
        <f>SUMIFS(#REF!,#REF!,$C7,#REF!,AF$3)</f>
        <v>#REF!</v>
      </c>
      <c r="AG7" s="26" t="e">
        <f>SUMIFS(#REF!,#REF!,$C7,#REF!,AG$3)</f>
        <v>#REF!</v>
      </c>
      <c r="AH7" s="26" t="e">
        <f>SUMIFS(#REF!,#REF!,$C7,#REF!,AH$3)</f>
        <v>#REF!</v>
      </c>
      <c r="AI7" s="26" t="e">
        <f>SUMIFS(#REF!,#REF!,$C7,#REF!,AI$3)</f>
        <v>#REF!</v>
      </c>
    </row>
    <row r="8" spans="2:35" ht="20.100000000000001" customHeight="1" x14ac:dyDescent="0.25">
      <c r="B8" s="24">
        <v>4</v>
      </c>
      <c r="C8" s="28" t="e">
        <f>IF(#REF!=0,"",IF(#REF!&lt;&gt;0,#REF!))</f>
        <v>#REF!</v>
      </c>
      <c r="D8" s="25" t="e">
        <f t="shared" si="1"/>
        <v>#REF!</v>
      </c>
      <c r="E8" s="26" t="e">
        <f>SUMIFS(#REF!,#REF!,$C8,#REF!,E$3)</f>
        <v>#REF!</v>
      </c>
      <c r="F8" s="26" t="e">
        <f>SUMIFS(#REF!,#REF!,$C8,#REF!,F$3)</f>
        <v>#REF!</v>
      </c>
      <c r="G8" s="26" t="e">
        <f>SUMIFS(#REF!,#REF!,$C8,#REF!,G$3)</f>
        <v>#REF!</v>
      </c>
      <c r="H8" s="26" t="e">
        <f>SUMIFS(#REF!,#REF!,$C8,#REF!,H$3)</f>
        <v>#REF!</v>
      </c>
      <c r="I8" s="26" t="e">
        <f>SUMIFS(#REF!,#REF!,$C8,#REF!,I$3)</f>
        <v>#REF!</v>
      </c>
      <c r="J8" s="26" t="e">
        <f>SUMIFS(#REF!,#REF!,$C8,#REF!,J$3)</f>
        <v>#REF!</v>
      </c>
      <c r="K8" s="26" t="e">
        <f>SUMIFS(#REF!,#REF!,$C8,#REF!,K$3)</f>
        <v>#REF!</v>
      </c>
      <c r="L8" s="26" t="e">
        <f>SUMIFS(#REF!,#REF!,$C8,#REF!,L$3)</f>
        <v>#REF!</v>
      </c>
      <c r="M8" s="26" t="e">
        <f>SUMIFS(#REF!,#REF!,$C8,#REF!,M$3)</f>
        <v>#REF!</v>
      </c>
      <c r="N8" s="26" t="e">
        <f>SUMIFS(#REF!,#REF!,$C8,#REF!,N$3)</f>
        <v>#REF!</v>
      </c>
      <c r="O8" s="26" t="e">
        <f>SUMIFS(#REF!,#REF!,$C8,#REF!,O$3)</f>
        <v>#REF!</v>
      </c>
      <c r="P8" s="26" t="e">
        <f>SUMIFS(#REF!,#REF!,$C8,#REF!,P$3)</f>
        <v>#REF!</v>
      </c>
      <c r="Q8" s="26" t="e">
        <f>SUMIFS(#REF!,#REF!,$C8,#REF!,Q$3)</f>
        <v>#REF!</v>
      </c>
      <c r="R8" s="26" t="e">
        <f>SUMIFS(#REF!,#REF!,$C8,#REF!,R$3)</f>
        <v>#REF!</v>
      </c>
      <c r="S8" s="26" t="e">
        <f>SUMIFS(#REF!,#REF!,$C8,#REF!,S$3)</f>
        <v>#REF!</v>
      </c>
      <c r="T8" s="26" t="e">
        <f>SUMIFS(#REF!,#REF!,$C8,#REF!,T$3)</f>
        <v>#REF!</v>
      </c>
      <c r="U8" s="26" t="e">
        <f>SUMIFS(#REF!,#REF!,$C8,#REF!,U$3)</f>
        <v>#REF!</v>
      </c>
      <c r="V8" s="26" t="e">
        <f>SUMIFS(#REF!,#REF!,$C8,#REF!,V$3)</f>
        <v>#REF!</v>
      </c>
      <c r="W8" s="26" t="e">
        <f>SUMIFS(#REF!,#REF!,$C8,#REF!,W$3)</f>
        <v>#REF!</v>
      </c>
      <c r="X8" s="26" t="e">
        <f>SUMIFS(#REF!,#REF!,$C8,#REF!,X$3)</f>
        <v>#REF!</v>
      </c>
      <c r="Y8" s="26" t="e">
        <f>SUMIFS(#REF!,#REF!,$C8,#REF!,Y$3)</f>
        <v>#REF!</v>
      </c>
      <c r="Z8" s="26" t="e">
        <f>SUMIFS(#REF!,#REF!,$C8,#REF!,Z$3)</f>
        <v>#REF!</v>
      </c>
      <c r="AA8" s="26" t="e">
        <f>SUMIFS(#REF!,#REF!,$C8,#REF!,AA$3)</f>
        <v>#REF!</v>
      </c>
      <c r="AB8" s="26" t="e">
        <f>SUMIFS(#REF!,#REF!,$C8,#REF!,AB$3)</f>
        <v>#REF!</v>
      </c>
      <c r="AC8" s="26" t="e">
        <f>SUMIFS(#REF!,#REF!,$C8,#REF!,AC$3)</f>
        <v>#REF!</v>
      </c>
      <c r="AD8" s="26" t="e">
        <f>SUMIFS(#REF!,#REF!,$C8,#REF!,AD$3)</f>
        <v>#REF!</v>
      </c>
      <c r="AE8" s="26" t="e">
        <f>SUMIFS(#REF!,#REF!,$C8,#REF!,AE$3)</f>
        <v>#REF!</v>
      </c>
      <c r="AF8" s="26" t="e">
        <f>SUMIFS(#REF!,#REF!,$C8,#REF!,AF$3)</f>
        <v>#REF!</v>
      </c>
      <c r="AG8" s="26" t="e">
        <f>SUMIFS(#REF!,#REF!,$C8,#REF!,AG$3)</f>
        <v>#REF!</v>
      </c>
      <c r="AH8" s="26" t="e">
        <f>SUMIFS(#REF!,#REF!,$C8,#REF!,AH$3)</f>
        <v>#REF!</v>
      </c>
      <c r="AI8" s="26" t="e">
        <f>SUMIFS(#REF!,#REF!,$C8,#REF!,AI$3)</f>
        <v>#REF!</v>
      </c>
    </row>
    <row r="9" spans="2:35" ht="20.100000000000001" customHeight="1" x14ac:dyDescent="0.25">
      <c r="B9" s="24">
        <v>5</v>
      </c>
      <c r="C9" s="28" t="e">
        <f>IF(#REF!=0,"",IF(#REF!&lt;&gt;0,#REF!))</f>
        <v>#REF!</v>
      </c>
      <c r="D9" s="25" t="e">
        <f t="shared" si="1"/>
        <v>#REF!</v>
      </c>
      <c r="E9" s="26" t="e">
        <f>SUMIFS(#REF!,#REF!,$C9,#REF!,E$3)</f>
        <v>#REF!</v>
      </c>
      <c r="F9" s="26" t="e">
        <f>SUMIFS(#REF!,#REF!,$C9,#REF!,F$3)</f>
        <v>#REF!</v>
      </c>
      <c r="G9" s="26" t="e">
        <f>SUMIFS(#REF!,#REF!,$C9,#REF!,G$3)</f>
        <v>#REF!</v>
      </c>
      <c r="H9" s="26" t="e">
        <f>SUMIFS(#REF!,#REF!,$C9,#REF!,H$3)</f>
        <v>#REF!</v>
      </c>
      <c r="I9" s="26" t="e">
        <f>SUMIFS(#REF!,#REF!,$C9,#REF!,I$3)</f>
        <v>#REF!</v>
      </c>
      <c r="J9" s="26" t="e">
        <f>SUMIFS(#REF!,#REF!,$C9,#REF!,J$3)</f>
        <v>#REF!</v>
      </c>
      <c r="K9" s="26" t="e">
        <f>SUMIFS(#REF!,#REF!,$C9,#REF!,K$3)</f>
        <v>#REF!</v>
      </c>
      <c r="L9" s="26" t="e">
        <f>SUMIFS(#REF!,#REF!,$C9,#REF!,L$3)</f>
        <v>#REF!</v>
      </c>
      <c r="M9" s="26" t="e">
        <f>SUMIFS(#REF!,#REF!,$C9,#REF!,M$3)</f>
        <v>#REF!</v>
      </c>
      <c r="N9" s="26" t="e">
        <f>SUMIFS(#REF!,#REF!,$C9,#REF!,N$3)</f>
        <v>#REF!</v>
      </c>
      <c r="O9" s="26" t="e">
        <f>SUMIFS(#REF!,#REF!,$C9,#REF!,O$3)</f>
        <v>#REF!</v>
      </c>
      <c r="P9" s="26" t="e">
        <f>SUMIFS(#REF!,#REF!,$C9,#REF!,P$3)</f>
        <v>#REF!</v>
      </c>
      <c r="Q9" s="26" t="e">
        <f>SUMIFS(#REF!,#REF!,$C9,#REF!,Q$3)</f>
        <v>#REF!</v>
      </c>
      <c r="R9" s="26" t="e">
        <f>SUMIFS(#REF!,#REF!,$C9,#REF!,R$3)</f>
        <v>#REF!</v>
      </c>
      <c r="S9" s="26" t="e">
        <f>SUMIFS(#REF!,#REF!,$C9,#REF!,S$3)</f>
        <v>#REF!</v>
      </c>
      <c r="T9" s="26" t="e">
        <f>SUMIFS(#REF!,#REF!,$C9,#REF!,T$3)</f>
        <v>#REF!</v>
      </c>
      <c r="U9" s="26" t="e">
        <f>SUMIFS(#REF!,#REF!,$C9,#REF!,U$3)</f>
        <v>#REF!</v>
      </c>
      <c r="V9" s="26" t="e">
        <f>SUMIFS(#REF!,#REF!,$C9,#REF!,V$3)</f>
        <v>#REF!</v>
      </c>
      <c r="W9" s="26" t="e">
        <f>SUMIFS(#REF!,#REF!,$C9,#REF!,W$3)</f>
        <v>#REF!</v>
      </c>
      <c r="X9" s="26" t="e">
        <f>SUMIFS(#REF!,#REF!,$C9,#REF!,X$3)</f>
        <v>#REF!</v>
      </c>
      <c r="Y9" s="26" t="e">
        <f>SUMIFS(#REF!,#REF!,$C9,#REF!,Y$3)</f>
        <v>#REF!</v>
      </c>
      <c r="Z9" s="26" t="e">
        <f>SUMIFS(#REF!,#REF!,$C9,#REF!,Z$3)</f>
        <v>#REF!</v>
      </c>
      <c r="AA9" s="26" t="e">
        <f>SUMIFS(#REF!,#REF!,$C9,#REF!,AA$3)</f>
        <v>#REF!</v>
      </c>
      <c r="AB9" s="26" t="e">
        <f>SUMIFS(#REF!,#REF!,$C9,#REF!,AB$3)</f>
        <v>#REF!</v>
      </c>
      <c r="AC9" s="26" t="e">
        <f>SUMIFS(#REF!,#REF!,$C9,#REF!,AC$3)</f>
        <v>#REF!</v>
      </c>
      <c r="AD9" s="26" t="e">
        <f>SUMIFS(#REF!,#REF!,$C9,#REF!,AD$3)</f>
        <v>#REF!</v>
      </c>
      <c r="AE9" s="26" t="e">
        <f>SUMIFS(#REF!,#REF!,$C9,#REF!,AE$3)</f>
        <v>#REF!</v>
      </c>
      <c r="AF9" s="26" t="e">
        <f>SUMIFS(#REF!,#REF!,$C9,#REF!,AF$3)</f>
        <v>#REF!</v>
      </c>
      <c r="AG9" s="26" t="e">
        <f>SUMIFS(#REF!,#REF!,$C9,#REF!,AG$3)</f>
        <v>#REF!</v>
      </c>
      <c r="AH9" s="26" t="e">
        <f>SUMIFS(#REF!,#REF!,$C9,#REF!,AH$3)</f>
        <v>#REF!</v>
      </c>
      <c r="AI9" s="26" t="e">
        <f>SUMIFS(#REF!,#REF!,$C9,#REF!,AI$3)</f>
        <v>#REF!</v>
      </c>
    </row>
    <row r="10" spans="2:35" ht="20.100000000000001" customHeight="1" x14ac:dyDescent="0.25">
      <c r="B10" s="24">
        <v>6</v>
      </c>
      <c r="C10" s="28" t="e">
        <f>IF(#REF!=0,"",IF(#REF!&lt;&gt;0,#REF!))</f>
        <v>#REF!</v>
      </c>
      <c r="D10" s="25" t="e">
        <f t="shared" si="1"/>
        <v>#REF!</v>
      </c>
      <c r="E10" s="26" t="e">
        <f>SUMIFS(#REF!,#REF!,$C10,#REF!,E$3)</f>
        <v>#REF!</v>
      </c>
      <c r="F10" s="26" t="e">
        <f>SUMIFS(#REF!,#REF!,$C10,#REF!,F$3)</f>
        <v>#REF!</v>
      </c>
      <c r="G10" s="26" t="e">
        <f>SUMIFS(#REF!,#REF!,$C10,#REF!,G$3)</f>
        <v>#REF!</v>
      </c>
      <c r="H10" s="26" t="e">
        <f>SUMIFS(#REF!,#REF!,$C10,#REF!,H$3)</f>
        <v>#REF!</v>
      </c>
      <c r="I10" s="26" t="e">
        <f>SUMIFS(#REF!,#REF!,$C10,#REF!,I$3)</f>
        <v>#REF!</v>
      </c>
      <c r="J10" s="26" t="e">
        <f>SUMIFS(#REF!,#REF!,$C10,#REF!,J$3)</f>
        <v>#REF!</v>
      </c>
      <c r="K10" s="26" t="e">
        <f>SUMIFS(#REF!,#REF!,$C10,#REF!,K$3)</f>
        <v>#REF!</v>
      </c>
      <c r="L10" s="26" t="e">
        <f>SUMIFS(#REF!,#REF!,$C10,#REF!,L$3)</f>
        <v>#REF!</v>
      </c>
      <c r="M10" s="26" t="e">
        <f>SUMIFS(#REF!,#REF!,$C10,#REF!,M$3)</f>
        <v>#REF!</v>
      </c>
      <c r="N10" s="26" t="e">
        <f>SUMIFS(#REF!,#REF!,$C10,#REF!,N$3)</f>
        <v>#REF!</v>
      </c>
      <c r="O10" s="26" t="e">
        <f>SUMIFS(#REF!,#REF!,$C10,#REF!,O$3)</f>
        <v>#REF!</v>
      </c>
      <c r="P10" s="26" t="e">
        <f>SUMIFS(#REF!,#REF!,$C10,#REF!,P$3)</f>
        <v>#REF!</v>
      </c>
      <c r="Q10" s="26" t="e">
        <f>SUMIFS(#REF!,#REF!,$C10,#REF!,Q$3)</f>
        <v>#REF!</v>
      </c>
      <c r="R10" s="26" t="e">
        <f>SUMIFS(#REF!,#REF!,$C10,#REF!,R$3)</f>
        <v>#REF!</v>
      </c>
      <c r="S10" s="26" t="e">
        <f>SUMIFS(#REF!,#REF!,$C10,#REF!,S$3)</f>
        <v>#REF!</v>
      </c>
      <c r="T10" s="26" t="e">
        <f>SUMIFS(#REF!,#REF!,$C10,#REF!,T$3)</f>
        <v>#REF!</v>
      </c>
      <c r="U10" s="26" t="e">
        <f>SUMIFS(#REF!,#REF!,$C10,#REF!,U$3)</f>
        <v>#REF!</v>
      </c>
      <c r="V10" s="26" t="e">
        <f>SUMIFS(#REF!,#REF!,$C10,#REF!,V$3)</f>
        <v>#REF!</v>
      </c>
      <c r="W10" s="26" t="e">
        <f>SUMIFS(#REF!,#REF!,$C10,#REF!,W$3)</f>
        <v>#REF!</v>
      </c>
      <c r="X10" s="26" t="e">
        <f>SUMIFS(#REF!,#REF!,$C10,#REF!,X$3)</f>
        <v>#REF!</v>
      </c>
      <c r="Y10" s="26" t="e">
        <f>SUMIFS(#REF!,#REF!,$C10,#REF!,Y$3)</f>
        <v>#REF!</v>
      </c>
      <c r="Z10" s="26" t="e">
        <f>SUMIFS(#REF!,#REF!,$C10,#REF!,Z$3)</f>
        <v>#REF!</v>
      </c>
      <c r="AA10" s="26" t="e">
        <f>SUMIFS(#REF!,#REF!,$C10,#REF!,AA$3)</f>
        <v>#REF!</v>
      </c>
      <c r="AB10" s="26" t="e">
        <f>SUMIFS(#REF!,#REF!,$C10,#REF!,AB$3)</f>
        <v>#REF!</v>
      </c>
      <c r="AC10" s="26" t="e">
        <f>SUMIFS(#REF!,#REF!,$C10,#REF!,AC$3)</f>
        <v>#REF!</v>
      </c>
      <c r="AD10" s="26" t="e">
        <f>SUMIFS(#REF!,#REF!,$C10,#REF!,AD$3)</f>
        <v>#REF!</v>
      </c>
      <c r="AE10" s="26" t="e">
        <f>SUMIFS(#REF!,#REF!,$C10,#REF!,AE$3)</f>
        <v>#REF!</v>
      </c>
      <c r="AF10" s="26" t="e">
        <f>SUMIFS(#REF!,#REF!,$C10,#REF!,AF$3)</f>
        <v>#REF!</v>
      </c>
      <c r="AG10" s="26" t="e">
        <f>SUMIFS(#REF!,#REF!,$C10,#REF!,AG$3)</f>
        <v>#REF!</v>
      </c>
      <c r="AH10" s="26" t="e">
        <f>SUMIFS(#REF!,#REF!,$C10,#REF!,AH$3)</f>
        <v>#REF!</v>
      </c>
      <c r="AI10" s="26" t="e">
        <f>SUMIFS(#REF!,#REF!,$C10,#REF!,AI$3)</f>
        <v>#REF!</v>
      </c>
    </row>
    <row r="11" spans="2:35" ht="20.100000000000001" customHeight="1" x14ac:dyDescent="0.25">
      <c r="B11" s="24">
        <v>7</v>
      </c>
      <c r="C11" s="28" t="e">
        <f>IF(#REF!=0,"",IF(#REF!&lt;&gt;0,#REF!))</f>
        <v>#REF!</v>
      </c>
      <c r="D11" s="25" t="e">
        <f t="shared" si="1"/>
        <v>#REF!</v>
      </c>
      <c r="E11" s="26" t="e">
        <f>SUMIFS(#REF!,#REF!,$C11,#REF!,E$3)</f>
        <v>#REF!</v>
      </c>
      <c r="F11" s="26" t="e">
        <f>SUMIFS(#REF!,#REF!,$C11,#REF!,F$3)</f>
        <v>#REF!</v>
      </c>
      <c r="G11" s="26" t="e">
        <f>SUMIFS(#REF!,#REF!,$C11,#REF!,G$3)</f>
        <v>#REF!</v>
      </c>
      <c r="H11" s="26" t="e">
        <f>SUMIFS(#REF!,#REF!,$C11,#REF!,H$3)</f>
        <v>#REF!</v>
      </c>
      <c r="I11" s="26" t="e">
        <f>SUMIFS(#REF!,#REF!,$C11,#REF!,I$3)</f>
        <v>#REF!</v>
      </c>
      <c r="J11" s="26" t="e">
        <f>SUMIFS(#REF!,#REF!,$C11,#REF!,J$3)</f>
        <v>#REF!</v>
      </c>
      <c r="K11" s="26" t="e">
        <f>SUMIFS(#REF!,#REF!,$C11,#REF!,K$3)</f>
        <v>#REF!</v>
      </c>
      <c r="L11" s="26" t="e">
        <f>SUMIFS(#REF!,#REF!,$C11,#REF!,L$3)</f>
        <v>#REF!</v>
      </c>
      <c r="M11" s="26" t="e">
        <f>SUMIFS(#REF!,#REF!,$C11,#REF!,M$3)</f>
        <v>#REF!</v>
      </c>
      <c r="N11" s="26" t="e">
        <f>SUMIFS(#REF!,#REF!,$C11,#REF!,N$3)</f>
        <v>#REF!</v>
      </c>
      <c r="O11" s="26" t="e">
        <f>SUMIFS(#REF!,#REF!,$C11,#REF!,O$3)</f>
        <v>#REF!</v>
      </c>
      <c r="P11" s="26" t="e">
        <f>SUMIFS(#REF!,#REF!,$C11,#REF!,P$3)</f>
        <v>#REF!</v>
      </c>
      <c r="Q11" s="26" t="e">
        <f>SUMIFS(#REF!,#REF!,$C11,#REF!,Q$3)</f>
        <v>#REF!</v>
      </c>
      <c r="R11" s="26" t="e">
        <f>SUMIFS(#REF!,#REF!,$C11,#REF!,R$3)</f>
        <v>#REF!</v>
      </c>
      <c r="S11" s="26" t="e">
        <f>SUMIFS(#REF!,#REF!,$C11,#REF!,S$3)</f>
        <v>#REF!</v>
      </c>
      <c r="T11" s="26" t="e">
        <f>SUMIFS(#REF!,#REF!,$C11,#REF!,T$3)</f>
        <v>#REF!</v>
      </c>
      <c r="U11" s="26" t="e">
        <f>SUMIFS(#REF!,#REF!,$C11,#REF!,U$3)</f>
        <v>#REF!</v>
      </c>
      <c r="V11" s="26" t="e">
        <f>SUMIFS(#REF!,#REF!,$C11,#REF!,V$3)</f>
        <v>#REF!</v>
      </c>
      <c r="W11" s="26" t="e">
        <f>SUMIFS(#REF!,#REF!,$C11,#REF!,W$3)</f>
        <v>#REF!</v>
      </c>
      <c r="X11" s="26" t="e">
        <f>SUMIFS(#REF!,#REF!,$C11,#REF!,X$3)</f>
        <v>#REF!</v>
      </c>
      <c r="Y11" s="26" t="e">
        <f>SUMIFS(#REF!,#REF!,$C11,#REF!,Y$3)</f>
        <v>#REF!</v>
      </c>
      <c r="Z11" s="26" t="e">
        <f>SUMIFS(#REF!,#REF!,$C11,#REF!,Z$3)</f>
        <v>#REF!</v>
      </c>
      <c r="AA11" s="26" t="e">
        <f>SUMIFS(#REF!,#REF!,$C11,#REF!,AA$3)</f>
        <v>#REF!</v>
      </c>
      <c r="AB11" s="26" t="e">
        <f>SUMIFS(#REF!,#REF!,$C11,#REF!,AB$3)</f>
        <v>#REF!</v>
      </c>
      <c r="AC11" s="26" t="e">
        <f>SUMIFS(#REF!,#REF!,$C11,#REF!,AC$3)</f>
        <v>#REF!</v>
      </c>
      <c r="AD11" s="26" t="e">
        <f>SUMIFS(#REF!,#REF!,$C11,#REF!,AD$3)</f>
        <v>#REF!</v>
      </c>
      <c r="AE11" s="26" t="e">
        <f>SUMIFS(#REF!,#REF!,$C11,#REF!,AE$3)</f>
        <v>#REF!</v>
      </c>
      <c r="AF11" s="26" t="e">
        <f>SUMIFS(#REF!,#REF!,$C11,#REF!,AF$3)</f>
        <v>#REF!</v>
      </c>
      <c r="AG11" s="26" t="e">
        <f>SUMIFS(#REF!,#REF!,$C11,#REF!,AG$3)</f>
        <v>#REF!</v>
      </c>
      <c r="AH11" s="26" t="e">
        <f>SUMIFS(#REF!,#REF!,$C11,#REF!,AH$3)</f>
        <v>#REF!</v>
      </c>
      <c r="AI11" s="26" t="e">
        <f>SUMIFS(#REF!,#REF!,$C11,#REF!,AI$3)</f>
        <v>#REF!</v>
      </c>
    </row>
    <row r="12" spans="2:35" ht="20.100000000000001" customHeight="1" x14ac:dyDescent="0.25">
      <c r="B12" s="24">
        <v>8</v>
      </c>
      <c r="C12" s="28" t="e">
        <f>IF(#REF!=0,"",IF(#REF!&lt;&gt;0,#REF!))</f>
        <v>#REF!</v>
      </c>
      <c r="D12" s="25" t="e">
        <f t="shared" si="1"/>
        <v>#REF!</v>
      </c>
      <c r="E12" s="26" t="e">
        <f>SUMIFS(#REF!,#REF!,$C12,#REF!,E$3)</f>
        <v>#REF!</v>
      </c>
      <c r="F12" s="26" t="e">
        <f>SUMIFS(#REF!,#REF!,$C12,#REF!,F$3)</f>
        <v>#REF!</v>
      </c>
      <c r="G12" s="26" t="e">
        <f>SUMIFS(#REF!,#REF!,$C12,#REF!,G$3)</f>
        <v>#REF!</v>
      </c>
      <c r="H12" s="26" t="e">
        <f>SUMIFS(#REF!,#REF!,$C12,#REF!,H$3)</f>
        <v>#REF!</v>
      </c>
      <c r="I12" s="26" t="e">
        <f>SUMIFS(#REF!,#REF!,$C12,#REF!,I$3)</f>
        <v>#REF!</v>
      </c>
      <c r="J12" s="26" t="e">
        <f>SUMIFS(#REF!,#REF!,$C12,#REF!,J$3)</f>
        <v>#REF!</v>
      </c>
      <c r="K12" s="26" t="e">
        <f>SUMIFS(#REF!,#REF!,$C12,#REF!,K$3)</f>
        <v>#REF!</v>
      </c>
      <c r="L12" s="26" t="e">
        <f>SUMIFS(#REF!,#REF!,$C12,#REF!,L$3)</f>
        <v>#REF!</v>
      </c>
      <c r="M12" s="26" t="e">
        <f>SUMIFS(#REF!,#REF!,$C12,#REF!,M$3)</f>
        <v>#REF!</v>
      </c>
      <c r="N12" s="26" t="e">
        <f>SUMIFS(#REF!,#REF!,$C12,#REF!,N$3)</f>
        <v>#REF!</v>
      </c>
      <c r="O12" s="26" t="e">
        <f>SUMIFS(#REF!,#REF!,$C12,#REF!,O$3)</f>
        <v>#REF!</v>
      </c>
      <c r="P12" s="26" t="e">
        <f>SUMIFS(#REF!,#REF!,$C12,#REF!,P$3)</f>
        <v>#REF!</v>
      </c>
      <c r="Q12" s="26" t="e">
        <f>SUMIFS(#REF!,#REF!,$C12,#REF!,Q$3)</f>
        <v>#REF!</v>
      </c>
      <c r="R12" s="26" t="e">
        <f>SUMIFS(#REF!,#REF!,$C12,#REF!,R$3)</f>
        <v>#REF!</v>
      </c>
      <c r="S12" s="26" t="e">
        <f>SUMIFS(#REF!,#REF!,$C12,#REF!,S$3)</f>
        <v>#REF!</v>
      </c>
      <c r="T12" s="26" t="e">
        <f>SUMIFS(#REF!,#REF!,$C12,#REF!,T$3)</f>
        <v>#REF!</v>
      </c>
      <c r="U12" s="26" t="e">
        <f>SUMIFS(#REF!,#REF!,$C12,#REF!,U$3)</f>
        <v>#REF!</v>
      </c>
      <c r="V12" s="26" t="e">
        <f>SUMIFS(#REF!,#REF!,$C12,#REF!,V$3)</f>
        <v>#REF!</v>
      </c>
      <c r="W12" s="26" t="e">
        <f>SUMIFS(#REF!,#REF!,$C12,#REF!,W$3)</f>
        <v>#REF!</v>
      </c>
      <c r="X12" s="26" t="e">
        <f>SUMIFS(#REF!,#REF!,$C12,#REF!,X$3)</f>
        <v>#REF!</v>
      </c>
      <c r="Y12" s="26" t="e">
        <f>SUMIFS(#REF!,#REF!,$C12,#REF!,Y$3)</f>
        <v>#REF!</v>
      </c>
      <c r="Z12" s="26" t="e">
        <f>SUMIFS(#REF!,#REF!,$C12,#REF!,Z$3)</f>
        <v>#REF!</v>
      </c>
      <c r="AA12" s="26" t="e">
        <f>SUMIFS(#REF!,#REF!,$C12,#REF!,AA$3)</f>
        <v>#REF!</v>
      </c>
      <c r="AB12" s="26" t="e">
        <f>SUMIFS(#REF!,#REF!,$C12,#REF!,AB$3)</f>
        <v>#REF!</v>
      </c>
      <c r="AC12" s="26" t="e">
        <f>SUMIFS(#REF!,#REF!,$C12,#REF!,AC$3)</f>
        <v>#REF!</v>
      </c>
      <c r="AD12" s="26" t="e">
        <f>SUMIFS(#REF!,#REF!,$C12,#REF!,AD$3)</f>
        <v>#REF!</v>
      </c>
      <c r="AE12" s="26" t="e">
        <f>SUMIFS(#REF!,#REF!,$C12,#REF!,AE$3)</f>
        <v>#REF!</v>
      </c>
      <c r="AF12" s="26" t="e">
        <f>SUMIFS(#REF!,#REF!,$C12,#REF!,AF$3)</f>
        <v>#REF!</v>
      </c>
      <c r="AG12" s="26" t="e">
        <f>SUMIFS(#REF!,#REF!,$C12,#REF!,AG$3)</f>
        <v>#REF!</v>
      </c>
      <c r="AH12" s="26" t="e">
        <f>SUMIFS(#REF!,#REF!,$C12,#REF!,AH$3)</f>
        <v>#REF!</v>
      </c>
      <c r="AI12" s="26" t="e">
        <f>SUMIFS(#REF!,#REF!,$C12,#REF!,AI$3)</f>
        <v>#REF!</v>
      </c>
    </row>
    <row r="13" spans="2:35" ht="20.100000000000001" customHeight="1" x14ac:dyDescent="0.25">
      <c r="B13" s="24">
        <v>9</v>
      </c>
      <c r="C13" s="28" t="e">
        <f>IF(#REF!=0,"",IF(#REF!&lt;&gt;0,#REF!))</f>
        <v>#REF!</v>
      </c>
      <c r="D13" s="25" t="e">
        <f t="shared" si="1"/>
        <v>#REF!</v>
      </c>
      <c r="E13" s="26" t="e">
        <f>SUMIFS(#REF!,#REF!,$C13,#REF!,E$3)</f>
        <v>#REF!</v>
      </c>
      <c r="F13" s="26" t="e">
        <f>SUMIFS(#REF!,#REF!,$C13,#REF!,F$3)</f>
        <v>#REF!</v>
      </c>
      <c r="G13" s="26" t="e">
        <f>SUMIFS(#REF!,#REF!,$C13,#REF!,G$3)</f>
        <v>#REF!</v>
      </c>
      <c r="H13" s="26" t="e">
        <f>SUMIFS(#REF!,#REF!,$C13,#REF!,H$3)</f>
        <v>#REF!</v>
      </c>
      <c r="I13" s="26" t="e">
        <f>SUMIFS(#REF!,#REF!,$C13,#REF!,I$3)</f>
        <v>#REF!</v>
      </c>
      <c r="J13" s="26" t="e">
        <f>SUMIFS(#REF!,#REF!,$C13,#REF!,J$3)</f>
        <v>#REF!</v>
      </c>
      <c r="K13" s="26" t="e">
        <f>SUMIFS(#REF!,#REF!,$C13,#REF!,K$3)</f>
        <v>#REF!</v>
      </c>
      <c r="L13" s="26" t="e">
        <f>SUMIFS(#REF!,#REF!,$C13,#REF!,L$3)</f>
        <v>#REF!</v>
      </c>
      <c r="M13" s="26" t="e">
        <f>SUMIFS(#REF!,#REF!,$C13,#REF!,M$3)</f>
        <v>#REF!</v>
      </c>
      <c r="N13" s="26" t="e">
        <f>SUMIFS(#REF!,#REF!,$C13,#REF!,N$3)</f>
        <v>#REF!</v>
      </c>
      <c r="O13" s="26" t="e">
        <f>SUMIFS(#REF!,#REF!,$C13,#REF!,O$3)</f>
        <v>#REF!</v>
      </c>
      <c r="P13" s="26" t="e">
        <f>SUMIFS(#REF!,#REF!,$C13,#REF!,P$3)</f>
        <v>#REF!</v>
      </c>
      <c r="Q13" s="26" t="e">
        <f>SUMIFS(#REF!,#REF!,$C13,#REF!,Q$3)</f>
        <v>#REF!</v>
      </c>
      <c r="R13" s="26" t="e">
        <f>SUMIFS(#REF!,#REF!,$C13,#REF!,R$3)</f>
        <v>#REF!</v>
      </c>
      <c r="S13" s="26" t="e">
        <f>SUMIFS(#REF!,#REF!,$C13,#REF!,S$3)</f>
        <v>#REF!</v>
      </c>
      <c r="T13" s="26" t="e">
        <f>SUMIFS(#REF!,#REF!,$C13,#REF!,T$3)</f>
        <v>#REF!</v>
      </c>
      <c r="U13" s="26" t="e">
        <f>SUMIFS(#REF!,#REF!,$C13,#REF!,U$3)</f>
        <v>#REF!</v>
      </c>
      <c r="V13" s="26" t="e">
        <f>SUMIFS(#REF!,#REF!,$C13,#REF!,V$3)</f>
        <v>#REF!</v>
      </c>
      <c r="W13" s="26" t="e">
        <f>SUMIFS(#REF!,#REF!,$C13,#REF!,W$3)</f>
        <v>#REF!</v>
      </c>
      <c r="X13" s="26" t="e">
        <f>SUMIFS(#REF!,#REF!,$C13,#REF!,X$3)</f>
        <v>#REF!</v>
      </c>
      <c r="Y13" s="26" t="e">
        <f>SUMIFS(#REF!,#REF!,$C13,#REF!,Y$3)</f>
        <v>#REF!</v>
      </c>
      <c r="Z13" s="26" t="e">
        <f>SUMIFS(#REF!,#REF!,$C13,#REF!,Z$3)</f>
        <v>#REF!</v>
      </c>
      <c r="AA13" s="26" t="e">
        <f>SUMIFS(#REF!,#REF!,$C13,#REF!,AA$3)</f>
        <v>#REF!</v>
      </c>
      <c r="AB13" s="26" t="e">
        <f>SUMIFS(#REF!,#REF!,$C13,#REF!,AB$3)</f>
        <v>#REF!</v>
      </c>
      <c r="AC13" s="26" t="e">
        <f>SUMIFS(#REF!,#REF!,$C13,#REF!,AC$3)</f>
        <v>#REF!</v>
      </c>
      <c r="AD13" s="26" t="e">
        <f>SUMIFS(#REF!,#REF!,$C13,#REF!,AD$3)</f>
        <v>#REF!</v>
      </c>
      <c r="AE13" s="26" t="e">
        <f>SUMIFS(#REF!,#REF!,$C13,#REF!,AE$3)</f>
        <v>#REF!</v>
      </c>
      <c r="AF13" s="26" t="e">
        <f>SUMIFS(#REF!,#REF!,$C13,#REF!,AF$3)</f>
        <v>#REF!</v>
      </c>
      <c r="AG13" s="26" t="e">
        <f>SUMIFS(#REF!,#REF!,$C13,#REF!,AG$3)</f>
        <v>#REF!</v>
      </c>
      <c r="AH13" s="26" t="e">
        <f>SUMIFS(#REF!,#REF!,$C13,#REF!,AH$3)</f>
        <v>#REF!</v>
      </c>
      <c r="AI13" s="26" t="e">
        <f>SUMIFS(#REF!,#REF!,$C13,#REF!,AI$3)</f>
        <v>#REF!</v>
      </c>
    </row>
    <row r="14" spans="2:35" ht="20.100000000000001" customHeight="1" x14ac:dyDescent="0.25">
      <c r="B14" s="24">
        <v>10</v>
      </c>
      <c r="C14" s="28" t="e">
        <f>IF(#REF!=0,"",IF(#REF!&lt;&gt;0,#REF!))</f>
        <v>#REF!</v>
      </c>
      <c r="D14" s="25" t="e">
        <f t="shared" si="1"/>
        <v>#REF!</v>
      </c>
      <c r="E14" s="26" t="e">
        <f>SUMIFS(#REF!,#REF!,$C14,#REF!,E$3)</f>
        <v>#REF!</v>
      </c>
      <c r="F14" s="26" t="e">
        <f>SUMIFS(#REF!,#REF!,$C14,#REF!,F$3)</f>
        <v>#REF!</v>
      </c>
      <c r="G14" s="26" t="e">
        <f>SUMIFS(#REF!,#REF!,$C14,#REF!,G$3)</f>
        <v>#REF!</v>
      </c>
      <c r="H14" s="26" t="e">
        <f>SUMIFS(#REF!,#REF!,$C14,#REF!,H$3)</f>
        <v>#REF!</v>
      </c>
      <c r="I14" s="26" t="e">
        <f>SUMIFS(#REF!,#REF!,$C14,#REF!,I$3)</f>
        <v>#REF!</v>
      </c>
      <c r="J14" s="26" t="e">
        <f>SUMIFS(#REF!,#REF!,$C14,#REF!,J$3)</f>
        <v>#REF!</v>
      </c>
      <c r="K14" s="26" t="e">
        <f>SUMIFS(#REF!,#REF!,$C14,#REF!,K$3)</f>
        <v>#REF!</v>
      </c>
      <c r="L14" s="26" t="e">
        <f>SUMIFS(#REF!,#REF!,$C14,#REF!,L$3)</f>
        <v>#REF!</v>
      </c>
      <c r="M14" s="26" t="e">
        <f>SUMIFS(#REF!,#REF!,$C14,#REF!,M$3)</f>
        <v>#REF!</v>
      </c>
      <c r="N14" s="26" t="e">
        <f>SUMIFS(#REF!,#REF!,$C14,#REF!,N$3)</f>
        <v>#REF!</v>
      </c>
      <c r="O14" s="26" t="e">
        <f>SUMIFS(#REF!,#REF!,$C14,#REF!,O$3)</f>
        <v>#REF!</v>
      </c>
      <c r="P14" s="26" t="e">
        <f>SUMIFS(#REF!,#REF!,$C14,#REF!,P$3)</f>
        <v>#REF!</v>
      </c>
      <c r="Q14" s="26" t="e">
        <f>SUMIFS(#REF!,#REF!,$C14,#REF!,Q$3)</f>
        <v>#REF!</v>
      </c>
      <c r="R14" s="26" t="e">
        <f>SUMIFS(#REF!,#REF!,$C14,#REF!,R$3)</f>
        <v>#REF!</v>
      </c>
      <c r="S14" s="26" t="e">
        <f>SUMIFS(#REF!,#REF!,$C14,#REF!,S$3)</f>
        <v>#REF!</v>
      </c>
      <c r="T14" s="26" t="e">
        <f>SUMIFS(#REF!,#REF!,$C14,#REF!,T$3)</f>
        <v>#REF!</v>
      </c>
      <c r="U14" s="26" t="e">
        <f>SUMIFS(#REF!,#REF!,$C14,#REF!,U$3)</f>
        <v>#REF!</v>
      </c>
      <c r="V14" s="26" t="e">
        <f>SUMIFS(#REF!,#REF!,$C14,#REF!,V$3)</f>
        <v>#REF!</v>
      </c>
      <c r="W14" s="26" t="e">
        <f>SUMIFS(#REF!,#REF!,$C14,#REF!,W$3)</f>
        <v>#REF!</v>
      </c>
      <c r="X14" s="26" t="e">
        <f>SUMIFS(#REF!,#REF!,$C14,#REF!,X$3)</f>
        <v>#REF!</v>
      </c>
      <c r="Y14" s="26" t="e">
        <f>SUMIFS(#REF!,#REF!,$C14,#REF!,Y$3)</f>
        <v>#REF!</v>
      </c>
      <c r="Z14" s="26" t="e">
        <f>SUMIFS(#REF!,#REF!,$C14,#REF!,Z$3)</f>
        <v>#REF!</v>
      </c>
      <c r="AA14" s="26" t="e">
        <f>SUMIFS(#REF!,#REF!,$C14,#REF!,AA$3)</f>
        <v>#REF!</v>
      </c>
      <c r="AB14" s="26" t="e">
        <f>SUMIFS(#REF!,#REF!,$C14,#REF!,AB$3)</f>
        <v>#REF!</v>
      </c>
      <c r="AC14" s="26" t="e">
        <f>SUMIFS(#REF!,#REF!,$C14,#REF!,AC$3)</f>
        <v>#REF!</v>
      </c>
      <c r="AD14" s="26" t="e">
        <f>SUMIFS(#REF!,#REF!,$C14,#REF!,AD$3)</f>
        <v>#REF!</v>
      </c>
      <c r="AE14" s="26" t="e">
        <f>SUMIFS(#REF!,#REF!,$C14,#REF!,AE$3)</f>
        <v>#REF!</v>
      </c>
      <c r="AF14" s="26" t="e">
        <f>SUMIFS(#REF!,#REF!,$C14,#REF!,AF$3)</f>
        <v>#REF!</v>
      </c>
      <c r="AG14" s="26" t="e">
        <f>SUMIFS(#REF!,#REF!,$C14,#REF!,AG$3)</f>
        <v>#REF!</v>
      </c>
      <c r="AH14" s="26" t="e">
        <f>SUMIFS(#REF!,#REF!,$C14,#REF!,AH$3)</f>
        <v>#REF!</v>
      </c>
      <c r="AI14" s="26" t="e">
        <f>SUMIFS(#REF!,#REF!,$C14,#REF!,AI$3)</f>
        <v>#REF!</v>
      </c>
    </row>
    <row r="15" spans="2:35" ht="20.100000000000001" customHeight="1" x14ac:dyDescent="0.25">
      <c r="B15" s="24">
        <v>11</v>
      </c>
      <c r="C15" s="28" t="e">
        <f>IF(#REF!=0,"",IF(#REF!&lt;&gt;0,#REF!))</f>
        <v>#REF!</v>
      </c>
      <c r="D15" s="25" t="e">
        <f t="shared" si="1"/>
        <v>#REF!</v>
      </c>
      <c r="E15" s="26" t="e">
        <f>SUMIFS(#REF!,#REF!,$C15,#REF!,E$3)</f>
        <v>#REF!</v>
      </c>
      <c r="F15" s="26" t="e">
        <f>SUMIFS(#REF!,#REF!,$C15,#REF!,F$3)</f>
        <v>#REF!</v>
      </c>
      <c r="G15" s="26" t="e">
        <f>SUMIFS(#REF!,#REF!,$C15,#REF!,G$3)</f>
        <v>#REF!</v>
      </c>
      <c r="H15" s="26" t="e">
        <f>SUMIFS(#REF!,#REF!,$C15,#REF!,H$3)</f>
        <v>#REF!</v>
      </c>
      <c r="I15" s="26" t="e">
        <f>SUMIFS(#REF!,#REF!,$C15,#REF!,I$3)</f>
        <v>#REF!</v>
      </c>
      <c r="J15" s="26" t="e">
        <f>SUMIFS(#REF!,#REF!,$C15,#REF!,J$3)</f>
        <v>#REF!</v>
      </c>
      <c r="K15" s="26" t="e">
        <f>SUMIFS(#REF!,#REF!,$C15,#REF!,K$3)</f>
        <v>#REF!</v>
      </c>
      <c r="L15" s="26" t="e">
        <f>SUMIFS(#REF!,#REF!,$C15,#REF!,L$3)</f>
        <v>#REF!</v>
      </c>
      <c r="M15" s="26" t="e">
        <f>SUMIFS(#REF!,#REF!,$C15,#REF!,M$3)</f>
        <v>#REF!</v>
      </c>
      <c r="N15" s="26" t="e">
        <f>SUMIFS(#REF!,#REF!,$C15,#REF!,N$3)</f>
        <v>#REF!</v>
      </c>
      <c r="O15" s="26" t="e">
        <f>SUMIFS(#REF!,#REF!,$C15,#REF!,O$3)</f>
        <v>#REF!</v>
      </c>
      <c r="P15" s="26" t="e">
        <f>SUMIFS(#REF!,#REF!,$C15,#REF!,P$3)</f>
        <v>#REF!</v>
      </c>
      <c r="Q15" s="26" t="e">
        <f>SUMIFS(#REF!,#REF!,$C15,#REF!,Q$3)</f>
        <v>#REF!</v>
      </c>
      <c r="R15" s="26" t="e">
        <f>SUMIFS(#REF!,#REF!,$C15,#REF!,R$3)</f>
        <v>#REF!</v>
      </c>
      <c r="S15" s="26" t="e">
        <f>SUMIFS(#REF!,#REF!,$C15,#REF!,S$3)</f>
        <v>#REF!</v>
      </c>
      <c r="T15" s="26" t="e">
        <f>SUMIFS(#REF!,#REF!,$C15,#REF!,T$3)</f>
        <v>#REF!</v>
      </c>
      <c r="U15" s="26" t="e">
        <f>SUMIFS(#REF!,#REF!,$C15,#REF!,U$3)</f>
        <v>#REF!</v>
      </c>
      <c r="V15" s="26" t="e">
        <f>SUMIFS(#REF!,#REF!,$C15,#REF!,V$3)</f>
        <v>#REF!</v>
      </c>
      <c r="W15" s="26" t="e">
        <f>SUMIFS(#REF!,#REF!,$C15,#REF!,W$3)</f>
        <v>#REF!</v>
      </c>
      <c r="X15" s="26" t="e">
        <f>SUMIFS(#REF!,#REF!,$C15,#REF!,X$3)</f>
        <v>#REF!</v>
      </c>
      <c r="Y15" s="26" t="e">
        <f>SUMIFS(#REF!,#REF!,$C15,#REF!,Y$3)</f>
        <v>#REF!</v>
      </c>
      <c r="Z15" s="26" t="e">
        <f>SUMIFS(#REF!,#REF!,$C15,#REF!,Z$3)</f>
        <v>#REF!</v>
      </c>
      <c r="AA15" s="26" t="e">
        <f>SUMIFS(#REF!,#REF!,$C15,#REF!,AA$3)</f>
        <v>#REF!</v>
      </c>
      <c r="AB15" s="26" t="e">
        <f>SUMIFS(#REF!,#REF!,$C15,#REF!,AB$3)</f>
        <v>#REF!</v>
      </c>
      <c r="AC15" s="26" t="e">
        <f>SUMIFS(#REF!,#REF!,$C15,#REF!,AC$3)</f>
        <v>#REF!</v>
      </c>
      <c r="AD15" s="26" t="e">
        <f>SUMIFS(#REF!,#REF!,$C15,#REF!,AD$3)</f>
        <v>#REF!</v>
      </c>
      <c r="AE15" s="26" t="e">
        <f>SUMIFS(#REF!,#REF!,$C15,#REF!,AE$3)</f>
        <v>#REF!</v>
      </c>
      <c r="AF15" s="26" t="e">
        <f>SUMIFS(#REF!,#REF!,$C15,#REF!,AF$3)</f>
        <v>#REF!</v>
      </c>
      <c r="AG15" s="26" t="e">
        <f>SUMIFS(#REF!,#REF!,$C15,#REF!,AG$3)</f>
        <v>#REF!</v>
      </c>
      <c r="AH15" s="26" t="e">
        <f>SUMIFS(#REF!,#REF!,$C15,#REF!,AH$3)</f>
        <v>#REF!</v>
      </c>
      <c r="AI15" s="26" t="e">
        <f>SUMIFS(#REF!,#REF!,$C15,#REF!,AI$3)</f>
        <v>#REF!</v>
      </c>
    </row>
    <row r="16" spans="2:35" ht="20.100000000000001" customHeight="1" x14ac:dyDescent="0.25">
      <c r="B16" s="24">
        <v>12</v>
      </c>
      <c r="C16" s="28" t="e">
        <f>IF(#REF!=0,"",IF(#REF!&lt;&gt;0,#REF!))</f>
        <v>#REF!</v>
      </c>
      <c r="D16" s="25" t="e">
        <f t="shared" si="1"/>
        <v>#REF!</v>
      </c>
      <c r="E16" s="26" t="e">
        <f>SUMIFS(#REF!,#REF!,$C16,#REF!,E$3)</f>
        <v>#REF!</v>
      </c>
      <c r="F16" s="26" t="e">
        <f>SUMIFS(#REF!,#REF!,$C16,#REF!,F$3)</f>
        <v>#REF!</v>
      </c>
      <c r="G16" s="26" t="e">
        <f>SUMIFS(#REF!,#REF!,$C16,#REF!,G$3)</f>
        <v>#REF!</v>
      </c>
      <c r="H16" s="26" t="e">
        <f>SUMIFS(#REF!,#REF!,$C16,#REF!,H$3)</f>
        <v>#REF!</v>
      </c>
      <c r="I16" s="26" t="e">
        <f>SUMIFS(#REF!,#REF!,$C16,#REF!,I$3)</f>
        <v>#REF!</v>
      </c>
      <c r="J16" s="26" t="e">
        <f>SUMIFS(#REF!,#REF!,$C16,#REF!,J$3)</f>
        <v>#REF!</v>
      </c>
      <c r="K16" s="26" t="e">
        <f>SUMIFS(#REF!,#REF!,$C16,#REF!,K$3)</f>
        <v>#REF!</v>
      </c>
      <c r="L16" s="26" t="e">
        <f>SUMIFS(#REF!,#REF!,$C16,#REF!,L$3)</f>
        <v>#REF!</v>
      </c>
      <c r="M16" s="26" t="e">
        <f>SUMIFS(#REF!,#REF!,$C16,#REF!,M$3)</f>
        <v>#REF!</v>
      </c>
      <c r="N16" s="26" t="e">
        <f>SUMIFS(#REF!,#REF!,$C16,#REF!,N$3)</f>
        <v>#REF!</v>
      </c>
      <c r="O16" s="26" t="e">
        <f>SUMIFS(#REF!,#REF!,$C16,#REF!,O$3)</f>
        <v>#REF!</v>
      </c>
      <c r="P16" s="26" t="e">
        <f>SUMIFS(#REF!,#REF!,$C16,#REF!,P$3)</f>
        <v>#REF!</v>
      </c>
      <c r="Q16" s="26" t="e">
        <f>SUMIFS(#REF!,#REF!,$C16,#REF!,Q$3)</f>
        <v>#REF!</v>
      </c>
      <c r="R16" s="26" t="e">
        <f>SUMIFS(#REF!,#REF!,$C16,#REF!,R$3)</f>
        <v>#REF!</v>
      </c>
      <c r="S16" s="26" t="e">
        <f>SUMIFS(#REF!,#REF!,$C16,#REF!,S$3)</f>
        <v>#REF!</v>
      </c>
      <c r="T16" s="26" t="e">
        <f>SUMIFS(#REF!,#REF!,$C16,#REF!,T$3)</f>
        <v>#REF!</v>
      </c>
      <c r="U16" s="26" t="e">
        <f>SUMIFS(#REF!,#REF!,$C16,#REF!,U$3)</f>
        <v>#REF!</v>
      </c>
      <c r="V16" s="26" t="e">
        <f>SUMIFS(#REF!,#REF!,$C16,#REF!,V$3)</f>
        <v>#REF!</v>
      </c>
      <c r="W16" s="26" t="e">
        <f>SUMIFS(#REF!,#REF!,$C16,#REF!,W$3)</f>
        <v>#REF!</v>
      </c>
      <c r="X16" s="26" t="e">
        <f>SUMIFS(#REF!,#REF!,$C16,#REF!,X$3)</f>
        <v>#REF!</v>
      </c>
      <c r="Y16" s="26" t="e">
        <f>SUMIFS(#REF!,#REF!,$C16,#REF!,Y$3)</f>
        <v>#REF!</v>
      </c>
      <c r="Z16" s="26" t="e">
        <f>SUMIFS(#REF!,#REF!,$C16,#REF!,Z$3)</f>
        <v>#REF!</v>
      </c>
      <c r="AA16" s="26" t="e">
        <f>SUMIFS(#REF!,#REF!,$C16,#REF!,AA$3)</f>
        <v>#REF!</v>
      </c>
      <c r="AB16" s="26" t="e">
        <f>SUMIFS(#REF!,#REF!,$C16,#REF!,AB$3)</f>
        <v>#REF!</v>
      </c>
      <c r="AC16" s="26" t="e">
        <f>SUMIFS(#REF!,#REF!,$C16,#REF!,AC$3)</f>
        <v>#REF!</v>
      </c>
      <c r="AD16" s="26" t="e">
        <f>SUMIFS(#REF!,#REF!,$C16,#REF!,AD$3)</f>
        <v>#REF!</v>
      </c>
      <c r="AE16" s="26" t="e">
        <f>SUMIFS(#REF!,#REF!,$C16,#REF!,AE$3)</f>
        <v>#REF!</v>
      </c>
      <c r="AF16" s="26" t="e">
        <f>SUMIFS(#REF!,#REF!,$C16,#REF!,AF$3)</f>
        <v>#REF!</v>
      </c>
      <c r="AG16" s="26" t="e">
        <f>SUMIFS(#REF!,#REF!,$C16,#REF!,AG$3)</f>
        <v>#REF!</v>
      </c>
      <c r="AH16" s="26" t="e">
        <f>SUMIFS(#REF!,#REF!,$C16,#REF!,AH$3)</f>
        <v>#REF!</v>
      </c>
      <c r="AI16" s="26" t="e">
        <f>SUMIFS(#REF!,#REF!,$C16,#REF!,AI$3)</f>
        <v>#REF!</v>
      </c>
    </row>
    <row r="17" spans="2:35" ht="20.100000000000001" customHeight="1" x14ac:dyDescent="0.25">
      <c r="B17" s="24">
        <v>13</v>
      </c>
      <c r="C17" s="28" t="e">
        <f>IF(#REF!=0,"",IF(#REF!&lt;&gt;0,#REF!))</f>
        <v>#REF!</v>
      </c>
      <c r="D17" s="25" t="e">
        <f t="shared" si="1"/>
        <v>#REF!</v>
      </c>
      <c r="E17" s="26" t="e">
        <f>SUMIFS(#REF!,#REF!,$C17,#REF!,E$3)</f>
        <v>#REF!</v>
      </c>
      <c r="F17" s="26" t="e">
        <f>SUMIFS(#REF!,#REF!,$C17,#REF!,F$3)</f>
        <v>#REF!</v>
      </c>
      <c r="G17" s="26" t="e">
        <f>SUMIFS(#REF!,#REF!,$C17,#REF!,G$3)</f>
        <v>#REF!</v>
      </c>
      <c r="H17" s="26" t="e">
        <f>SUMIFS(#REF!,#REF!,$C17,#REF!,H$3)</f>
        <v>#REF!</v>
      </c>
      <c r="I17" s="26" t="e">
        <f>SUMIFS(#REF!,#REF!,$C17,#REF!,I$3)</f>
        <v>#REF!</v>
      </c>
      <c r="J17" s="26" t="e">
        <f>SUMIFS(#REF!,#REF!,$C17,#REF!,J$3)</f>
        <v>#REF!</v>
      </c>
      <c r="K17" s="26" t="e">
        <f>SUMIFS(#REF!,#REF!,$C17,#REF!,K$3)</f>
        <v>#REF!</v>
      </c>
      <c r="L17" s="26" t="e">
        <f>SUMIFS(#REF!,#REF!,$C17,#REF!,L$3)</f>
        <v>#REF!</v>
      </c>
      <c r="M17" s="26" t="e">
        <f>SUMIFS(#REF!,#REF!,$C17,#REF!,M$3)</f>
        <v>#REF!</v>
      </c>
      <c r="N17" s="26" t="e">
        <f>SUMIFS(#REF!,#REF!,$C17,#REF!,N$3)</f>
        <v>#REF!</v>
      </c>
      <c r="O17" s="26" t="e">
        <f>SUMIFS(#REF!,#REF!,$C17,#REF!,O$3)</f>
        <v>#REF!</v>
      </c>
      <c r="P17" s="26" t="e">
        <f>SUMIFS(#REF!,#REF!,$C17,#REF!,P$3)</f>
        <v>#REF!</v>
      </c>
      <c r="Q17" s="26" t="e">
        <f>SUMIFS(#REF!,#REF!,$C17,#REF!,Q$3)</f>
        <v>#REF!</v>
      </c>
      <c r="R17" s="26" t="e">
        <f>SUMIFS(#REF!,#REF!,$C17,#REF!,R$3)</f>
        <v>#REF!</v>
      </c>
      <c r="S17" s="26" t="e">
        <f>SUMIFS(#REF!,#REF!,$C17,#REF!,S$3)</f>
        <v>#REF!</v>
      </c>
      <c r="T17" s="26" t="e">
        <f>SUMIFS(#REF!,#REF!,$C17,#REF!,T$3)</f>
        <v>#REF!</v>
      </c>
      <c r="U17" s="26" t="e">
        <f>SUMIFS(#REF!,#REF!,$C17,#REF!,U$3)</f>
        <v>#REF!</v>
      </c>
      <c r="V17" s="26" t="e">
        <f>SUMIFS(#REF!,#REF!,$C17,#REF!,V$3)</f>
        <v>#REF!</v>
      </c>
      <c r="W17" s="26" t="e">
        <f>SUMIFS(#REF!,#REF!,$C17,#REF!,W$3)</f>
        <v>#REF!</v>
      </c>
      <c r="X17" s="26" t="e">
        <f>SUMIFS(#REF!,#REF!,$C17,#REF!,X$3)</f>
        <v>#REF!</v>
      </c>
      <c r="Y17" s="26" t="e">
        <f>SUMIFS(#REF!,#REF!,$C17,#REF!,Y$3)</f>
        <v>#REF!</v>
      </c>
      <c r="Z17" s="26" t="e">
        <f>SUMIFS(#REF!,#REF!,$C17,#REF!,Z$3)</f>
        <v>#REF!</v>
      </c>
      <c r="AA17" s="26" t="e">
        <f>SUMIFS(#REF!,#REF!,$C17,#REF!,AA$3)</f>
        <v>#REF!</v>
      </c>
      <c r="AB17" s="26" t="e">
        <f>SUMIFS(#REF!,#REF!,$C17,#REF!,AB$3)</f>
        <v>#REF!</v>
      </c>
      <c r="AC17" s="26" t="e">
        <f>SUMIFS(#REF!,#REF!,$C17,#REF!,AC$3)</f>
        <v>#REF!</v>
      </c>
      <c r="AD17" s="26" t="e">
        <f>SUMIFS(#REF!,#REF!,$C17,#REF!,AD$3)</f>
        <v>#REF!</v>
      </c>
      <c r="AE17" s="26" t="e">
        <f>SUMIFS(#REF!,#REF!,$C17,#REF!,AE$3)</f>
        <v>#REF!</v>
      </c>
      <c r="AF17" s="26" t="e">
        <f>SUMIFS(#REF!,#REF!,$C17,#REF!,AF$3)</f>
        <v>#REF!</v>
      </c>
      <c r="AG17" s="26" t="e">
        <f>SUMIFS(#REF!,#REF!,$C17,#REF!,AG$3)</f>
        <v>#REF!</v>
      </c>
      <c r="AH17" s="26" t="e">
        <f>SUMIFS(#REF!,#REF!,$C17,#REF!,AH$3)</f>
        <v>#REF!</v>
      </c>
      <c r="AI17" s="26" t="e">
        <f>SUMIFS(#REF!,#REF!,$C17,#REF!,AI$3)</f>
        <v>#REF!</v>
      </c>
    </row>
    <row r="18" spans="2:35" ht="20.100000000000001" customHeight="1" x14ac:dyDescent="0.25">
      <c r="B18" s="24">
        <v>14</v>
      </c>
      <c r="C18" s="28" t="e">
        <f>IF(#REF!=0,"",IF(#REF!&lt;&gt;0,#REF!))</f>
        <v>#REF!</v>
      </c>
      <c r="D18" s="25" t="e">
        <f t="shared" si="1"/>
        <v>#REF!</v>
      </c>
      <c r="E18" s="26" t="e">
        <f>SUMIFS(#REF!,#REF!,$C18,#REF!,E$3)</f>
        <v>#REF!</v>
      </c>
      <c r="F18" s="26" t="e">
        <f>SUMIFS(#REF!,#REF!,$C18,#REF!,F$3)</f>
        <v>#REF!</v>
      </c>
      <c r="G18" s="26" t="e">
        <f>SUMIFS(#REF!,#REF!,$C18,#REF!,G$3)</f>
        <v>#REF!</v>
      </c>
      <c r="H18" s="26" t="e">
        <f>SUMIFS(#REF!,#REF!,$C18,#REF!,H$3)</f>
        <v>#REF!</v>
      </c>
      <c r="I18" s="26" t="e">
        <f>SUMIFS(#REF!,#REF!,$C18,#REF!,I$3)</f>
        <v>#REF!</v>
      </c>
      <c r="J18" s="26" t="e">
        <f>SUMIFS(#REF!,#REF!,$C18,#REF!,J$3)</f>
        <v>#REF!</v>
      </c>
      <c r="K18" s="26" t="e">
        <f>SUMIFS(#REF!,#REF!,$C18,#REF!,K$3)</f>
        <v>#REF!</v>
      </c>
      <c r="L18" s="26" t="e">
        <f>SUMIFS(#REF!,#REF!,$C18,#REF!,L$3)</f>
        <v>#REF!</v>
      </c>
      <c r="M18" s="26" t="e">
        <f>SUMIFS(#REF!,#REF!,$C18,#REF!,M$3)</f>
        <v>#REF!</v>
      </c>
      <c r="N18" s="26" t="e">
        <f>SUMIFS(#REF!,#REF!,$C18,#REF!,N$3)</f>
        <v>#REF!</v>
      </c>
      <c r="O18" s="26" t="e">
        <f>SUMIFS(#REF!,#REF!,$C18,#REF!,O$3)</f>
        <v>#REF!</v>
      </c>
      <c r="P18" s="26" t="e">
        <f>SUMIFS(#REF!,#REF!,$C18,#REF!,P$3)</f>
        <v>#REF!</v>
      </c>
      <c r="Q18" s="26" t="e">
        <f>SUMIFS(#REF!,#REF!,$C18,#REF!,Q$3)</f>
        <v>#REF!</v>
      </c>
      <c r="R18" s="26" t="e">
        <f>SUMIFS(#REF!,#REF!,$C18,#REF!,R$3)</f>
        <v>#REF!</v>
      </c>
      <c r="S18" s="26" t="e">
        <f>SUMIFS(#REF!,#REF!,$C18,#REF!,S$3)</f>
        <v>#REF!</v>
      </c>
      <c r="T18" s="26" t="e">
        <f>SUMIFS(#REF!,#REF!,$C18,#REF!,T$3)</f>
        <v>#REF!</v>
      </c>
      <c r="U18" s="26" t="e">
        <f>SUMIFS(#REF!,#REF!,$C18,#REF!,U$3)</f>
        <v>#REF!</v>
      </c>
      <c r="V18" s="26" t="e">
        <f>SUMIFS(#REF!,#REF!,$C18,#REF!,V$3)</f>
        <v>#REF!</v>
      </c>
      <c r="W18" s="26" t="e">
        <f>SUMIFS(#REF!,#REF!,$C18,#REF!,W$3)</f>
        <v>#REF!</v>
      </c>
      <c r="X18" s="26" t="e">
        <f>SUMIFS(#REF!,#REF!,$C18,#REF!,X$3)</f>
        <v>#REF!</v>
      </c>
      <c r="Y18" s="26" t="e">
        <f>SUMIFS(#REF!,#REF!,$C18,#REF!,Y$3)</f>
        <v>#REF!</v>
      </c>
      <c r="Z18" s="26" t="e">
        <f>SUMIFS(#REF!,#REF!,$C18,#REF!,Z$3)</f>
        <v>#REF!</v>
      </c>
      <c r="AA18" s="26" t="e">
        <f>SUMIFS(#REF!,#REF!,$C18,#REF!,AA$3)</f>
        <v>#REF!</v>
      </c>
      <c r="AB18" s="26" t="e">
        <f>SUMIFS(#REF!,#REF!,$C18,#REF!,AB$3)</f>
        <v>#REF!</v>
      </c>
      <c r="AC18" s="26" t="e">
        <f>SUMIFS(#REF!,#REF!,$C18,#REF!,AC$3)</f>
        <v>#REF!</v>
      </c>
      <c r="AD18" s="26" t="e">
        <f>SUMIFS(#REF!,#REF!,$C18,#REF!,AD$3)</f>
        <v>#REF!</v>
      </c>
      <c r="AE18" s="26" t="e">
        <f>SUMIFS(#REF!,#REF!,$C18,#REF!,AE$3)</f>
        <v>#REF!</v>
      </c>
      <c r="AF18" s="26" t="e">
        <f>SUMIFS(#REF!,#REF!,$C18,#REF!,AF$3)</f>
        <v>#REF!</v>
      </c>
      <c r="AG18" s="26" t="e">
        <f>SUMIFS(#REF!,#REF!,$C18,#REF!,AG$3)</f>
        <v>#REF!</v>
      </c>
      <c r="AH18" s="26" t="e">
        <f>SUMIFS(#REF!,#REF!,$C18,#REF!,AH$3)</f>
        <v>#REF!</v>
      </c>
      <c r="AI18" s="26" t="e">
        <f>SUMIFS(#REF!,#REF!,$C18,#REF!,AI$3)</f>
        <v>#REF!</v>
      </c>
    </row>
    <row r="19" spans="2:35" ht="20.100000000000001" customHeight="1" x14ac:dyDescent="0.25">
      <c r="B19" s="24">
        <v>15</v>
      </c>
      <c r="C19" s="28" t="e">
        <f>IF(#REF!=0,"",IF(#REF!&lt;&gt;0,#REF!))</f>
        <v>#REF!</v>
      </c>
      <c r="D19" s="25" t="e">
        <f t="shared" si="1"/>
        <v>#REF!</v>
      </c>
      <c r="E19" s="26" t="e">
        <f>SUMIFS(#REF!,#REF!,$C19,#REF!,E$3)</f>
        <v>#REF!</v>
      </c>
      <c r="F19" s="26" t="e">
        <f>SUMIFS(#REF!,#REF!,$C19,#REF!,F$3)</f>
        <v>#REF!</v>
      </c>
      <c r="G19" s="26" t="e">
        <f>SUMIFS(#REF!,#REF!,$C19,#REF!,G$3)</f>
        <v>#REF!</v>
      </c>
      <c r="H19" s="26" t="e">
        <f>SUMIFS(#REF!,#REF!,$C19,#REF!,H$3)</f>
        <v>#REF!</v>
      </c>
      <c r="I19" s="26" t="e">
        <f>SUMIFS(#REF!,#REF!,$C19,#REF!,I$3)</f>
        <v>#REF!</v>
      </c>
      <c r="J19" s="26" t="e">
        <f>SUMIFS(#REF!,#REF!,$C19,#REF!,J$3)</f>
        <v>#REF!</v>
      </c>
      <c r="K19" s="26" t="e">
        <f>SUMIFS(#REF!,#REF!,$C19,#REF!,K$3)</f>
        <v>#REF!</v>
      </c>
      <c r="L19" s="26" t="e">
        <f>SUMIFS(#REF!,#REF!,$C19,#REF!,L$3)</f>
        <v>#REF!</v>
      </c>
      <c r="M19" s="26" t="e">
        <f>SUMIFS(#REF!,#REF!,$C19,#REF!,M$3)</f>
        <v>#REF!</v>
      </c>
      <c r="N19" s="26" t="e">
        <f>SUMIFS(#REF!,#REF!,$C19,#REF!,N$3)</f>
        <v>#REF!</v>
      </c>
      <c r="O19" s="26" t="e">
        <f>SUMIFS(#REF!,#REF!,$C19,#REF!,O$3)</f>
        <v>#REF!</v>
      </c>
      <c r="P19" s="26" t="e">
        <f>SUMIFS(#REF!,#REF!,$C19,#REF!,P$3)</f>
        <v>#REF!</v>
      </c>
      <c r="Q19" s="26" t="e">
        <f>SUMIFS(#REF!,#REF!,$C19,#REF!,Q$3)</f>
        <v>#REF!</v>
      </c>
      <c r="R19" s="26" t="e">
        <f>SUMIFS(#REF!,#REF!,$C19,#REF!,R$3)</f>
        <v>#REF!</v>
      </c>
      <c r="S19" s="26" t="e">
        <f>SUMIFS(#REF!,#REF!,$C19,#REF!,S$3)</f>
        <v>#REF!</v>
      </c>
      <c r="T19" s="26" t="e">
        <f>SUMIFS(#REF!,#REF!,$C19,#REF!,T$3)</f>
        <v>#REF!</v>
      </c>
      <c r="U19" s="26" t="e">
        <f>SUMIFS(#REF!,#REF!,$C19,#REF!,U$3)</f>
        <v>#REF!</v>
      </c>
      <c r="V19" s="26" t="e">
        <f>SUMIFS(#REF!,#REF!,$C19,#REF!,V$3)</f>
        <v>#REF!</v>
      </c>
      <c r="W19" s="26" t="e">
        <f>SUMIFS(#REF!,#REF!,$C19,#REF!,W$3)</f>
        <v>#REF!</v>
      </c>
      <c r="X19" s="26" t="e">
        <f>SUMIFS(#REF!,#REF!,$C19,#REF!,X$3)</f>
        <v>#REF!</v>
      </c>
      <c r="Y19" s="26" t="e">
        <f>SUMIFS(#REF!,#REF!,$C19,#REF!,Y$3)</f>
        <v>#REF!</v>
      </c>
      <c r="Z19" s="26" t="e">
        <f>SUMIFS(#REF!,#REF!,$C19,#REF!,Z$3)</f>
        <v>#REF!</v>
      </c>
      <c r="AA19" s="26" t="e">
        <f>SUMIFS(#REF!,#REF!,$C19,#REF!,AA$3)</f>
        <v>#REF!</v>
      </c>
      <c r="AB19" s="26" t="e">
        <f>SUMIFS(#REF!,#REF!,$C19,#REF!,AB$3)</f>
        <v>#REF!</v>
      </c>
      <c r="AC19" s="26" t="e">
        <f>SUMIFS(#REF!,#REF!,$C19,#REF!,AC$3)</f>
        <v>#REF!</v>
      </c>
      <c r="AD19" s="26" t="e">
        <f>SUMIFS(#REF!,#REF!,$C19,#REF!,AD$3)</f>
        <v>#REF!</v>
      </c>
      <c r="AE19" s="26" t="e">
        <f>SUMIFS(#REF!,#REF!,$C19,#REF!,AE$3)</f>
        <v>#REF!</v>
      </c>
      <c r="AF19" s="26" t="e">
        <f>SUMIFS(#REF!,#REF!,$C19,#REF!,AF$3)</f>
        <v>#REF!</v>
      </c>
      <c r="AG19" s="26" t="e">
        <f>SUMIFS(#REF!,#REF!,$C19,#REF!,AG$3)</f>
        <v>#REF!</v>
      </c>
      <c r="AH19" s="26" t="e">
        <f>SUMIFS(#REF!,#REF!,$C19,#REF!,AH$3)</f>
        <v>#REF!</v>
      </c>
      <c r="AI19" s="26" t="e">
        <f>SUMIFS(#REF!,#REF!,$C19,#REF!,AI$3)</f>
        <v>#REF!</v>
      </c>
    </row>
    <row r="20" spans="2:35" ht="20.100000000000001" customHeight="1" x14ac:dyDescent="0.25">
      <c r="B20" s="24">
        <v>16</v>
      </c>
      <c r="C20" s="28" t="e">
        <f>IF(#REF!=0,"",IF(#REF!&lt;&gt;0,#REF!))</f>
        <v>#REF!</v>
      </c>
      <c r="D20" s="25" t="e">
        <f t="shared" si="1"/>
        <v>#REF!</v>
      </c>
      <c r="E20" s="26" t="e">
        <f>SUMIFS(#REF!,#REF!,$C20,#REF!,E$3)</f>
        <v>#REF!</v>
      </c>
      <c r="F20" s="26" t="e">
        <f>SUMIFS(#REF!,#REF!,$C20,#REF!,F$3)</f>
        <v>#REF!</v>
      </c>
      <c r="G20" s="26" t="e">
        <f>SUMIFS(#REF!,#REF!,$C20,#REF!,G$3)</f>
        <v>#REF!</v>
      </c>
      <c r="H20" s="26" t="e">
        <f>SUMIFS(#REF!,#REF!,$C20,#REF!,H$3)</f>
        <v>#REF!</v>
      </c>
      <c r="I20" s="26" t="e">
        <f>SUMIFS(#REF!,#REF!,$C20,#REF!,I$3)</f>
        <v>#REF!</v>
      </c>
      <c r="J20" s="26" t="e">
        <f>SUMIFS(#REF!,#REF!,$C20,#REF!,J$3)</f>
        <v>#REF!</v>
      </c>
      <c r="K20" s="26" t="e">
        <f>SUMIFS(#REF!,#REF!,$C20,#REF!,K$3)</f>
        <v>#REF!</v>
      </c>
      <c r="L20" s="26" t="e">
        <f>SUMIFS(#REF!,#REF!,$C20,#REF!,L$3)</f>
        <v>#REF!</v>
      </c>
      <c r="M20" s="26" t="e">
        <f>SUMIFS(#REF!,#REF!,$C20,#REF!,M$3)</f>
        <v>#REF!</v>
      </c>
      <c r="N20" s="26" t="e">
        <f>SUMIFS(#REF!,#REF!,$C20,#REF!,N$3)</f>
        <v>#REF!</v>
      </c>
      <c r="O20" s="26" t="e">
        <f>SUMIFS(#REF!,#REF!,$C20,#REF!,O$3)</f>
        <v>#REF!</v>
      </c>
      <c r="P20" s="26" t="e">
        <f>SUMIFS(#REF!,#REF!,$C20,#REF!,P$3)</f>
        <v>#REF!</v>
      </c>
      <c r="Q20" s="26" t="e">
        <f>SUMIFS(#REF!,#REF!,$C20,#REF!,Q$3)</f>
        <v>#REF!</v>
      </c>
      <c r="R20" s="26" t="e">
        <f>SUMIFS(#REF!,#REF!,$C20,#REF!,R$3)</f>
        <v>#REF!</v>
      </c>
      <c r="S20" s="26" t="e">
        <f>SUMIFS(#REF!,#REF!,$C20,#REF!,S$3)</f>
        <v>#REF!</v>
      </c>
      <c r="T20" s="26" t="e">
        <f>SUMIFS(#REF!,#REF!,$C20,#REF!,T$3)</f>
        <v>#REF!</v>
      </c>
      <c r="U20" s="26" t="e">
        <f>SUMIFS(#REF!,#REF!,$C20,#REF!,U$3)</f>
        <v>#REF!</v>
      </c>
      <c r="V20" s="26" t="e">
        <f>SUMIFS(#REF!,#REF!,$C20,#REF!,V$3)</f>
        <v>#REF!</v>
      </c>
      <c r="W20" s="26" t="e">
        <f>SUMIFS(#REF!,#REF!,$C20,#REF!,W$3)</f>
        <v>#REF!</v>
      </c>
      <c r="X20" s="26" t="e">
        <f>SUMIFS(#REF!,#REF!,$C20,#REF!,X$3)</f>
        <v>#REF!</v>
      </c>
      <c r="Y20" s="26" t="e">
        <f>SUMIFS(#REF!,#REF!,$C20,#REF!,Y$3)</f>
        <v>#REF!</v>
      </c>
      <c r="Z20" s="26" t="e">
        <f>SUMIFS(#REF!,#REF!,$C20,#REF!,Z$3)</f>
        <v>#REF!</v>
      </c>
      <c r="AA20" s="26" t="e">
        <f>SUMIFS(#REF!,#REF!,$C20,#REF!,AA$3)</f>
        <v>#REF!</v>
      </c>
      <c r="AB20" s="26" t="e">
        <f>SUMIFS(#REF!,#REF!,$C20,#REF!,AB$3)</f>
        <v>#REF!</v>
      </c>
      <c r="AC20" s="26" t="e">
        <f>SUMIFS(#REF!,#REF!,$C20,#REF!,AC$3)</f>
        <v>#REF!</v>
      </c>
      <c r="AD20" s="26" t="e">
        <f>SUMIFS(#REF!,#REF!,$C20,#REF!,AD$3)</f>
        <v>#REF!</v>
      </c>
      <c r="AE20" s="26" t="e">
        <f>SUMIFS(#REF!,#REF!,$C20,#REF!,AE$3)</f>
        <v>#REF!</v>
      </c>
      <c r="AF20" s="26" t="e">
        <f>SUMIFS(#REF!,#REF!,$C20,#REF!,AF$3)</f>
        <v>#REF!</v>
      </c>
      <c r="AG20" s="26" t="e">
        <f>SUMIFS(#REF!,#REF!,$C20,#REF!,AG$3)</f>
        <v>#REF!</v>
      </c>
      <c r="AH20" s="26" t="e">
        <f>SUMIFS(#REF!,#REF!,$C20,#REF!,AH$3)</f>
        <v>#REF!</v>
      </c>
      <c r="AI20" s="26" t="e">
        <f>SUMIFS(#REF!,#REF!,$C20,#REF!,AI$3)</f>
        <v>#REF!</v>
      </c>
    </row>
    <row r="21" spans="2:35" ht="20.100000000000001" customHeight="1" x14ac:dyDescent="0.25">
      <c r="B21" s="24">
        <v>17</v>
      </c>
      <c r="C21" s="28" t="e">
        <f>IF(#REF!=0,"",IF(#REF!&lt;&gt;0,#REF!))</f>
        <v>#REF!</v>
      </c>
      <c r="D21" s="25" t="e">
        <f t="shared" si="1"/>
        <v>#REF!</v>
      </c>
      <c r="E21" s="26" t="e">
        <f>SUMIFS(#REF!,#REF!,$C21,#REF!,E$3)</f>
        <v>#REF!</v>
      </c>
      <c r="F21" s="26" t="e">
        <f>SUMIFS(#REF!,#REF!,$C21,#REF!,F$3)</f>
        <v>#REF!</v>
      </c>
      <c r="G21" s="26" t="e">
        <f>SUMIFS(#REF!,#REF!,$C21,#REF!,G$3)</f>
        <v>#REF!</v>
      </c>
      <c r="H21" s="26" t="e">
        <f>SUMIFS(#REF!,#REF!,$C21,#REF!,H$3)</f>
        <v>#REF!</v>
      </c>
      <c r="I21" s="26" t="e">
        <f>SUMIFS(#REF!,#REF!,$C21,#REF!,I$3)</f>
        <v>#REF!</v>
      </c>
      <c r="J21" s="26" t="e">
        <f>SUMIFS(#REF!,#REF!,$C21,#REF!,J$3)</f>
        <v>#REF!</v>
      </c>
      <c r="K21" s="26" t="e">
        <f>SUMIFS(#REF!,#REF!,$C21,#REF!,K$3)</f>
        <v>#REF!</v>
      </c>
      <c r="L21" s="26" t="e">
        <f>SUMIFS(#REF!,#REF!,$C21,#REF!,L$3)</f>
        <v>#REF!</v>
      </c>
      <c r="M21" s="26" t="e">
        <f>SUMIFS(#REF!,#REF!,$C21,#REF!,M$3)</f>
        <v>#REF!</v>
      </c>
      <c r="N21" s="26" t="e">
        <f>SUMIFS(#REF!,#REF!,$C21,#REF!,N$3)</f>
        <v>#REF!</v>
      </c>
      <c r="O21" s="26" t="e">
        <f>SUMIFS(#REF!,#REF!,$C21,#REF!,O$3)</f>
        <v>#REF!</v>
      </c>
      <c r="P21" s="26" t="e">
        <f>SUMIFS(#REF!,#REF!,$C21,#REF!,P$3)</f>
        <v>#REF!</v>
      </c>
      <c r="Q21" s="26" t="e">
        <f>SUMIFS(#REF!,#REF!,$C21,#REF!,Q$3)</f>
        <v>#REF!</v>
      </c>
      <c r="R21" s="26" t="e">
        <f>SUMIFS(#REF!,#REF!,$C21,#REF!,R$3)</f>
        <v>#REF!</v>
      </c>
      <c r="S21" s="26" t="e">
        <f>SUMIFS(#REF!,#REF!,$C21,#REF!,S$3)</f>
        <v>#REF!</v>
      </c>
      <c r="T21" s="26" t="e">
        <f>SUMIFS(#REF!,#REF!,$C21,#REF!,T$3)</f>
        <v>#REF!</v>
      </c>
      <c r="U21" s="26" t="e">
        <f>SUMIFS(#REF!,#REF!,$C21,#REF!,U$3)</f>
        <v>#REF!</v>
      </c>
      <c r="V21" s="26" t="e">
        <f>SUMIFS(#REF!,#REF!,$C21,#REF!,V$3)</f>
        <v>#REF!</v>
      </c>
      <c r="W21" s="26" t="e">
        <f>SUMIFS(#REF!,#REF!,$C21,#REF!,W$3)</f>
        <v>#REF!</v>
      </c>
      <c r="X21" s="26" t="e">
        <f>SUMIFS(#REF!,#REF!,$C21,#REF!,X$3)</f>
        <v>#REF!</v>
      </c>
      <c r="Y21" s="26" t="e">
        <f>SUMIFS(#REF!,#REF!,$C21,#REF!,Y$3)</f>
        <v>#REF!</v>
      </c>
      <c r="Z21" s="26" t="e">
        <f>SUMIFS(#REF!,#REF!,$C21,#REF!,Z$3)</f>
        <v>#REF!</v>
      </c>
      <c r="AA21" s="26" t="e">
        <f>SUMIFS(#REF!,#REF!,$C21,#REF!,AA$3)</f>
        <v>#REF!</v>
      </c>
      <c r="AB21" s="26" t="e">
        <f>SUMIFS(#REF!,#REF!,$C21,#REF!,AB$3)</f>
        <v>#REF!</v>
      </c>
      <c r="AC21" s="26" t="e">
        <f>SUMIFS(#REF!,#REF!,$C21,#REF!,AC$3)</f>
        <v>#REF!</v>
      </c>
      <c r="AD21" s="26" t="e">
        <f>SUMIFS(#REF!,#REF!,$C21,#REF!,AD$3)</f>
        <v>#REF!</v>
      </c>
      <c r="AE21" s="26" t="e">
        <f>SUMIFS(#REF!,#REF!,$C21,#REF!,AE$3)</f>
        <v>#REF!</v>
      </c>
      <c r="AF21" s="26" t="e">
        <f>SUMIFS(#REF!,#REF!,$C21,#REF!,AF$3)</f>
        <v>#REF!</v>
      </c>
      <c r="AG21" s="26" t="e">
        <f>SUMIFS(#REF!,#REF!,$C21,#REF!,AG$3)</f>
        <v>#REF!</v>
      </c>
      <c r="AH21" s="26" t="e">
        <f>SUMIFS(#REF!,#REF!,$C21,#REF!,AH$3)</f>
        <v>#REF!</v>
      </c>
      <c r="AI21" s="26" t="e">
        <f>SUMIFS(#REF!,#REF!,$C21,#REF!,AI$3)</f>
        <v>#REF!</v>
      </c>
    </row>
    <row r="22" spans="2:35" ht="20.100000000000001" customHeight="1" x14ac:dyDescent="0.25">
      <c r="B22" s="24">
        <v>18</v>
      </c>
      <c r="C22" s="28" t="e">
        <f>IF(#REF!=0,"",IF(#REF!&lt;&gt;0,#REF!))</f>
        <v>#REF!</v>
      </c>
      <c r="D22" s="25" t="e">
        <f t="shared" si="1"/>
        <v>#REF!</v>
      </c>
      <c r="E22" s="26" t="e">
        <f>SUMIFS(#REF!,#REF!,$C22,#REF!,E$3)</f>
        <v>#REF!</v>
      </c>
      <c r="F22" s="26" t="e">
        <f>SUMIFS(#REF!,#REF!,$C22,#REF!,F$3)</f>
        <v>#REF!</v>
      </c>
      <c r="G22" s="26" t="e">
        <f>SUMIFS(#REF!,#REF!,$C22,#REF!,G$3)</f>
        <v>#REF!</v>
      </c>
      <c r="H22" s="26" t="e">
        <f>SUMIFS(#REF!,#REF!,$C22,#REF!,H$3)</f>
        <v>#REF!</v>
      </c>
      <c r="I22" s="26" t="e">
        <f>SUMIFS(#REF!,#REF!,$C22,#REF!,I$3)</f>
        <v>#REF!</v>
      </c>
      <c r="J22" s="26" t="e">
        <f>SUMIFS(#REF!,#REF!,$C22,#REF!,J$3)</f>
        <v>#REF!</v>
      </c>
      <c r="K22" s="26" t="e">
        <f>SUMIFS(#REF!,#REF!,$C22,#REF!,K$3)</f>
        <v>#REF!</v>
      </c>
      <c r="L22" s="26" t="e">
        <f>SUMIFS(#REF!,#REF!,$C22,#REF!,L$3)</f>
        <v>#REF!</v>
      </c>
      <c r="M22" s="26" t="e">
        <f>SUMIFS(#REF!,#REF!,$C22,#REF!,M$3)</f>
        <v>#REF!</v>
      </c>
      <c r="N22" s="26" t="e">
        <f>SUMIFS(#REF!,#REF!,$C22,#REF!,N$3)</f>
        <v>#REF!</v>
      </c>
      <c r="O22" s="26" t="e">
        <f>SUMIFS(#REF!,#REF!,$C22,#REF!,O$3)</f>
        <v>#REF!</v>
      </c>
      <c r="P22" s="26" t="e">
        <f>SUMIFS(#REF!,#REF!,$C22,#REF!,P$3)</f>
        <v>#REF!</v>
      </c>
      <c r="Q22" s="26" t="e">
        <f>SUMIFS(#REF!,#REF!,$C22,#REF!,Q$3)</f>
        <v>#REF!</v>
      </c>
      <c r="R22" s="26" t="e">
        <f>SUMIFS(#REF!,#REF!,$C22,#REF!,R$3)</f>
        <v>#REF!</v>
      </c>
      <c r="S22" s="26" t="e">
        <f>SUMIFS(#REF!,#REF!,$C22,#REF!,S$3)</f>
        <v>#REF!</v>
      </c>
      <c r="T22" s="26" t="e">
        <f>SUMIFS(#REF!,#REF!,$C22,#REF!,T$3)</f>
        <v>#REF!</v>
      </c>
      <c r="U22" s="26" t="e">
        <f>SUMIFS(#REF!,#REF!,$C22,#REF!,U$3)</f>
        <v>#REF!</v>
      </c>
      <c r="V22" s="26" t="e">
        <f>SUMIFS(#REF!,#REF!,$C22,#REF!,V$3)</f>
        <v>#REF!</v>
      </c>
      <c r="W22" s="26" t="e">
        <f>SUMIFS(#REF!,#REF!,$C22,#REF!,W$3)</f>
        <v>#REF!</v>
      </c>
      <c r="X22" s="26" t="e">
        <f>SUMIFS(#REF!,#REF!,$C22,#REF!,X$3)</f>
        <v>#REF!</v>
      </c>
      <c r="Y22" s="26" t="e">
        <f>SUMIFS(#REF!,#REF!,$C22,#REF!,Y$3)</f>
        <v>#REF!</v>
      </c>
      <c r="Z22" s="26" t="e">
        <f>SUMIFS(#REF!,#REF!,$C22,#REF!,Z$3)</f>
        <v>#REF!</v>
      </c>
      <c r="AA22" s="26" t="e">
        <f>SUMIFS(#REF!,#REF!,$C22,#REF!,AA$3)</f>
        <v>#REF!</v>
      </c>
      <c r="AB22" s="26" t="e">
        <f>SUMIFS(#REF!,#REF!,$C22,#REF!,AB$3)</f>
        <v>#REF!</v>
      </c>
      <c r="AC22" s="26" t="e">
        <f>SUMIFS(#REF!,#REF!,$C22,#REF!,AC$3)</f>
        <v>#REF!</v>
      </c>
      <c r="AD22" s="26" t="e">
        <f>SUMIFS(#REF!,#REF!,$C22,#REF!,AD$3)</f>
        <v>#REF!</v>
      </c>
      <c r="AE22" s="26" t="e">
        <f>SUMIFS(#REF!,#REF!,$C22,#REF!,AE$3)</f>
        <v>#REF!</v>
      </c>
      <c r="AF22" s="26" t="e">
        <f>SUMIFS(#REF!,#REF!,$C22,#REF!,AF$3)</f>
        <v>#REF!</v>
      </c>
      <c r="AG22" s="26" t="e">
        <f>SUMIFS(#REF!,#REF!,$C22,#REF!,AG$3)</f>
        <v>#REF!</v>
      </c>
      <c r="AH22" s="26" t="e">
        <f>SUMIFS(#REF!,#REF!,$C22,#REF!,AH$3)</f>
        <v>#REF!</v>
      </c>
      <c r="AI22" s="26" t="e">
        <f>SUMIFS(#REF!,#REF!,$C22,#REF!,AI$3)</f>
        <v>#REF!</v>
      </c>
    </row>
    <row r="23" spans="2:35" ht="20.100000000000001" customHeight="1" x14ac:dyDescent="0.25">
      <c r="B23" s="24">
        <v>19</v>
      </c>
      <c r="C23" s="28" t="e">
        <f>IF(#REF!=0,"",IF(#REF!&lt;&gt;0,#REF!))</f>
        <v>#REF!</v>
      </c>
      <c r="D23" s="25" t="e">
        <f t="shared" si="1"/>
        <v>#REF!</v>
      </c>
      <c r="E23" s="26" t="e">
        <f>SUMIFS(#REF!,#REF!,$C23,#REF!,E$3)</f>
        <v>#REF!</v>
      </c>
      <c r="F23" s="26" t="e">
        <f>SUMIFS(#REF!,#REF!,$C23,#REF!,F$3)</f>
        <v>#REF!</v>
      </c>
      <c r="G23" s="26" t="e">
        <f>SUMIFS(#REF!,#REF!,$C23,#REF!,G$3)</f>
        <v>#REF!</v>
      </c>
      <c r="H23" s="26" t="e">
        <f>SUMIFS(#REF!,#REF!,$C23,#REF!,H$3)</f>
        <v>#REF!</v>
      </c>
      <c r="I23" s="26" t="e">
        <f>SUMIFS(#REF!,#REF!,$C23,#REF!,I$3)</f>
        <v>#REF!</v>
      </c>
      <c r="J23" s="26" t="e">
        <f>SUMIFS(#REF!,#REF!,$C23,#REF!,J$3)</f>
        <v>#REF!</v>
      </c>
      <c r="K23" s="26" t="e">
        <f>SUMIFS(#REF!,#REF!,$C23,#REF!,K$3)</f>
        <v>#REF!</v>
      </c>
      <c r="L23" s="26" t="e">
        <f>SUMIFS(#REF!,#REF!,$C23,#REF!,L$3)</f>
        <v>#REF!</v>
      </c>
      <c r="M23" s="26" t="e">
        <f>SUMIFS(#REF!,#REF!,$C23,#REF!,M$3)</f>
        <v>#REF!</v>
      </c>
      <c r="N23" s="26" t="e">
        <f>SUMIFS(#REF!,#REF!,$C23,#REF!,N$3)</f>
        <v>#REF!</v>
      </c>
      <c r="O23" s="26" t="e">
        <f>SUMIFS(#REF!,#REF!,$C23,#REF!,O$3)</f>
        <v>#REF!</v>
      </c>
      <c r="P23" s="26" t="e">
        <f>SUMIFS(#REF!,#REF!,$C23,#REF!,P$3)</f>
        <v>#REF!</v>
      </c>
      <c r="Q23" s="26" t="e">
        <f>SUMIFS(#REF!,#REF!,$C23,#REF!,Q$3)</f>
        <v>#REF!</v>
      </c>
      <c r="R23" s="26" t="e">
        <f>SUMIFS(#REF!,#REF!,$C23,#REF!,R$3)</f>
        <v>#REF!</v>
      </c>
      <c r="S23" s="26" t="e">
        <f>SUMIFS(#REF!,#REF!,$C23,#REF!,S$3)</f>
        <v>#REF!</v>
      </c>
      <c r="T23" s="26" t="e">
        <f>SUMIFS(#REF!,#REF!,$C23,#REF!,T$3)</f>
        <v>#REF!</v>
      </c>
      <c r="U23" s="26" t="e">
        <f>SUMIFS(#REF!,#REF!,$C23,#REF!,U$3)</f>
        <v>#REF!</v>
      </c>
      <c r="V23" s="26" t="e">
        <f>SUMIFS(#REF!,#REF!,$C23,#REF!,V$3)</f>
        <v>#REF!</v>
      </c>
      <c r="W23" s="26" t="e">
        <f>SUMIFS(#REF!,#REF!,$C23,#REF!,W$3)</f>
        <v>#REF!</v>
      </c>
      <c r="X23" s="26" t="e">
        <f>SUMIFS(#REF!,#REF!,$C23,#REF!,X$3)</f>
        <v>#REF!</v>
      </c>
      <c r="Y23" s="26" t="e">
        <f>SUMIFS(#REF!,#REF!,$C23,#REF!,Y$3)</f>
        <v>#REF!</v>
      </c>
      <c r="Z23" s="26" t="e">
        <f>SUMIFS(#REF!,#REF!,$C23,#REF!,Z$3)</f>
        <v>#REF!</v>
      </c>
      <c r="AA23" s="26" t="e">
        <f>SUMIFS(#REF!,#REF!,$C23,#REF!,AA$3)</f>
        <v>#REF!</v>
      </c>
      <c r="AB23" s="26" t="e">
        <f>SUMIFS(#REF!,#REF!,$C23,#REF!,AB$3)</f>
        <v>#REF!</v>
      </c>
      <c r="AC23" s="26" t="e">
        <f>SUMIFS(#REF!,#REF!,$C23,#REF!,AC$3)</f>
        <v>#REF!</v>
      </c>
      <c r="AD23" s="26" t="e">
        <f>SUMIFS(#REF!,#REF!,$C23,#REF!,AD$3)</f>
        <v>#REF!</v>
      </c>
      <c r="AE23" s="26" t="e">
        <f>SUMIFS(#REF!,#REF!,$C23,#REF!,AE$3)</f>
        <v>#REF!</v>
      </c>
      <c r="AF23" s="26" t="e">
        <f>SUMIFS(#REF!,#REF!,$C23,#REF!,AF$3)</f>
        <v>#REF!</v>
      </c>
      <c r="AG23" s="26" t="e">
        <f>SUMIFS(#REF!,#REF!,$C23,#REF!,AG$3)</f>
        <v>#REF!</v>
      </c>
      <c r="AH23" s="26" t="e">
        <f>SUMIFS(#REF!,#REF!,$C23,#REF!,AH$3)</f>
        <v>#REF!</v>
      </c>
      <c r="AI23" s="26" t="e">
        <f>SUMIFS(#REF!,#REF!,$C23,#REF!,AI$3)</f>
        <v>#REF!</v>
      </c>
    </row>
    <row r="24" spans="2:35" ht="20.100000000000001" customHeight="1" x14ac:dyDescent="0.25">
      <c r="B24" s="24">
        <v>20</v>
      </c>
      <c r="C24" s="28" t="e">
        <f>IF(#REF!=0,"",IF(#REF!&lt;&gt;0,#REF!))</f>
        <v>#REF!</v>
      </c>
      <c r="D24" s="25" t="e">
        <f t="shared" si="1"/>
        <v>#REF!</v>
      </c>
      <c r="E24" s="26" t="e">
        <f>SUMIFS(#REF!,#REF!,$C24,#REF!,E$3)</f>
        <v>#REF!</v>
      </c>
      <c r="F24" s="26" t="e">
        <f>SUMIFS(#REF!,#REF!,$C24,#REF!,F$3)</f>
        <v>#REF!</v>
      </c>
      <c r="G24" s="26" t="e">
        <f>SUMIFS(#REF!,#REF!,$C24,#REF!,G$3)</f>
        <v>#REF!</v>
      </c>
      <c r="H24" s="26" t="e">
        <f>SUMIFS(#REF!,#REF!,$C24,#REF!,H$3)</f>
        <v>#REF!</v>
      </c>
      <c r="I24" s="26" t="e">
        <f>SUMIFS(#REF!,#REF!,$C24,#REF!,I$3)</f>
        <v>#REF!</v>
      </c>
      <c r="J24" s="26" t="e">
        <f>SUMIFS(#REF!,#REF!,$C24,#REF!,J$3)</f>
        <v>#REF!</v>
      </c>
      <c r="K24" s="26" t="e">
        <f>SUMIFS(#REF!,#REF!,$C24,#REF!,K$3)</f>
        <v>#REF!</v>
      </c>
      <c r="L24" s="26" t="e">
        <f>SUMIFS(#REF!,#REF!,$C24,#REF!,L$3)</f>
        <v>#REF!</v>
      </c>
      <c r="M24" s="26" t="e">
        <f>SUMIFS(#REF!,#REF!,$C24,#REF!,M$3)</f>
        <v>#REF!</v>
      </c>
      <c r="N24" s="26" t="e">
        <f>SUMIFS(#REF!,#REF!,$C24,#REF!,N$3)</f>
        <v>#REF!</v>
      </c>
      <c r="O24" s="26" t="e">
        <f>SUMIFS(#REF!,#REF!,$C24,#REF!,O$3)</f>
        <v>#REF!</v>
      </c>
      <c r="P24" s="26" t="e">
        <f>SUMIFS(#REF!,#REF!,$C24,#REF!,P$3)</f>
        <v>#REF!</v>
      </c>
      <c r="Q24" s="26" t="e">
        <f>SUMIFS(#REF!,#REF!,$C24,#REF!,Q$3)</f>
        <v>#REF!</v>
      </c>
      <c r="R24" s="26" t="e">
        <f>SUMIFS(#REF!,#REF!,$C24,#REF!,R$3)</f>
        <v>#REF!</v>
      </c>
      <c r="S24" s="26" t="e">
        <f>SUMIFS(#REF!,#REF!,$C24,#REF!,S$3)</f>
        <v>#REF!</v>
      </c>
      <c r="T24" s="26" t="e">
        <f>SUMIFS(#REF!,#REF!,$C24,#REF!,T$3)</f>
        <v>#REF!</v>
      </c>
      <c r="U24" s="26" t="e">
        <f>SUMIFS(#REF!,#REF!,$C24,#REF!,U$3)</f>
        <v>#REF!</v>
      </c>
      <c r="V24" s="26" t="e">
        <f>SUMIFS(#REF!,#REF!,$C24,#REF!,V$3)</f>
        <v>#REF!</v>
      </c>
      <c r="W24" s="26" t="e">
        <f>SUMIFS(#REF!,#REF!,$C24,#REF!,W$3)</f>
        <v>#REF!</v>
      </c>
      <c r="X24" s="26" t="e">
        <f>SUMIFS(#REF!,#REF!,$C24,#REF!,X$3)</f>
        <v>#REF!</v>
      </c>
      <c r="Y24" s="26" t="e">
        <f>SUMIFS(#REF!,#REF!,$C24,#REF!,Y$3)</f>
        <v>#REF!</v>
      </c>
      <c r="Z24" s="26" t="e">
        <f>SUMIFS(#REF!,#REF!,$C24,#REF!,Z$3)</f>
        <v>#REF!</v>
      </c>
      <c r="AA24" s="26" t="e">
        <f>SUMIFS(#REF!,#REF!,$C24,#REF!,AA$3)</f>
        <v>#REF!</v>
      </c>
      <c r="AB24" s="26" t="e">
        <f>SUMIFS(#REF!,#REF!,$C24,#REF!,AB$3)</f>
        <v>#REF!</v>
      </c>
      <c r="AC24" s="26" t="e">
        <f>SUMIFS(#REF!,#REF!,$C24,#REF!,AC$3)</f>
        <v>#REF!</v>
      </c>
      <c r="AD24" s="26" t="e">
        <f>SUMIFS(#REF!,#REF!,$C24,#REF!,AD$3)</f>
        <v>#REF!</v>
      </c>
      <c r="AE24" s="26" t="e">
        <f>SUMIFS(#REF!,#REF!,$C24,#REF!,AE$3)</f>
        <v>#REF!</v>
      </c>
      <c r="AF24" s="26" t="e">
        <f>SUMIFS(#REF!,#REF!,$C24,#REF!,AF$3)</f>
        <v>#REF!</v>
      </c>
      <c r="AG24" s="26" t="e">
        <f>SUMIFS(#REF!,#REF!,$C24,#REF!,AG$3)</f>
        <v>#REF!</v>
      </c>
      <c r="AH24" s="26" t="e">
        <f>SUMIFS(#REF!,#REF!,$C24,#REF!,AH$3)</f>
        <v>#REF!</v>
      </c>
      <c r="AI24" s="26" t="e">
        <f>SUMIFS(#REF!,#REF!,$C24,#REF!,AI$3)</f>
        <v>#REF!</v>
      </c>
    </row>
    <row r="25" spans="2:35" ht="20.100000000000001" customHeight="1" x14ac:dyDescent="0.25">
      <c r="B25" s="24">
        <v>21</v>
      </c>
      <c r="C25" s="28" t="e">
        <f>IF(#REF!=0,"",IF(#REF!&lt;&gt;0,#REF!))</f>
        <v>#REF!</v>
      </c>
      <c r="D25" s="25" t="e">
        <f t="shared" si="1"/>
        <v>#REF!</v>
      </c>
      <c r="E25" s="26" t="e">
        <f>SUMIFS(#REF!,#REF!,$C25,#REF!,E$3)</f>
        <v>#REF!</v>
      </c>
      <c r="F25" s="26" t="e">
        <f>SUMIFS(#REF!,#REF!,$C25,#REF!,F$3)</f>
        <v>#REF!</v>
      </c>
      <c r="G25" s="26" t="e">
        <f>SUMIFS(#REF!,#REF!,$C25,#REF!,G$3)</f>
        <v>#REF!</v>
      </c>
      <c r="H25" s="26" t="e">
        <f>SUMIFS(#REF!,#REF!,$C25,#REF!,H$3)</f>
        <v>#REF!</v>
      </c>
      <c r="I25" s="26" t="e">
        <f>SUMIFS(#REF!,#REF!,$C25,#REF!,I$3)</f>
        <v>#REF!</v>
      </c>
      <c r="J25" s="26" t="e">
        <f>SUMIFS(#REF!,#REF!,$C25,#REF!,J$3)</f>
        <v>#REF!</v>
      </c>
      <c r="K25" s="26" t="e">
        <f>SUMIFS(#REF!,#REF!,$C25,#REF!,K$3)</f>
        <v>#REF!</v>
      </c>
      <c r="L25" s="26" t="e">
        <f>SUMIFS(#REF!,#REF!,$C25,#REF!,L$3)</f>
        <v>#REF!</v>
      </c>
      <c r="M25" s="26" t="e">
        <f>SUMIFS(#REF!,#REF!,$C25,#REF!,M$3)</f>
        <v>#REF!</v>
      </c>
      <c r="N25" s="26" t="e">
        <f>SUMIFS(#REF!,#REF!,$C25,#REF!,N$3)</f>
        <v>#REF!</v>
      </c>
      <c r="O25" s="26" t="e">
        <f>SUMIFS(#REF!,#REF!,$C25,#REF!,O$3)</f>
        <v>#REF!</v>
      </c>
      <c r="P25" s="26" t="e">
        <f>SUMIFS(#REF!,#REF!,$C25,#REF!,P$3)</f>
        <v>#REF!</v>
      </c>
      <c r="Q25" s="26" t="e">
        <f>SUMIFS(#REF!,#REF!,$C25,#REF!,Q$3)</f>
        <v>#REF!</v>
      </c>
      <c r="R25" s="26" t="e">
        <f>SUMIFS(#REF!,#REF!,$C25,#REF!,R$3)</f>
        <v>#REF!</v>
      </c>
      <c r="S25" s="26" t="e">
        <f>SUMIFS(#REF!,#REF!,$C25,#REF!,S$3)</f>
        <v>#REF!</v>
      </c>
      <c r="T25" s="26" t="e">
        <f>SUMIFS(#REF!,#REF!,$C25,#REF!,T$3)</f>
        <v>#REF!</v>
      </c>
      <c r="U25" s="26" t="e">
        <f>SUMIFS(#REF!,#REF!,$C25,#REF!,U$3)</f>
        <v>#REF!</v>
      </c>
      <c r="V25" s="26" t="e">
        <f>SUMIFS(#REF!,#REF!,$C25,#REF!,V$3)</f>
        <v>#REF!</v>
      </c>
      <c r="W25" s="26" t="e">
        <f>SUMIFS(#REF!,#REF!,$C25,#REF!,W$3)</f>
        <v>#REF!</v>
      </c>
      <c r="X25" s="26" t="e">
        <f>SUMIFS(#REF!,#REF!,$C25,#REF!,X$3)</f>
        <v>#REF!</v>
      </c>
      <c r="Y25" s="26" t="e">
        <f>SUMIFS(#REF!,#REF!,$C25,#REF!,Y$3)</f>
        <v>#REF!</v>
      </c>
      <c r="Z25" s="26" t="e">
        <f>SUMIFS(#REF!,#REF!,$C25,#REF!,Z$3)</f>
        <v>#REF!</v>
      </c>
      <c r="AA25" s="26" t="e">
        <f>SUMIFS(#REF!,#REF!,$C25,#REF!,AA$3)</f>
        <v>#REF!</v>
      </c>
      <c r="AB25" s="26" t="e">
        <f>SUMIFS(#REF!,#REF!,$C25,#REF!,AB$3)</f>
        <v>#REF!</v>
      </c>
      <c r="AC25" s="26" t="e">
        <f>SUMIFS(#REF!,#REF!,$C25,#REF!,AC$3)</f>
        <v>#REF!</v>
      </c>
      <c r="AD25" s="26" t="e">
        <f>SUMIFS(#REF!,#REF!,$C25,#REF!,AD$3)</f>
        <v>#REF!</v>
      </c>
      <c r="AE25" s="26" t="e">
        <f>SUMIFS(#REF!,#REF!,$C25,#REF!,AE$3)</f>
        <v>#REF!</v>
      </c>
      <c r="AF25" s="26" t="e">
        <f>SUMIFS(#REF!,#REF!,$C25,#REF!,AF$3)</f>
        <v>#REF!</v>
      </c>
      <c r="AG25" s="26" t="e">
        <f>SUMIFS(#REF!,#REF!,$C25,#REF!,AG$3)</f>
        <v>#REF!</v>
      </c>
      <c r="AH25" s="26" t="e">
        <f>SUMIFS(#REF!,#REF!,$C25,#REF!,AH$3)</f>
        <v>#REF!</v>
      </c>
      <c r="AI25" s="26" t="e">
        <f>SUMIFS(#REF!,#REF!,$C25,#REF!,AI$3)</f>
        <v>#REF!</v>
      </c>
    </row>
    <row r="26" spans="2:35" ht="20.100000000000001" customHeight="1" x14ac:dyDescent="0.25">
      <c r="B26" s="24">
        <v>22</v>
      </c>
      <c r="C26" s="28" t="e">
        <f>IF(#REF!=0,"",IF(#REF!&lt;&gt;0,#REF!))</f>
        <v>#REF!</v>
      </c>
      <c r="D26" s="25" t="e">
        <f t="shared" si="1"/>
        <v>#REF!</v>
      </c>
      <c r="E26" s="26" t="e">
        <f>SUMIFS(#REF!,#REF!,$C26,#REF!,E$3)</f>
        <v>#REF!</v>
      </c>
      <c r="F26" s="26" t="e">
        <f>SUMIFS(#REF!,#REF!,$C26,#REF!,F$3)</f>
        <v>#REF!</v>
      </c>
      <c r="G26" s="26" t="e">
        <f>SUMIFS(#REF!,#REF!,$C26,#REF!,G$3)</f>
        <v>#REF!</v>
      </c>
      <c r="H26" s="26" t="e">
        <f>SUMIFS(#REF!,#REF!,$C26,#REF!,H$3)</f>
        <v>#REF!</v>
      </c>
      <c r="I26" s="26" t="e">
        <f>SUMIFS(#REF!,#REF!,$C26,#REF!,I$3)</f>
        <v>#REF!</v>
      </c>
      <c r="J26" s="26" t="e">
        <f>SUMIFS(#REF!,#REF!,$C26,#REF!,J$3)</f>
        <v>#REF!</v>
      </c>
      <c r="K26" s="26" t="e">
        <f>SUMIFS(#REF!,#REF!,$C26,#REF!,K$3)</f>
        <v>#REF!</v>
      </c>
      <c r="L26" s="26" t="e">
        <f>SUMIFS(#REF!,#REF!,$C26,#REF!,L$3)</f>
        <v>#REF!</v>
      </c>
      <c r="M26" s="26" t="e">
        <f>SUMIFS(#REF!,#REF!,$C26,#REF!,M$3)</f>
        <v>#REF!</v>
      </c>
      <c r="N26" s="26" t="e">
        <f>SUMIFS(#REF!,#REF!,$C26,#REF!,N$3)</f>
        <v>#REF!</v>
      </c>
      <c r="O26" s="26" t="e">
        <f>SUMIFS(#REF!,#REF!,$C26,#REF!,O$3)</f>
        <v>#REF!</v>
      </c>
      <c r="P26" s="26" t="e">
        <f>SUMIFS(#REF!,#REF!,$C26,#REF!,P$3)</f>
        <v>#REF!</v>
      </c>
      <c r="Q26" s="26" t="e">
        <f>SUMIFS(#REF!,#REF!,$C26,#REF!,Q$3)</f>
        <v>#REF!</v>
      </c>
      <c r="R26" s="26" t="e">
        <f>SUMIFS(#REF!,#REF!,$C26,#REF!,R$3)</f>
        <v>#REF!</v>
      </c>
      <c r="S26" s="26" t="e">
        <f>SUMIFS(#REF!,#REF!,$C26,#REF!,S$3)</f>
        <v>#REF!</v>
      </c>
      <c r="T26" s="26" t="e">
        <f>SUMIFS(#REF!,#REF!,$C26,#REF!,T$3)</f>
        <v>#REF!</v>
      </c>
      <c r="U26" s="26" t="e">
        <f>SUMIFS(#REF!,#REF!,$C26,#REF!,U$3)</f>
        <v>#REF!</v>
      </c>
      <c r="V26" s="26" t="e">
        <f>SUMIFS(#REF!,#REF!,$C26,#REF!,V$3)</f>
        <v>#REF!</v>
      </c>
      <c r="W26" s="26" t="e">
        <f>SUMIFS(#REF!,#REF!,$C26,#REF!,W$3)</f>
        <v>#REF!</v>
      </c>
      <c r="X26" s="26" t="e">
        <f>SUMIFS(#REF!,#REF!,$C26,#REF!,X$3)</f>
        <v>#REF!</v>
      </c>
      <c r="Y26" s="26" t="e">
        <f>SUMIFS(#REF!,#REF!,$C26,#REF!,Y$3)</f>
        <v>#REF!</v>
      </c>
      <c r="Z26" s="26" t="e">
        <f>SUMIFS(#REF!,#REF!,$C26,#REF!,Z$3)</f>
        <v>#REF!</v>
      </c>
      <c r="AA26" s="26" t="e">
        <f>SUMIFS(#REF!,#REF!,$C26,#REF!,AA$3)</f>
        <v>#REF!</v>
      </c>
      <c r="AB26" s="26" t="e">
        <f>SUMIFS(#REF!,#REF!,$C26,#REF!,AB$3)</f>
        <v>#REF!</v>
      </c>
      <c r="AC26" s="26" t="e">
        <f>SUMIFS(#REF!,#REF!,$C26,#REF!,AC$3)</f>
        <v>#REF!</v>
      </c>
      <c r="AD26" s="26" t="e">
        <f>SUMIFS(#REF!,#REF!,$C26,#REF!,AD$3)</f>
        <v>#REF!</v>
      </c>
      <c r="AE26" s="26" t="e">
        <f>SUMIFS(#REF!,#REF!,$C26,#REF!,AE$3)</f>
        <v>#REF!</v>
      </c>
      <c r="AF26" s="26" t="e">
        <f>SUMIFS(#REF!,#REF!,$C26,#REF!,AF$3)</f>
        <v>#REF!</v>
      </c>
      <c r="AG26" s="26" t="e">
        <f>SUMIFS(#REF!,#REF!,$C26,#REF!,AG$3)</f>
        <v>#REF!</v>
      </c>
      <c r="AH26" s="26" t="e">
        <f>SUMIFS(#REF!,#REF!,$C26,#REF!,AH$3)</f>
        <v>#REF!</v>
      </c>
      <c r="AI26" s="26" t="e">
        <f>SUMIFS(#REF!,#REF!,$C26,#REF!,AI$3)</f>
        <v>#REF!</v>
      </c>
    </row>
    <row r="27" spans="2:35" ht="20.100000000000001" customHeight="1" x14ac:dyDescent="0.25">
      <c r="B27" s="24">
        <v>23</v>
      </c>
      <c r="C27" s="28" t="e">
        <f>IF(#REF!=0,"",IF(#REF!&lt;&gt;0,#REF!))</f>
        <v>#REF!</v>
      </c>
      <c r="D27" s="25" t="e">
        <f t="shared" si="1"/>
        <v>#REF!</v>
      </c>
      <c r="E27" s="26" t="e">
        <f>SUMIFS(#REF!,#REF!,$C27,#REF!,E$3)</f>
        <v>#REF!</v>
      </c>
      <c r="F27" s="26" t="e">
        <f>SUMIFS(#REF!,#REF!,$C27,#REF!,F$3)</f>
        <v>#REF!</v>
      </c>
      <c r="G27" s="26" t="e">
        <f>SUMIFS(#REF!,#REF!,$C27,#REF!,G$3)</f>
        <v>#REF!</v>
      </c>
      <c r="H27" s="26" t="e">
        <f>SUMIFS(#REF!,#REF!,$C27,#REF!,H$3)</f>
        <v>#REF!</v>
      </c>
      <c r="I27" s="26" t="e">
        <f>SUMIFS(#REF!,#REF!,$C27,#REF!,I$3)</f>
        <v>#REF!</v>
      </c>
      <c r="J27" s="26" t="e">
        <f>SUMIFS(#REF!,#REF!,$C27,#REF!,J$3)</f>
        <v>#REF!</v>
      </c>
      <c r="K27" s="26" t="e">
        <f>SUMIFS(#REF!,#REF!,$C27,#REF!,K$3)</f>
        <v>#REF!</v>
      </c>
      <c r="L27" s="26" t="e">
        <f>SUMIFS(#REF!,#REF!,$C27,#REF!,L$3)</f>
        <v>#REF!</v>
      </c>
      <c r="M27" s="26" t="e">
        <f>SUMIFS(#REF!,#REF!,$C27,#REF!,M$3)</f>
        <v>#REF!</v>
      </c>
      <c r="N27" s="26" t="e">
        <f>SUMIFS(#REF!,#REF!,$C27,#REF!,N$3)</f>
        <v>#REF!</v>
      </c>
      <c r="O27" s="26" t="e">
        <f>SUMIFS(#REF!,#REF!,$C27,#REF!,O$3)</f>
        <v>#REF!</v>
      </c>
      <c r="P27" s="26" t="e">
        <f>SUMIFS(#REF!,#REF!,$C27,#REF!,P$3)</f>
        <v>#REF!</v>
      </c>
      <c r="Q27" s="26" t="e">
        <f>SUMIFS(#REF!,#REF!,$C27,#REF!,Q$3)</f>
        <v>#REF!</v>
      </c>
      <c r="R27" s="26" t="e">
        <f>SUMIFS(#REF!,#REF!,$C27,#REF!,R$3)</f>
        <v>#REF!</v>
      </c>
      <c r="S27" s="26" t="e">
        <f>SUMIFS(#REF!,#REF!,$C27,#REF!,S$3)</f>
        <v>#REF!</v>
      </c>
      <c r="T27" s="26" t="e">
        <f>SUMIFS(#REF!,#REF!,$C27,#REF!,T$3)</f>
        <v>#REF!</v>
      </c>
      <c r="U27" s="26" t="e">
        <f>SUMIFS(#REF!,#REF!,$C27,#REF!,U$3)</f>
        <v>#REF!</v>
      </c>
      <c r="V27" s="26" t="e">
        <f>SUMIFS(#REF!,#REF!,$C27,#REF!,V$3)</f>
        <v>#REF!</v>
      </c>
      <c r="W27" s="26" t="e">
        <f>SUMIFS(#REF!,#REF!,$C27,#REF!,W$3)</f>
        <v>#REF!</v>
      </c>
      <c r="X27" s="26" t="e">
        <f>SUMIFS(#REF!,#REF!,$C27,#REF!,X$3)</f>
        <v>#REF!</v>
      </c>
      <c r="Y27" s="26" t="e">
        <f>SUMIFS(#REF!,#REF!,$C27,#REF!,Y$3)</f>
        <v>#REF!</v>
      </c>
      <c r="Z27" s="26" t="e">
        <f>SUMIFS(#REF!,#REF!,$C27,#REF!,Z$3)</f>
        <v>#REF!</v>
      </c>
      <c r="AA27" s="26" t="e">
        <f>SUMIFS(#REF!,#REF!,$C27,#REF!,AA$3)</f>
        <v>#REF!</v>
      </c>
      <c r="AB27" s="26" t="e">
        <f>SUMIFS(#REF!,#REF!,$C27,#REF!,AB$3)</f>
        <v>#REF!</v>
      </c>
      <c r="AC27" s="26" t="e">
        <f>SUMIFS(#REF!,#REF!,$C27,#REF!,AC$3)</f>
        <v>#REF!</v>
      </c>
      <c r="AD27" s="26" t="e">
        <f>SUMIFS(#REF!,#REF!,$C27,#REF!,AD$3)</f>
        <v>#REF!</v>
      </c>
      <c r="AE27" s="26" t="e">
        <f>SUMIFS(#REF!,#REF!,$C27,#REF!,AE$3)</f>
        <v>#REF!</v>
      </c>
      <c r="AF27" s="26" t="e">
        <f>SUMIFS(#REF!,#REF!,$C27,#REF!,AF$3)</f>
        <v>#REF!</v>
      </c>
      <c r="AG27" s="26" t="e">
        <f>SUMIFS(#REF!,#REF!,$C27,#REF!,AG$3)</f>
        <v>#REF!</v>
      </c>
      <c r="AH27" s="26" t="e">
        <f>SUMIFS(#REF!,#REF!,$C27,#REF!,AH$3)</f>
        <v>#REF!</v>
      </c>
      <c r="AI27" s="26" t="e">
        <f>SUMIFS(#REF!,#REF!,$C27,#REF!,AI$3)</f>
        <v>#REF!</v>
      </c>
    </row>
    <row r="28" spans="2:35" ht="20.100000000000001" customHeight="1" x14ac:dyDescent="0.25">
      <c r="B28" s="24">
        <v>24</v>
      </c>
      <c r="C28" s="28" t="e">
        <f>IF(#REF!=0,"",IF(#REF!&lt;&gt;0,#REF!))</f>
        <v>#REF!</v>
      </c>
      <c r="D28" s="25" t="e">
        <f t="shared" si="1"/>
        <v>#REF!</v>
      </c>
      <c r="E28" s="26" t="e">
        <f>SUMIFS(#REF!,#REF!,$C28,#REF!,E$3)</f>
        <v>#REF!</v>
      </c>
      <c r="F28" s="26" t="e">
        <f>SUMIFS(#REF!,#REF!,$C28,#REF!,F$3)</f>
        <v>#REF!</v>
      </c>
      <c r="G28" s="26" t="e">
        <f>SUMIFS(#REF!,#REF!,$C28,#REF!,G$3)</f>
        <v>#REF!</v>
      </c>
      <c r="H28" s="26" t="e">
        <f>SUMIFS(#REF!,#REF!,$C28,#REF!,H$3)</f>
        <v>#REF!</v>
      </c>
      <c r="I28" s="26" t="e">
        <f>SUMIFS(#REF!,#REF!,$C28,#REF!,I$3)</f>
        <v>#REF!</v>
      </c>
      <c r="J28" s="26" t="e">
        <f>SUMIFS(#REF!,#REF!,$C28,#REF!,J$3)</f>
        <v>#REF!</v>
      </c>
      <c r="K28" s="26" t="e">
        <f>SUMIFS(#REF!,#REF!,$C28,#REF!,K$3)</f>
        <v>#REF!</v>
      </c>
      <c r="L28" s="26" t="e">
        <f>SUMIFS(#REF!,#REF!,$C28,#REF!,L$3)</f>
        <v>#REF!</v>
      </c>
      <c r="M28" s="26" t="e">
        <f>SUMIFS(#REF!,#REF!,$C28,#REF!,M$3)</f>
        <v>#REF!</v>
      </c>
      <c r="N28" s="26" t="e">
        <f>SUMIFS(#REF!,#REF!,$C28,#REF!,N$3)</f>
        <v>#REF!</v>
      </c>
      <c r="O28" s="26" t="e">
        <f>SUMIFS(#REF!,#REF!,$C28,#REF!,O$3)</f>
        <v>#REF!</v>
      </c>
      <c r="P28" s="26" t="e">
        <f>SUMIFS(#REF!,#REF!,$C28,#REF!,P$3)</f>
        <v>#REF!</v>
      </c>
      <c r="Q28" s="26" t="e">
        <f>SUMIFS(#REF!,#REF!,$C28,#REF!,Q$3)</f>
        <v>#REF!</v>
      </c>
      <c r="R28" s="26" t="e">
        <f>SUMIFS(#REF!,#REF!,$C28,#REF!,R$3)</f>
        <v>#REF!</v>
      </c>
      <c r="S28" s="26" t="e">
        <f>SUMIFS(#REF!,#REF!,$C28,#REF!,S$3)</f>
        <v>#REF!</v>
      </c>
      <c r="T28" s="26" t="e">
        <f>SUMIFS(#REF!,#REF!,$C28,#REF!,T$3)</f>
        <v>#REF!</v>
      </c>
      <c r="U28" s="26" t="e">
        <f>SUMIFS(#REF!,#REF!,$C28,#REF!,U$3)</f>
        <v>#REF!</v>
      </c>
      <c r="V28" s="26" t="e">
        <f>SUMIFS(#REF!,#REF!,$C28,#REF!,V$3)</f>
        <v>#REF!</v>
      </c>
      <c r="W28" s="26" t="e">
        <f>SUMIFS(#REF!,#REF!,$C28,#REF!,W$3)</f>
        <v>#REF!</v>
      </c>
      <c r="X28" s="26" t="e">
        <f>SUMIFS(#REF!,#REF!,$C28,#REF!,X$3)</f>
        <v>#REF!</v>
      </c>
      <c r="Y28" s="26" t="e">
        <f>SUMIFS(#REF!,#REF!,$C28,#REF!,Y$3)</f>
        <v>#REF!</v>
      </c>
      <c r="Z28" s="26" t="e">
        <f>SUMIFS(#REF!,#REF!,$C28,#REF!,Z$3)</f>
        <v>#REF!</v>
      </c>
      <c r="AA28" s="26" t="e">
        <f>SUMIFS(#REF!,#REF!,$C28,#REF!,AA$3)</f>
        <v>#REF!</v>
      </c>
      <c r="AB28" s="26" t="e">
        <f>SUMIFS(#REF!,#REF!,$C28,#REF!,AB$3)</f>
        <v>#REF!</v>
      </c>
      <c r="AC28" s="26" t="e">
        <f>SUMIFS(#REF!,#REF!,$C28,#REF!,AC$3)</f>
        <v>#REF!</v>
      </c>
      <c r="AD28" s="26" t="e">
        <f>SUMIFS(#REF!,#REF!,$C28,#REF!,AD$3)</f>
        <v>#REF!</v>
      </c>
      <c r="AE28" s="26" t="e">
        <f>SUMIFS(#REF!,#REF!,$C28,#REF!,AE$3)</f>
        <v>#REF!</v>
      </c>
      <c r="AF28" s="26" t="e">
        <f>SUMIFS(#REF!,#REF!,$C28,#REF!,AF$3)</f>
        <v>#REF!</v>
      </c>
      <c r="AG28" s="26" t="e">
        <f>SUMIFS(#REF!,#REF!,$C28,#REF!,AG$3)</f>
        <v>#REF!</v>
      </c>
      <c r="AH28" s="26" t="e">
        <f>SUMIFS(#REF!,#REF!,$C28,#REF!,AH$3)</f>
        <v>#REF!</v>
      </c>
      <c r="AI28" s="26" t="e">
        <f>SUMIFS(#REF!,#REF!,$C28,#REF!,AI$3)</f>
        <v>#REF!</v>
      </c>
    </row>
    <row r="29" spans="2:35" ht="20.100000000000001" customHeight="1" x14ac:dyDescent="0.25">
      <c r="B29" s="24">
        <v>25</v>
      </c>
      <c r="C29" s="28" t="e">
        <f>IF(#REF!=0,"",IF(#REF!&lt;&gt;0,#REF!))</f>
        <v>#REF!</v>
      </c>
      <c r="D29" s="25" t="e">
        <f t="shared" si="1"/>
        <v>#REF!</v>
      </c>
      <c r="E29" s="26" t="e">
        <f>SUMIFS(#REF!,#REF!,$C29,#REF!,E$3)</f>
        <v>#REF!</v>
      </c>
      <c r="F29" s="26" t="e">
        <f>SUMIFS(#REF!,#REF!,$C29,#REF!,F$3)</f>
        <v>#REF!</v>
      </c>
      <c r="G29" s="26" t="e">
        <f>SUMIFS(#REF!,#REF!,$C29,#REF!,G$3)</f>
        <v>#REF!</v>
      </c>
      <c r="H29" s="26" t="e">
        <f>SUMIFS(#REF!,#REF!,$C29,#REF!,H$3)</f>
        <v>#REF!</v>
      </c>
      <c r="I29" s="26" t="e">
        <f>SUMIFS(#REF!,#REF!,$C29,#REF!,I$3)</f>
        <v>#REF!</v>
      </c>
      <c r="J29" s="26" t="e">
        <f>SUMIFS(#REF!,#REF!,$C29,#REF!,J$3)</f>
        <v>#REF!</v>
      </c>
      <c r="K29" s="26" t="e">
        <f>SUMIFS(#REF!,#REF!,$C29,#REF!,K$3)</f>
        <v>#REF!</v>
      </c>
      <c r="L29" s="26" t="e">
        <f>SUMIFS(#REF!,#REF!,$C29,#REF!,L$3)</f>
        <v>#REF!</v>
      </c>
      <c r="M29" s="26" t="e">
        <f>SUMIFS(#REF!,#REF!,$C29,#REF!,M$3)</f>
        <v>#REF!</v>
      </c>
      <c r="N29" s="26" t="e">
        <f>SUMIFS(#REF!,#REF!,$C29,#REF!,N$3)</f>
        <v>#REF!</v>
      </c>
      <c r="O29" s="26" t="e">
        <f>SUMIFS(#REF!,#REF!,$C29,#REF!,O$3)</f>
        <v>#REF!</v>
      </c>
      <c r="P29" s="26" t="e">
        <f>SUMIFS(#REF!,#REF!,$C29,#REF!,P$3)</f>
        <v>#REF!</v>
      </c>
      <c r="Q29" s="26" t="e">
        <f>SUMIFS(#REF!,#REF!,$C29,#REF!,Q$3)</f>
        <v>#REF!</v>
      </c>
      <c r="R29" s="26" t="e">
        <f>SUMIFS(#REF!,#REF!,$C29,#REF!,R$3)</f>
        <v>#REF!</v>
      </c>
      <c r="S29" s="26" t="e">
        <f>SUMIFS(#REF!,#REF!,$C29,#REF!,S$3)</f>
        <v>#REF!</v>
      </c>
      <c r="T29" s="26" t="e">
        <f>SUMIFS(#REF!,#REF!,$C29,#REF!,T$3)</f>
        <v>#REF!</v>
      </c>
      <c r="U29" s="26" t="e">
        <f>SUMIFS(#REF!,#REF!,$C29,#REF!,U$3)</f>
        <v>#REF!</v>
      </c>
      <c r="V29" s="26" t="e">
        <f>SUMIFS(#REF!,#REF!,$C29,#REF!,V$3)</f>
        <v>#REF!</v>
      </c>
      <c r="W29" s="26" t="e">
        <f>SUMIFS(#REF!,#REF!,$C29,#REF!,W$3)</f>
        <v>#REF!</v>
      </c>
      <c r="X29" s="26" t="e">
        <f>SUMIFS(#REF!,#REF!,$C29,#REF!,X$3)</f>
        <v>#REF!</v>
      </c>
      <c r="Y29" s="26" t="e">
        <f>SUMIFS(#REF!,#REF!,$C29,#REF!,Y$3)</f>
        <v>#REF!</v>
      </c>
      <c r="Z29" s="26" t="e">
        <f>SUMIFS(#REF!,#REF!,$C29,#REF!,Z$3)</f>
        <v>#REF!</v>
      </c>
      <c r="AA29" s="26" t="e">
        <f>SUMIFS(#REF!,#REF!,$C29,#REF!,AA$3)</f>
        <v>#REF!</v>
      </c>
      <c r="AB29" s="26" t="e">
        <f>SUMIFS(#REF!,#REF!,$C29,#REF!,AB$3)</f>
        <v>#REF!</v>
      </c>
      <c r="AC29" s="26" t="e">
        <f>SUMIFS(#REF!,#REF!,$C29,#REF!,AC$3)</f>
        <v>#REF!</v>
      </c>
      <c r="AD29" s="26" t="e">
        <f>SUMIFS(#REF!,#REF!,$C29,#REF!,AD$3)</f>
        <v>#REF!</v>
      </c>
      <c r="AE29" s="26" t="e">
        <f>SUMIFS(#REF!,#REF!,$C29,#REF!,AE$3)</f>
        <v>#REF!</v>
      </c>
      <c r="AF29" s="26" t="e">
        <f>SUMIFS(#REF!,#REF!,$C29,#REF!,AF$3)</f>
        <v>#REF!</v>
      </c>
      <c r="AG29" s="26" t="e">
        <f>SUMIFS(#REF!,#REF!,$C29,#REF!,AG$3)</f>
        <v>#REF!</v>
      </c>
      <c r="AH29" s="26" t="e">
        <f>SUMIFS(#REF!,#REF!,$C29,#REF!,AH$3)</f>
        <v>#REF!</v>
      </c>
      <c r="AI29" s="26" t="e">
        <f>SUMIFS(#REF!,#REF!,$C29,#REF!,AI$3)</f>
        <v>#REF!</v>
      </c>
    </row>
    <row r="30" spans="2:35" ht="20.100000000000001" customHeight="1" x14ac:dyDescent="0.25">
      <c r="B30" s="24">
        <v>26</v>
      </c>
      <c r="C30" s="28" t="e">
        <f>IF(#REF!=0,"",IF(#REF!&lt;&gt;0,#REF!))</f>
        <v>#REF!</v>
      </c>
      <c r="D30" s="25" t="e">
        <f t="shared" si="1"/>
        <v>#REF!</v>
      </c>
      <c r="E30" s="26" t="e">
        <f>SUMIFS(#REF!,#REF!,$C30,#REF!,E$3)</f>
        <v>#REF!</v>
      </c>
      <c r="F30" s="26" t="e">
        <f>SUMIFS(#REF!,#REF!,$C30,#REF!,F$3)</f>
        <v>#REF!</v>
      </c>
      <c r="G30" s="26" t="e">
        <f>SUMIFS(#REF!,#REF!,$C30,#REF!,G$3)</f>
        <v>#REF!</v>
      </c>
      <c r="H30" s="26" t="e">
        <f>SUMIFS(#REF!,#REF!,$C30,#REF!,H$3)</f>
        <v>#REF!</v>
      </c>
      <c r="I30" s="26" t="e">
        <f>SUMIFS(#REF!,#REF!,$C30,#REF!,I$3)</f>
        <v>#REF!</v>
      </c>
      <c r="J30" s="26" t="e">
        <f>SUMIFS(#REF!,#REF!,$C30,#REF!,J$3)</f>
        <v>#REF!</v>
      </c>
      <c r="K30" s="26" t="e">
        <f>SUMIFS(#REF!,#REF!,$C30,#REF!,K$3)</f>
        <v>#REF!</v>
      </c>
      <c r="L30" s="26" t="e">
        <f>SUMIFS(#REF!,#REF!,$C30,#REF!,L$3)</f>
        <v>#REF!</v>
      </c>
      <c r="M30" s="26" t="e">
        <f>SUMIFS(#REF!,#REF!,$C30,#REF!,M$3)</f>
        <v>#REF!</v>
      </c>
      <c r="N30" s="26" t="e">
        <f>SUMIFS(#REF!,#REF!,$C30,#REF!,N$3)</f>
        <v>#REF!</v>
      </c>
      <c r="O30" s="26" t="e">
        <f>SUMIFS(#REF!,#REF!,$C30,#REF!,O$3)</f>
        <v>#REF!</v>
      </c>
      <c r="P30" s="26" t="e">
        <f>SUMIFS(#REF!,#REF!,$C30,#REF!,P$3)</f>
        <v>#REF!</v>
      </c>
      <c r="Q30" s="26" t="e">
        <f>SUMIFS(#REF!,#REF!,$C30,#REF!,Q$3)</f>
        <v>#REF!</v>
      </c>
      <c r="R30" s="26" t="e">
        <f>SUMIFS(#REF!,#REF!,$C30,#REF!,R$3)</f>
        <v>#REF!</v>
      </c>
      <c r="S30" s="26" t="e">
        <f>SUMIFS(#REF!,#REF!,$C30,#REF!,S$3)</f>
        <v>#REF!</v>
      </c>
      <c r="T30" s="26" t="e">
        <f>SUMIFS(#REF!,#REF!,$C30,#REF!,T$3)</f>
        <v>#REF!</v>
      </c>
      <c r="U30" s="26" t="e">
        <f>SUMIFS(#REF!,#REF!,$C30,#REF!,U$3)</f>
        <v>#REF!</v>
      </c>
      <c r="V30" s="26" t="e">
        <f>SUMIFS(#REF!,#REF!,$C30,#REF!,V$3)</f>
        <v>#REF!</v>
      </c>
      <c r="W30" s="26" t="e">
        <f>SUMIFS(#REF!,#REF!,$C30,#REF!,W$3)</f>
        <v>#REF!</v>
      </c>
      <c r="X30" s="26" t="e">
        <f>SUMIFS(#REF!,#REF!,$C30,#REF!,X$3)</f>
        <v>#REF!</v>
      </c>
      <c r="Y30" s="26" t="e">
        <f>SUMIFS(#REF!,#REF!,$C30,#REF!,Y$3)</f>
        <v>#REF!</v>
      </c>
      <c r="Z30" s="26" t="e">
        <f>SUMIFS(#REF!,#REF!,$C30,#REF!,Z$3)</f>
        <v>#REF!</v>
      </c>
      <c r="AA30" s="26" t="e">
        <f>SUMIFS(#REF!,#REF!,$C30,#REF!,AA$3)</f>
        <v>#REF!</v>
      </c>
      <c r="AB30" s="26" t="e">
        <f>SUMIFS(#REF!,#REF!,$C30,#REF!,AB$3)</f>
        <v>#REF!</v>
      </c>
      <c r="AC30" s="26" t="e">
        <f>SUMIFS(#REF!,#REF!,$C30,#REF!,AC$3)</f>
        <v>#REF!</v>
      </c>
      <c r="AD30" s="26" t="e">
        <f>SUMIFS(#REF!,#REF!,$C30,#REF!,AD$3)</f>
        <v>#REF!</v>
      </c>
      <c r="AE30" s="26" t="e">
        <f>SUMIFS(#REF!,#REF!,$C30,#REF!,AE$3)</f>
        <v>#REF!</v>
      </c>
      <c r="AF30" s="26" t="e">
        <f>SUMIFS(#REF!,#REF!,$C30,#REF!,AF$3)</f>
        <v>#REF!</v>
      </c>
      <c r="AG30" s="26" t="e">
        <f>SUMIFS(#REF!,#REF!,$C30,#REF!,AG$3)</f>
        <v>#REF!</v>
      </c>
      <c r="AH30" s="26" t="e">
        <f>SUMIFS(#REF!,#REF!,$C30,#REF!,AH$3)</f>
        <v>#REF!</v>
      </c>
      <c r="AI30" s="26" t="e">
        <f>SUMIFS(#REF!,#REF!,$C30,#REF!,AI$3)</f>
        <v>#REF!</v>
      </c>
    </row>
    <row r="31" spans="2:35" ht="20.100000000000001" customHeight="1" x14ac:dyDescent="0.25">
      <c r="B31" s="24">
        <v>27</v>
      </c>
      <c r="C31" s="28" t="e">
        <f>IF(#REF!=0,"",IF(#REF!&lt;&gt;0,#REF!))</f>
        <v>#REF!</v>
      </c>
      <c r="D31" s="25" t="e">
        <f t="shared" si="1"/>
        <v>#REF!</v>
      </c>
      <c r="E31" s="26" t="e">
        <f>SUMIFS(#REF!,#REF!,$C31,#REF!,E$3)</f>
        <v>#REF!</v>
      </c>
      <c r="F31" s="26" t="e">
        <f>SUMIFS(#REF!,#REF!,$C31,#REF!,F$3)</f>
        <v>#REF!</v>
      </c>
      <c r="G31" s="26" t="e">
        <f>SUMIFS(#REF!,#REF!,$C31,#REF!,G$3)</f>
        <v>#REF!</v>
      </c>
      <c r="H31" s="26" t="e">
        <f>SUMIFS(#REF!,#REF!,$C31,#REF!,H$3)</f>
        <v>#REF!</v>
      </c>
      <c r="I31" s="26" t="e">
        <f>SUMIFS(#REF!,#REF!,$C31,#REF!,I$3)</f>
        <v>#REF!</v>
      </c>
      <c r="J31" s="26" t="e">
        <f>SUMIFS(#REF!,#REF!,$C31,#REF!,J$3)</f>
        <v>#REF!</v>
      </c>
      <c r="K31" s="26" t="e">
        <f>SUMIFS(#REF!,#REF!,$C31,#REF!,K$3)</f>
        <v>#REF!</v>
      </c>
      <c r="L31" s="26" t="e">
        <f>SUMIFS(#REF!,#REF!,$C31,#REF!,L$3)</f>
        <v>#REF!</v>
      </c>
      <c r="M31" s="26" t="e">
        <f>SUMIFS(#REF!,#REF!,$C31,#REF!,M$3)</f>
        <v>#REF!</v>
      </c>
      <c r="N31" s="26" t="e">
        <f>SUMIFS(#REF!,#REF!,$C31,#REF!,N$3)</f>
        <v>#REF!</v>
      </c>
      <c r="O31" s="26" t="e">
        <f>SUMIFS(#REF!,#REF!,$C31,#REF!,O$3)</f>
        <v>#REF!</v>
      </c>
      <c r="P31" s="26" t="e">
        <f>SUMIFS(#REF!,#REF!,$C31,#REF!,P$3)</f>
        <v>#REF!</v>
      </c>
      <c r="Q31" s="26" t="e">
        <f>SUMIFS(#REF!,#REF!,$C31,#REF!,Q$3)</f>
        <v>#REF!</v>
      </c>
      <c r="R31" s="26" t="e">
        <f>SUMIFS(#REF!,#REF!,$C31,#REF!,R$3)</f>
        <v>#REF!</v>
      </c>
      <c r="S31" s="26" t="e">
        <f>SUMIFS(#REF!,#REF!,$C31,#REF!,S$3)</f>
        <v>#REF!</v>
      </c>
      <c r="T31" s="26" t="e">
        <f>SUMIFS(#REF!,#REF!,$C31,#REF!,T$3)</f>
        <v>#REF!</v>
      </c>
      <c r="U31" s="26" t="e">
        <f>SUMIFS(#REF!,#REF!,$C31,#REF!,U$3)</f>
        <v>#REF!</v>
      </c>
      <c r="V31" s="26" t="e">
        <f>SUMIFS(#REF!,#REF!,$C31,#REF!,V$3)</f>
        <v>#REF!</v>
      </c>
      <c r="W31" s="26" t="e">
        <f>SUMIFS(#REF!,#REF!,$C31,#REF!,W$3)</f>
        <v>#REF!</v>
      </c>
      <c r="X31" s="26" t="e">
        <f>SUMIFS(#REF!,#REF!,$C31,#REF!,X$3)</f>
        <v>#REF!</v>
      </c>
      <c r="Y31" s="26" t="e">
        <f>SUMIFS(#REF!,#REF!,$C31,#REF!,Y$3)</f>
        <v>#REF!</v>
      </c>
      <c r="Z31" s="26" t="e">
        <f>SUMIFS(#REF!,#REF!,$C31,#REF!,Z$3)</f>
        <v>#REF!</v>
      </c>
      <c r="AA31" s="26" t="e">
        <f>SUMIFS(#REF!,#REF!,$C31,#REF!,AA$3)</f>
        <v>#REF!</v>
      </c>
      <c r="AB31" s="26" t="e">
        <f>SUMIFS(#REF!,#REF!,$C31,#REF!,AB$3)</f>
        <v>#REF!</v>
      </c>
      <c r="AC31" s="26" t="e">
        <f>SUMIFS(#REF!,#REF!,$C31,#REF!,AC$3)</f>
        <v>#REF!</v>
      </c>
      <c r="AD31" s="26" t="e">
        <f>SUMIFS(#REF!,#REF!,$C31,#REF!,AD$3)</f>
        <v>#REF!</v>
      </c>
      <c r="AE31" s="26" t="e">
        <f>SUMIFS(#REF!,#REF!,$C31,#REF!,AE$3)</f>
        <v>#REF!</v>
      </c>
      <c r="AF31" s="26" t="e">
        <f>SUMIFS(#REF!,#REF!,$C31,#REF!,AF$3)</f>
        <v>#REF!</v>
      </c>
      <c r="AG31" s="26" t="e">
        <f>SUMIFS(#REF!,#REF!,$C31,#REF!,AG$3)</f>
        <v>#REF!</v>
      </c>
      <c r="AH31" s="26" t="e">
        <f>SUMIFS(#REF!,#REF!,$C31,#REF!,AH$3)</f>
        <v>#REF!</v>
      </c>
      <c r="AI31" s="26" t="e">
        <f>SUMIFS(#REF!,#REF!,$C31,#REF!,AI$3)</f>
        <v>#REF!</v>
      </c>
    </row>
    <row r="32" spans="2:35" ht="20.100000000000001" customHeight="1" x14ac:dyDescent="0.25">
      <c r="B32" s="24">
        <v>28</v>
      </c>
      <c r="C32" s="28" t="e">
        <f>IF(#REF!=0,"",IF(#REF!&lt;&gt;0,#REF!))</f>
        <v>#REF!</v>
      </c>
      <c r="D32" s="25" t="e">
        <f t="shared" si="1"/>
        <v>#REF!</v>
      </c>
      <c r="E32" s="26" t="e">
        <f>SUMIFS(#REF!,#REF!,$C32,#REF!,E$3)</f>
        <v>#REF!</v>
      </c>
      <c r="F32" s="26" t="e">
        <f>SUMIFS(#REF!,#REF!,$C32,#REF!,F$3)</f>
        <v>#REF!</v>
      </c>
      <c r="G32" s="26" t="e">
        <f>SUMIFS(#REF!,#REF!,$C32,#REF!,G$3)</f>
        <v>#REF!</v>
      </c>
      <c r="H32" s="26" t="e">
        <f>SUMIFS(#REF!,#REF!,$C32,#REF!,H$3)</f>
        <v>#REF!</v>
      </c>
      <c r="I32" s="26" t="e">
        <f>SUMIFS(#REF!,#REF!,$C32,#REF!,I$3)</f>
        <v>#REF!</v>
      </c>
      <c r="J32" s="26" t="e">
        <f>SUMIFS(#REF!,#REF!,$C32,#REF!,J$3)</f>
        <v>#REF!</v>
      </c>
      <c r="K32" s="26" t="e">
        <f>SUMIFS(#REF!,#REF!,$C32,#REF!,K$3)</f>
        <v>#REF!</v>
      </c>
      <c r="L32" s="26" t="e">
        <f>SUMIFS(#REF!,#REF!,$C32,#REF!,L$3)</f>
        <v>#REF!</v>
      </c>
      <c r="M32" s="26" t="e">
        <f>SUMIFS(#REF!,#REF!,$C32,#REF!,M$3)</f>
        <v>#REF!</v>
      </c>
      <c r="N32" s="26" t="e">
        <f>SUMIFS(#REF!,#REF!,$C32,#REF!,N$3)</f>
        <v>#REF!</v>
      </c>
      <c r="O32" s="26" t="e">
        <f>SUMIFS(#REF!,#REF!,$C32,#REF!,O$3)</f>
        <v>#REF!</v>
      </c>
      <c r="P32" s="26" t="e">
        <f>SUMIFS(#REF!,#REF!,$C32,#REF!,P$3)</f>
        <v>#REF!</v>
      </c>
      <c r="Q32" s="26" t="e">
        <f>SUMIFS(#REF!,#REF!,$C32,#REF!,Q$3)</f>
        <v>#REF!</v>
      </c>
      <c r="R32" s="26" t="e">
        <f>SUMIFS(#REF!,#REF!,$C32,#REF!,R$3)</f>
        <v>#REF!</v>
      </c>
      <c r="S32" s="26" t="e">
        <f>SUMIFS(#REF!,#REF!,$C32,#REF!,S$3)</f>
        <v>#REF!</v>
      </c>
      <c r="T32" s="26" t="e">
        <f>SUMIFS(#REF!,#REF!,$C32,#REF!,T$3)</f>
        <v>#REF!</v>
      </c>
      <c r="U32" s="26" t="e">
        <f>SUMIFS(#REF!,#REF!,$C32,#REF!,U$3)</f>
        <v>#REF!</v>
      </c>
      <c r="V32" s="26" t="e">
        <f>SUMIFS(#REF!,#REF!,$C32,#REF!,V$3)</f>
        <v>#REF!</v>
      </c>
      <c r="W32" s="26" t="e">
        <f>SUMIFS(#REF!,#REF!,$C32,#REF!,W$3)</f>
        <v>#REF!</v>
      </c>
      <c r="X32" s="26" t="e">
        <f>SUMIFS(#REF!,#REF!,$C32,#REF!,X$3)</f>
        <v>#REF!</v>
      </c>
      <c r="Y32" s="26" t="e">
        <f>SUMIFS(#REF!,#REF!,$C32,#REF!,Y$3)</f>
        <v>#REF!</v>
      </c>
      <c r="Z32" s="26" t="e">
        <f>SUMIFS(#REF!,#REF!,$C32,#REF!,Z$3)</f>
        <v>#REF!</v>
      </c>
      <c r="AA32" s="26" t="e">
        <f>SUMIFS(#REF!,#REF!,$C32,#REF!,AA$3)</f>
        <v>#REF!</v>
      </c>
      <c r="AB32" s="26" t="e">
        <f>SUMIFS(#REF!,#REF!,$C32,#REF!,AB$3)</f>
        <v>#REF!</v>
      </c>
      <c r="AC32" s="26" t="e">
        <f>SUMIFS(#REF!,#REF!,$C32,#REF!,AC$3)</f>
        <v>#REF!</v>
      </c>
      <c r="AD32" s="26" t="e">
        <f>SUMIFS(#REF!,#REF!,$C32,#REF!,AD$3)</f>
        <v>#REF!</v>
      </c>
      <c r="AE32" s="26" t="e">
        <f>SUMIFS(#REF!,#REF!,$C32,#REF!,AE$3)</f>
        <v>#REF!</v>
      </c>
      <c r="AF32" s="26" t="e">
        <f>SUMIFS(#REF!,#REF!,$C32,#REF!,AF$3)</f>
        <v>#REF!</v>
      </c>
      <c r="AG32" s="26" t="e">
        <f>SUMIFS(#REF!,#REF!,$C32,#REF!,AG$3)</f>
        <v>#REF!</v>
      </c>
      <c r="AH32" s="26" t="e">
        <f>SUMIFS(#REF!,#REF!,$C32,#REF!,AH$3)</f>
        <v>#REF!</v>
      </c>
      <c r="AI32" s="26" t="e">
        <f>SUMIFS(#REF!,#REF!,$C32,#REF!,AI$3)</f>
        <v>#REF!</v>
      </c>
    </row>
    <row r="33" spans="2:35" ht="20.100000000000001" customHeight="1" x14ac:dyDescent="0.25">
      <c r="B33" s="24">
        <v>29</v>
      </c>
      <c r="C33" s="28" t="e">
        <f>IF(#REF!=0,"",IF(#REF!&lt;&gt;0,#REF!))</f>
        <v>#REF!</v>
      </c>
      <c r="D33" s="25" t="e">
        <f t="shared" si="1"/>
        <v>#REF!</v>
      </c>
      <c r="E33" s="26" t="e">
        <f>SUMIFS(#REF!,#REF!,$C33,#REF!,E$3)</f>
        <v>#REF!</v>
      </c>
      <c r="F33" s="26" t="e">
        <f>SUMIFS(#REF!,#REF!,$C33,#REF!,F$3)</f>
        <v>#REF!</v>
      </c>
      <c r="G33" s="26" t="e">
        <f>SUMIFS(#REF!,#REF!,$C33,#REF!,G$3)</f>
        <v>#REF!</v>
      </c>
      <c r="H33" s="26" t="e">
        <f>SUMIFS(#REF!,#REF!,$C33,#REF!,H$3)</f>
        <v>#REF!</v>
      </c>
      <c r="I33" s="26" t="e">
        <f>SUMIFS(#REF!,#REF!,$C33,#REF!,I$3)</f>
        <v>#REF!</v>
      </c>
      <c r="J33" s="26" t="e">
        <f>SUMIFS(#REF!,#REF!,$C33,#REF!,J$3)</f>
        <v>#REF!</v>
      </c>
      <c r="K33" s="26" t="e">
        <f>SUMIFS(#REF!,#REF!,$C33,#REF!,K$3)</f>
        <v>#REF!</v>
      </c>
      <c r="L33" s="26" t="e">
        <f>SUMIFS(#REF!,#REF!,$C33,#REF!,L$3)</f>
        <v>#REF!</v>
      </c>
      <c r="M33" s="26" t="e">
        <f>SUMIFS(#REF!,#REF!,$C33,#REF!,M$3)</f>
        <v>#REF!</v>
      </c>
      <c r="N33" s="26" t="e">
        <f>SUMIFS(#REF!,#REF!,$C33,#REF!,N$3)</f>
        <v>#REF!</v>
      </c>
      <c r="O33" s="26" t="e">
        <f>SUMIFS(#REF!,#REF!,$C33,#REF!,O$3)</f>
        <v>#REF!</v>
      </c>
      <c r="P33" s="26" t="e">
        <f>SUMIFS(#REF!,#REF!,$C33,#REF!,P$3)</f>
        <v>#REF!</v>
      </c>
      <c r="Q33" s="26" t="e">
        <f>SUMIFS(#REF!,#REF!,$C33,#REF!,Q$3)</f>
        <v>#REF!</v>
      </c>
      <c r="R33" s="26" t="e">
        <f>SUMIFS(#REF!,#REF!,$C33,#REF!,R$3)</f>
        <v>#REF!</v>
      </c>
      <c r="S33" s="26" t="e">
        <f>SUMIFS(#REF!,#REF!,$C33,#REF!,S$3)</f>
        <v>#REF!</v>
      </c>
      <c r="T33" s="26" t="e">
        <f>SUMIFS(#REF!,#REF!,$C33,#REF!,T$3)</f>
        <v>#REF!</v>
      </c>
      <c r="U33" s="26" t="e">
        <f>SUMIFS(#REF!,#REF!,$C33,#REF!,U$3)</f>
        <v>#REF!</v>
      </c>
      <c r="V33" s="26" t="e">
        <f>SUMIFS(#REF!,#REF!,$C33,#REF!,V$3)</f>
        <v>#REF!</v>
      </c>
      <c r="W33" s="26" t="e">
        <f>SUMIFS(#REF!,#REF!,$C33,#REF!,W$3)</f>
        <v>#REF!</v>
      </c>
      <c r="X33" s="26" t="e">
        <f>SUMIFS(#REF!,#REF!,$C33,#REF!,X$3)</f>
        <v>#REF!</v>
      </c>
      <c r="Y33" s="26" t="e">
        <f>SUMIFS(#REF!,#REF!,$C33,#REF!,Y$3)</f>
        <v>#REF!</v>
      </c>
      <c r="Z33" s="26" t="e">
        <f>SUMIFS(#REF!,#REF!,$C33,#REF!,Z$3)</f>
        <v>#REF!</v>
      </c>
      <c r="AA33" s="26" t="e">
        <f>SUMIFS(#REF!,#REF!,$C33,#REF!,AA$3)</f>
        <v>#REF!</v>
      </c>
      <c r="AB33" s="26" t="e">
        <f>SUMIFS(#REF!,#REF!,$C33,#REF!,AB$3)</f>
        <v>#REF!</v>
      </c>
      <c r="AC33" s="26" t="e">
        <f>SUMIFS(#REF!,#REF!,$C33,#REF!,AC$3)</f>
        <v>#REF!</v>
      </c>
      <c r="AD33" s="26" t="e">
        <f>SUMIFS(#REF!,#REF!,$C33,#REF!,AD$3)</f>
        <v>#REF!</v>
      </c>
      <c r="AE33" s="26" t="e">
        <f>SUMIFS(#REF!,#REF!,$C33,#REF!,AE$3)</f>
        <v>#REF!</v>
      </c>
      <c r="AF33" s="26" t="e">
        <f>SUMIFS(#REF!,#REF!,$C33,#REF!,AF$3)</f>
        <v>#REF!</v>
      </c>
      <c r="AG33" s="26" t="e">
        <f>SUMIFS(#REF!,#REF!,$C33,#REF!,AG$3)</f>
        <v>#REF!</v>
      </c>
      <c r="AH33" s="26" t="e">
        <f>SUMIFS(#REF!,#REF!,$C33,#REF!,AH$3)</f>
        <v>#REF!</v>
      </c>
      <c r="AI33" s="26" t="e">
        <f>SUMIFS(#REF!,#REF!,$C33,#REF!,AI$3)</f>
        <v>#REF!</v>
      </c>
    </row>
    <row r="34" spans="2:35" ht="20.100000000000001" customHeight="1" x14ac:dyDescent="0.25">
      <c r="B34" s="24">
        <v>30</v>
      </c>
      <c r="C34" s="28" t="e">
        <f>IF(#REF!=0,"",IF(#REF!&lt;&gt;0,#REF!))</f>
        <v>#REF!</v>
      </c>
      <c r="D34" s="25" t="e">
        <f t="shared" si="1"/>
        <v>#REF!</v>
      </c>
      <c r="E34" s="26" t="e">
        <f>SUMIFS(#REF!,#REF!,$C34,#REF!,E$3)</f>
        <v>#REF!</v>
      </c>
      <c r="F34" s="26" t="e">
        <f>SUMIFS(#REF!,#REF!,$C34,#REF!,F$3)</f>
        <v>#REF!</v>
      </c>
      <c r="G34" s="26" t="e">
        <f>SUMIFS(#REF!,#REF!,$C34,#REF!,G$3)</f>
        <v>#REF!</v>
      </c>
      <c r="H34" s="26" t="e">
        <f>SUMIFS(#REF!,#REF!,$C34,#REF!,H$3)</f>
        <v>#REF!</v>
      </c>
      <c r="I34" s="26" t="e">
        <f>SUMIFS(#REF!,#REF!,$C34,#REF!,I$3)</f>
        <v>#REF!</v>
      </c>
      <c r="J34" s="26" t="e">
        <f>SUMIFS(#REF!,#REF!,$C34,#REF!,J$3)</f>
        <v>#REF!</v>
      </c>
      <c r="K34" s="26" t="e">
        <f>SUMIFS(#REF!,#REF!,$C34,#REF!,K$3)</f>
        <v>#REF!</v>
      </c>
      <c r="L34" s="26" t="e">
        <f>SUMIFS(#REF!,#REF!,$C34,#REF!,L$3)</f>
        <v>#REF!</v>
      </c>
      <c r="M34" s="26" t="e">
        <f>SUMIFS(#REF!,#REF!,$C34,#REF!,M$3)</f>
        <v>#REF!</v>
      </c>
      <c r="N34" s="26" t="e">
        <f>SUMIFS(#REF!,#REF!,$C34,#REF!,N$3)</f>
        <v>#REF!</v>
      </c>
      <c r="O34" s="26" t="e">
        <f>SUMIFS(#REF!,#REF!,$C34,#REF!,O$3)</f>
        <v>#REF!</v>
      </c>
      <c r="P34" s="26" t="e">
        <f>SUMIFS(#REF!,#REF!,$C34,#REF!,P$3)</f>
        <v>#REF!</v>
      </c>
      <c r="Q34" s="26" t="e">
        <f>SUMIFS(#REF!,#REF!,$C34,#REF!,Q$3)</f>
        <v>#REF!</v>
      </c>
      <c r="R34" s="26" t="e">
        <f>SUMIFS(#REF!,#REF!,$C34,#REF!,R$3)</f>
        <v>#REF!</v>
      </c>
      <c r="S34" s="26" t="e">
        <f>SUMIFS(#REF!,#REF!,$C34,#REF!,S$3)</f>
        <v>#REF!</v>
      </c>
      <c r="T34" s="26" t="e">
        <f>SUMIFS(#REF!,#REF!,$C34,#REF!,T$3)</f>
        <v>#REF!</v>
      </c>
      <c r="U34" s="26" t="e">
        <f>SUMIFS(#REF!,#REF!,$C34,#REF!,U$3)</f>
        <v>#REF!</v>
      </c>
      <c r="V34" s="26" t="e">
        <f>SUMIFS(#REF!,#REF!,$C34,#REF!,V$3)</f>
        <v>#REF!</v>
      </c>
      <c r="W34" s="26" t="e">
        <f>SUMIFS(#REF!,#REF!,$C34,#REF!,W$3)</f>
        <v>#REF!</v>
      </c>
      <c r="X34" s="26" t="e">
        <f>SUMIFS(#REF!,#REF!,$C34,#REF!,X$3)</f>
        <v>#REF!</v>
      </c>
      <c r="Y34" s="26" t="e">
        <f>SUMIFS(#REF!,#REF!,$C34,#REF!,Y$3)</f>
        <v>#REF!</v>
      </c>
      <c r="Z34" s="26" t="e">
        <f>SUMIFS(#REF!,#REF!,$C34,#REF!,Z$3)</f>
        <v>#REF!</v>
      </c>
      <c r="AA34" s="26" t="e">
        <f>SUMIFS(#REF!,#REF!,$C34,#REF!,AA$3)</f>
        <v>#REF!</v>
      </c>
      <c r="AB34" s="26" t="e">
        <f>SUMIFS(#REF!,#REF!,$C34,#REF!,AB$3)</f>
        <v>#REF!</v>
      </c>
      <c r="AC34" s="26" t="e">
        <f>SUMIFS(#REF!,#REF!,$C34,#REF!,AC$3)</f>
        <v>#REF!</v>
      </c>
      <c r="AD34" s="26" t="e">
        <f>SUMIFS(#REF!,#REF!,$C34,#REF!,AD$3)</f>
        <v>#REF!</v>
      </c>
      <c r="AE34" s="26" t="e">
        <f>SUMIFS(#REF!,#REF!,$C34,#REF!,AE$3)</f>
        <v>#REF!</v>
      </c>
      <c r="AF34" s="26" t="e">
        <f>SUMIFS(#REF!,#REF!,$C34,#REF!,AF$3)</f>
        <v>#REF!</v>
      </c>
      <c r="AG34" s="26" t="e">
        <f>SUMIFS(#REF!,#REF!,$C34,#REF!,AG$3)</f>
        <v>#REF!</v>
      </c>
      <c r="AH34" s="26" t="e">
        <f>SUMIFS(#REF!,#REF!,$C34,#REF!,AH$3)</f>
        <v>#REF!</v>
      </c>
      <c r="AI34" s="26" t="e">
        <f>SUMIFS(#REF!,#REF!,$C34,#REF!,AI$3)</f>
        <v>#REF!</v>
      </c>
    </row>
  </sheetData>
  <mergeCells count="1">
    <mergeCell ref="B2:J2"/>
  </mergeCells>
  <conditionalFormatting sqref="D5:D34">
    <cfRule type="cellIs" dxfId="4152" priority="11" operator="equal">
      <formula>0</formula>
    </cfRule>
    <cfRule type="cellIs" dxfId="4151" priority="13" operator="greaterThan">
      <formula>0</formula>
    </cfRule>
  </conditionalFormatting>
  <conditionalFormatting sqref="E5:AI34">
    <cfRule type="cellIs" dxfId="4150" priority="12" operator="equal">
      <formula>0</formula>
    </cfRule>
  </conditionalFormatting>
  <pageMargins left="0.75" right="0.75" top="1" bottom="1" header="0.51180555555555562" footer="0.51180555555555562"/>
  <pageSetup paperSize="9" fitToWidth="0" fitToHeight="0" orientation="portrait" useFirstPageNumber="1" errors="NA" r:id="rId1"/>
  <headerFooter scaleWithDoc="0"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5" tint="-0.499984740745262"/>
  </sheetPr>
  <dimension ref="A1:IT14"/>
  <sheetViews>
    <sheetView workbookViewId="0">
      <selection activeCell="E12" sqref="E12"/>
    </sheetView>
  </sheetViews>
  <sheetFormatPr defaultColWidth="8.85546875" defaultRowHeight="14.25" x14ac:dyDescent="0.2"/>
  <cols>
    <col min="1" max="1" width="0.7109375" style="16" customWidth="1"/>
    <col min="2" max="2" width="5" style="16" customWidth="1"/>
    <col min="3" max="3" width="13.7109375" style="16" customWidth="1"/>
    <col min="4" max="4" width="18.5703125" style="16" customWidth="1"/>
    <col min="5" max="7" width="7.140625" style="16" bestFit="1" customWidth="1"/>
    <col min="8" max="8" width="6.5703125" style="16" bestFit="1" customWidth="1"/>
    <col min="9" max="9" width="7.140625" style="16" bestFit="1" customWidth="1"/>
    <col min="10" max="10" width="6.5703125" style="16" bestFit="1" customWidth="1"/>
    <col min="11" max="11" width="7.140625" style="16" bestFit="1" customWidth="1"/>
    <col min="12" max="12" width="8.140625" style="16" bestFit="1" customWidth="1"/>
    <col min="13" max="13" width="6.5703125" style="16" bestFit="1" customWidth="1"/>
    <col min="14" max="34" width="7.5703125" style="16" bestFit="1" customWidth="1"/>
    <col min="35" max="35" width="6.5703125" style="16" bestFit="1" customWidth="1"/>
    <col min="36" max="254" width="8.85546875" style="16"/>
    <col min="255" max="16384" width="8.85546875" style="34"/>
  </cols>
  <sheetData>
    <row r="1" spans="2:35" s="16" customFormat="1" ht="0.95" customHeight="1" x14ac:dyDescent="0.2"/>
    <row r="2" spans="2:35" s="16" customFormat="1" ht="51" customHeight="1" x14ac:dyDescent="0.2">
      <c r="B2" s="343" t="s">
        <v>5</v>
      </c>
      <c r="C2" s="343"/>
      <c r="D2" s="343"/>
      <c r="E2" s="343"/>
      <c r="F2" s="343"/>
      <c r="G2" s="343"/>
      <c r="H2" s="343"/>
      <c r="I2" s="343"/>
      <c r="J2" s="343"/>
      <c r="K2" s="29" t="e">
        <f>#REF!</f>
        <v>#REF!</v>
      </c>
      <c r="L2" s="29">
        <v>2023</v>
      </c>
    </row>
    <row r="3" spans="2:35" s="19" customFormat="1" ht="36.950000000000003" customHeight="1" x14ac:dyDescent="0.2">
      <c r="B3" s="17" t="s">
        <v>2</v>
      </c>
      <c r="C3" s="18" t="s">
        <v>3</v>
      </c>
      <c r="D3" s="30" t="s">
        <v>6</v>
      </c>
      <c r="E3" s="31" t="e">
        <f>DATE(L2,K2,1)</f>
        <v>#REF!</v>
      </c>
      <c r="F3" s="31" t="e">
        <f>E3+1</f>
        <v>#REF!</v>
      </c>
      <c r="G3" s="31" t="e">
        <f t="shared" ref="G3:AI3" si="0">F3+1</f>
        <v>#REF!</v>
      </c>
      <c r="H3" s="31" t="e">
        <f t="shared" si="0"/>
        <v>#REF!</v>
      </c>
      <c r="I3" s="31" t="e">
        <f t="shared" si="0"/>
        <v>#REF!</v>
      </c>
      <c r="J3" s="31" t="e">
        <f t="shared" si="0"/>
        <v>#REF!</v>
      </c>
      <c r="K3" s="31" t="e">
        <f t="shared" si="0"/>
        <v>#REF!</v>
      </c>
      <c r="L3" s="31" t="e">
        <f t="shared" si="0"/>
        <v>#REF!</v>
      </c>
      <c r="M3" s="31" t="e">
        <f t="shared" si="0"/>
        <v>#REF!</v>
      </c>
      <c r="N3" s="31" t="e">
        <f t="shared" si="0"/>
        <v>#REF!</v>
      </c>
      <c r="O3" s="31" t="e">
        <f t="shared" si="0"/>
        <v>#REF!</v>
      </c>
      <c r="P3" s="31" t="e">
        <f t="shared" si="0"/>
        <v>#REF!</v>
      </c>
      <c r="Q3" s="31" t="e">
        <f t="shared" si="0"/>
        <v>#REF!</v>
      </c>
      <c r="R3" s="31" t="e">
        <f t="shared" si="0"/>
        <v>#REF!</v>
      </c>
      <c r="S3" s="31" t="e">
        <f t="shared" si="0"/>
        <v>#REF!</v>
      </c>
      <c r="T3" s="31" t="e">
        <f t="shared" si="0"/>
        <v>#REF!</v>
      </c>
      <c r="U3" s="31" t="e">
        <f t="shared" si="0"/>
        <v>#REF!</v>
      </c>
      <c r="V3" s="31" t="e">
        <f t="shared" si="0"/>
        <v>#REF!</v>
      </c>
      <c r="W3" s="31" t="e">
        <f t="shared" si="0"/>
        <v>#REF!</v>
      </c>
      <c r="X3" s="31" t="e">
        <f t="shared" si="0"/>
        <v>#REF!</v>
      </c>
      <c r="Y3" s="31" t="e">
        <f t="shared" si="0"/>
        <v>#REF!</v>
      </c>
      <c r="Z3" s="31" t="e">
        <f t="shared" si="0"/>
        <v>#REF!</v>
      </c>
      <c r="AA3" s="31" t="e">
        <f t="shared" si="0"/>
        <v>#REF!</v>
      </c>
      <c r="AB3" s="31" t="e">
        <f t="shared" si="0"/>
        <v>#REF!</v>
      </c>
      <c r="AC3" s="31" t="e">
        <f t="shared" si="0"/>
        <v>#REF!</v>
      </c>
      <c r="AD3" s="31" t="e">
        <f t="shared" si="0"/>
        <v>#REF!</v>
      </c>
      <c r="AE3" s="31" t="e">
        <f t="shared" si="0"/>
        <v>#REF!</v>
      </c>
      <c r="AF3" s="31" t="e">
        <f t="shared" si="0"/>
        <v>#REF!</v>
      </c>
      <c r="AG3" s="31" t="e">
        <f t="shared" si="0"/>
        <v>#REF!</v>
      </c>
      <c r="AH3" s="31" t="e">
        <f t="shared" si="0"/>
        <v>#REF!</v>
      </c>
      <c r="AI3" s="31" t="e">
        <f t="shared" si="0"/>
        <v>#REF!</v>
      </c>
    </row>
    <row r="4" spans="2:35" s="19" customFormat="1" ht="20.100000000000001" customHeight="1" x14ac:dyDescent="0.2">
      <c r="B4" s="20"/>
      <c r="C4" s="21"/>
      <c r="D4" s="22" t="e">
        <f t="shared" ref="D4:D14" si="1">SUM(E4:AI4)</f>
        <v>#REF!</v>
      </c>
      <c r="E4" s="23" t="e">
        <f t="shared" ref="E4:AI4" si="2">SUM(E5:E14)</f>
        <v>#REF!</v>
      </c>
      <c r="F4" s="23" t="e">
        <f t="shared" si="2"/>
        <v>#REF!</v>
      </c>
      <c r="G4" s="23" t="e">
        <f t="shared" si="2"/>
        <v>#REF!</v>
      </c>
      <c r="H4" s="23" t="e">
        <f t="shared" si="2"/>
        <v>#REF!</v>
      </c>
      <c r="I4" s="23" t="e">
        <f t="shared" si="2"/>
        <v>#REF!</v>
      </c>
      <c r="J4" s="23" t="e">
        <f t="shared" si="2"/>
        <v>#REF!</v>
      </c>
      <c r="K4" s="23" t="e">
        <f t="shared" si="2"/>
        <v>#REF!</v>
      </c>
      <c r="L4" s="23" t="e">
        <f t="shared" si="2"/>
        <v>#REF!</v>
      </c>
      <c r="M4" s="23" t="e">
        <f t="shared" si="2"/>
        <v>#REF!</v>
      </c>
      <c r="N4" s="23" t="e">
        <f t="shared" si="2"/>
        <v>#REF!</v>
      </c>
      <c r="O4" s="23" t="e">
        <f t="shared" si="2"/>
        <v>#REF!</v>
      </c>
      <c r="P4" s="23" t="e">
        <f t="shared" si="2"/>
        <v>#REF!</v>
      </c>
      <c r="Q4" s="23" t="e">
        <f t="shared" si="2"/>
        <v>#REF!</v>
      </c>
      <c r="R4" s="23" t="e">
        <f t="shared" si="2"/>
        <v>#REF!</v>
      </c>
      <c r="S4" s="23" t="e">
        <f t="shared" si="2"/>
        <v>#REF!</v>
      </c>
      <c r="T4" s="23" t="e">
        <f t="shared" si="2"/>
        <v>#REF!</v>
      </c>
      <c r="U4" s="23" t="e">
        <f t="shared" si="2"/>
        <v>#REF!</v>
      </c>
      <c r="V4" s="23" t="e">
        <f t="shared" si="2"/>
        <v>#REF!</v>
      </c>
      <c r="W4" s="23" t="e">
        <f t="shared" si="2"/>
        <v>#REF!</v>
      </c>
      <c r="X4" s="23" t="e">
        <f t="shared" si="2"/>
        <v>#REF!</v>
      </c>
      <c r="Y4" s="23" t="e">
        <f t="shared" si="2"/>
        <v>#REF!</v>
      </c>
      <c r="Z4" s="23" t="e">
        <f t="shared" si="2"/>
        <v>#REF!</v>
      </c>
      <c r="AA4" s="23" t="e">
        <f t="shared" si="2"/>
        <v>#REF!</v>
      </c>
      <c r="AB4" s="23" t="e">
        <f t="shared" si="2"/>
        <v>#REF!</v>
      </c>
      <c r="AC4" s="23" t="e">
        <f t="shared" si="2"/>
        <v>#REF!</v>
      </c>
      <c r="AD4" s="23" t="e">
        <f t="shared" si="2"/>
        <v>#REF!</v>
      </c>
      <c r="AE4" s="23" t="e">
        <f t="shared" si="2"/>
        <v>#REF!</v>
      </c>
      <c r="AF4" s="23" t="e">
        <f t="shared" si="2"/>
        <v>#REF!</v>
      </c>
      <c r="AG4" s="23" t="e">
        <f t="shared" si="2"/>
        <v>#REF!</v>
      </c>
      <c r="AH4" s="23" t="e">
        <f t="shared" si="2"/>
        <v>#REF!</v>
      </c>
      <c r="AI4" s="23" t="e">
        <f t="shared" si="2"/>
        <v>#REF!</v>
      </c>
    </row>
    <row r="5" spans="2:35" s="16" customFormat="1" ht="20.100000000000001" customHeight="1" x14ac:dyDescent="0.25">
      <c r="B5" s="24">
        <v>1</v>
      </c>
      <c r="C5" s="32">
        <v>1</v>
      </c>
      <c r="D5" s="25" t="e">
        <f t="shared" si="1"/>
        <v>#REF!</v>
      </c>
      <c r="E5" s="26" t="e">
        <f>SUMIFS(#REF!,#REF!,$C5,#REF!,E$3)</f>
        <v>#REF!</v>
      </c>
      <c r="F5" s="26" t="e">
        <f>SUMIFS(#REF!,#REF!,$C5,#REF!,F$3)</f>
        <v>#REF!</v>
      </c>
      <c r="G5" s="26" t="e">
        <f>SUMIFS(#REF!,#REF!,$C5,#REF!,G$3)</f>
        <v>#REF!</v>
      </c>
      <c r="H5" s="26" t="e">
        <f>SUMIFS(#REF!,#REF!,$C5,#REF!,H$3)</f>
        <v>#REF!</v>
      </c>
      <c r="I5" s="26" t="e">
        <f>SUMIFS(#REF!,#REF!,$C5,#REF!,I$3)</f>
        <v>#REF!</v>
      </c>
      <c r="J5" s="26" t="e">
        <f>SUMIFS(#REF!,#REF!,$C5,#REF!,J$3)</f>
        <v>#REF!</v>
      </c>
      <c r="K5" s="26" t="e">
        <f>SUMIFS(#REF!,#REF!,$C5,#REF!,K$3)</f>
        <v>#REF!</v>
      </c>
      <c r="L5" s="26" t="e">
        <f>SUMIFS(#REF!,#REF!,$C5,#REF!,L$3)</f>
        <v>#REF!</v>
      </c>
      <c r="M5" s="26" t="e">
        <f>SUMIFS(#REF!,#REF!,$C5,#REF!,M$3)</f>
        <v>#REF!</v>
      </c>
      <c r="N5" s="26" t="e">
        <f>SUMIFS(#REF!,#REF!,$C5,#REF!,N$3)</f>
        <v>#REF!</v>
      </c>
      <c r="O5" s="26" t="e">
        <f>SUMIFS(#REF!,#REF!,$C5,#REF!,O$3)</f>
        <v>#REF!</v>
      </c>
      <c r="P5" s="26" t="e">
        <f>SUMIFS(#REF!,#REF!,$C5,#REF!,P$3)</f>
        <v>#REF!</v>
      </c>
      <c r="Q5" s="26" t="e">
        <f>SUMIFS(#REF!,#REF!,$C5,#REF!,Q$3)</f>
        <v>#REF!</v>
      </c>
      <c r="R5" s="26" t="e">
        <f>SUMIFS(#REF!,#REF!,$C5,#REF!,R$3)</f>
        <v>#REF!</v>
      </c>
      <c r="S5" s="26" t="e">
        <f>SUMIFS(#REF!,#REF!,$C5,#REF!,S$3)</f>
        <v>#REF!</v>
      </c>
      <c r="T5" s="26" t="e">
        <f>SUMIFS(#REF!,#REF!,$C5,#REF!,T$3)</f>
        <v>#REF!</v>
      </c>
      <c r="U5" s="26" t="e">
        <f>SUMIFS(#REF!,#REF!,$C5,#REF!,U$3)</f>
        <v>#REF!</v>
      </c>
      <c r="V5" s="26" t="e">
        <f>SUMIFS(#REF!,#REF!,$C5,#REF!,V$3)</f>
        <v>#REF!</v>
      </c>
      <c r="W5" s="26" t="e">
        <f>SUMIFS(#REF!,#REF!,$C5,#REF!,W$3)</f>
        <v>#REF!</v>
      </c>
      <c r="X5" s="26" t="e">
        <f>SUMIFS(#REF!,#REF!,$C5,#REF!,X$3)</f>
        <v>#REF!</v>
      </c>
      <c r="Y5" s="26" t="e">
        <f>SUMIFS(#REF!,#REF!,$C5,#REF!,Y$3)</f>
        <v>#REF!</v>
      </c>
      <c r="Z5" s="26" t="e">
        <f>SUMIFS(#REF!,#REF!,$C5,#REF!,Z$3)</f>
        <v>#REF!</v>
      </c>
      <c r="AA5" s="26" t="e">
        <f>SUMIFS(#REF!,#REF!,$C5,#REF!,AA$3)</f>
        <v>#REF!</v>
      </c>
      <c r="AB5" s="26" t="e">
        <f>SUMIFS(#REF!,#REF!,$C5,#REF!,AB$3)</f>
        <v>#REF!</v>
      </c>
      <c r="AC5" s="26" t="e">
        <f>SUMIFS(#REF!,#REF!,$C5,#REF!,AC$3)</f>
        <v>#REF!</v>
      </c>
      <c r="AD5" s="26" t="e">
        <f>SUMIFS(#REF!,#REF!,$C5,#REF!,AD$3)</f>
        <v>#REF!</v>
      </c>
      <c r="AE5" s="26" t="e">
        <f>SUMIFS(#REF!,#REF!,$C5,#REF!,AE$3)</f>
        <v>#REF!</v>
      </c>
      <c r="AF5" s="26" t="e">
        <f>SUMIFS(#REF!,#REF!,$C5,#REF!,AF$3)</f>
        <v>#REF!</v>
      </c>
      <c r="AG5" s="26" t="e">
        <f>SUMIFS(#REF!,#REF!,$C5,#REF!,AG$3)</f>
        <v>#REF!</v>
      </c>
      <c r="AH5" s="26" t="e">
        <f>SUMIFS(#REF!,#REF!,$C5,#REF!,AH$3)</f>
        <v>#REF!</v>
      </c>
      <c r="AI5" s="26" t="e">
        <f>SUMIFS(#REF!,#REF!,$C5,#REF!,AI$3)</f>
        <v>#REF!</v>
      </c>
    </row>
    <row r="6" spans="2:35" s="16" customFormat="1" ht="20.100000000000001" customHeight="1" x14ac:dyDescent="0.25">
      <c r="B6" s="24">
        <v>2</v>
      </c>
      <c r="C6" s="32">
        <v>2</v>
      </c>
      <c r="D6" s="25" t="e">
        <f t="shared" si="1"/>
        <v>#REF!</v>
      </c>
      <c r="E6" s="26" t="e">
        <f>SUMIFS(#REF!,#REF!,$C6,#REF!,E$3)</f>
        <v>#REF!</v>
      </c>
      <c r="F6" s="26" t="e">
        <f>SUMIFS(#REF!,#REF!,$C6,#REF!,F$3)</f>
        <v>#REF!</v>
      </c>
      <c r="G6" s="26" t="e">
        <f>SUMIFS(#REF!,#REF!,$C6,#REF!,G$3)</f>
        <v>#REF!</v>
      </c>
      <c r="H6" s="26" t="e">
        <f>SUMIFS(#REF!,#REF!,$C6,#REF!,H$3)</f>
        <v>#REF!</v>
      </c>
      <c r="I6" s="26" t="e">
        <f>SUMIFS(#REF!,#REF!,$C6,#REF!,I$3)</f>
        <v>#REF!</v>
      </c>
      <c r="J6" s="26" t="e">
        <f>SUMIFS(#REF!,#REF!,$C6,#REF!,J$3)</f>
        <v>#REF!</v>
      </c>
      <c r="K6" s="26" t="e">
        <f>SUMIFS(#REF!,#REF!,$C6,#REF!,K$3)</f>
        <v>#REF!</v>
      </c>
      <c r="L6" s="26" t="e">
        <f>SUMIFS(#REF!,#REF!,$C6,#REF!,L$3)</f>
        <v>#REF!</v>
      </c>
      <c r="M6" s="26" t="e">
        <f>SUMIFS(#REF!,#REF!,$C6,#REF!,M$3)</f>
        <v>#REF!</v>
      </c>
      <c r="N6" s="26" t="e">
        <f>SUMIFS(#REF!,#REF!,$C6,#REF!,N$3)</f>
        <v>#REF!</v>
      </c>
      <c r="O6" s="26" t="e">
        <f>SUMIFS(#REF!,#REF!,$C6,#REF!,O$3)</f>
        <v>#REF!</v>
      </c>
      <c r="P6" s="26" t="e">
        <f>SUMIFS(#REF!,#REF!,$C6,#REF!,P$3)</f>
        <v>#REF!</v>
      </c>
      <c r="Q6" s="26" t="e">
        <f>SUMIFS(#REF!,#REF!,$C6,#REF!,Q$3)</f>
        <v>#REF!</v>
      </c>
      <c r="R6" s="26" t="e">
        <f>SUMIFS(#REF!,#REF!,$C6,#REF!,R$3)</f>
        <v>#REF!</v>
      </c>
      <c r="S6" s="26" t="e">
        <f>SUMIFS(#REF!,#REF!,$C6,#REF!,S$3)</f>
        <v>#REF!</v>
      </c>
      <c r="T6" s="26" t="e">
        <f>SUMIFS(#REF!,#REF!,$C6,#REF!,T$3)</f>
        <v>#REF!</v>
      </c>
      <c r="U6" s="26" t="e">
        <f>SUMIFS(#REF!,#REF!,$C6,#REF!,U$3)</f>
        <v>#REF!</v>
      </c>
      <c r="V6" s="26" t="e">
        <f>SUMIFS(#REF!,#REF!,$C6,#REF!,V$3)</f>
        <v>#REF!</v>
      </c>
      <c r="W6" s="26" t="e">
        <f>SUMIFS(#REF!,#REF!,$C6,#REF!,W$3)</f>
        <v>#REF!</v>
      </c>
      <c r="X6" s="26" t="e">
        <f>SUMIFS(#REF!,#REF!,$C6,#REF!,X$3)</f>
        <v>#REF!</v>
      </c>
      <c r="Y6" s="26" t="e">
        <f>SUMIFS(#REF!,#REF!,$C6,#REF!,Y$3)</f>
        <v>#REF!</v>
      </c>
      <c r="Z6" s="26" t="e">
        <f>SUMIFS(#REF!,#REF!,$C6,#REF!,Z$3)</f>
        <v>#REF!</v>
      </c>
      <c r="AA6" s="26" t="e">
        <f>SUMIFS(#REF!,#REF!,$C6,#REF!,AA$3)</f>
        <v>#REF!</v>
      </c>
      <c r="AB6" s="26" t="e">
        <f>SUMIFS(#REF!,#REF!,$C6,#REF!,AB$3)</f>
        <v>#REF!</v>
      </c>
      <c r="AC6" s="26" t="e">
        <f>SUMIFS(#REF!,#REF!,$C6,#REF!,AC$3)</f>
        <v>#REF!</v>
      </c>
      <c r="AD6" s="26" t="e">
        <f>SUMIFS(#REF!,#REF!,$C6,#REF!,AD$3)</f>
        <v>#REF!</v>
      </c>
      <c r="AE6" s="26" t="e">
        <f>SUMIFS(#REF!,#REF!,$C6,#REF!,AE$3)</f>
        <v>#REF!</v>
      </c>
      <c r="AF6" s="26" t="e">
        <f>SUMIFS(#REF!,#REF!,$C6,#REF!,AF$3)</f>
        <v>#REF!</v>
      </c>
      <c r="AG6" s="26" t="e">
        <f>SUMIFS(#REF!,#REF!,$C6,#REF!,AG$3)</f>
        <v>#REF!</v>
      </c>
      <c r="AH6" s="26" t="e">
        <f>SUMIFS(#REF!,#REF!,$C6,#REF!,AH$3)</f>
        <v>#REF!</v>
      </c>
      <c r="AI6" s="26" t="e">
        <f>SUMIFS(#REF!,#REF!,$C6,#REF!,AI$3)</f>
        <v>#REF!</v>
      </c>
    </row>
    <row r="7" spans="2:35" s="16" customFormat="1" ht="20.100000000000001" customHeight="1" x14ac:dyDescent="0.25">
      <c r="B7" s="24">
        <v>3</v>
      </c>
      <c r="C7" s="32">
        <v>3</v>
      </c>
      <c r="D7" s="25" t="e">
        <f t="shared" si="1"/>
        <v>#REF!</v>
      </c>
      <c r="E7" s="26" t="e">
        <f>SUMIFS(#REF!,#REF!,$C7,#REF!,E$3)</f>
        <v>#REF!</v>
      </c>
      <c r="F7" s="26" t="e">
        <f>SUMIFS(#REF!,#REF!,$C7,#REF!,F$3)</f>
        <v>#REF!</v>
      </c>
      <c r="G7" s="26" t="e">
        <f>SUMIFS(#REF!,#REF!,$C7,#REF!,G$3)</f>
        <v>#REF!</v>
      </c>
      <c r="H7" s="26" t="e">
        <f>SUMIFS(#REF!,#REF!,$C7,#REF!,H$3)</f>
        <v>#REF!</v>
      </c>
      <c r="I7" s="26" t="e">
        <f>SUMIFS(#REF!,#REF!,$C7,#REF!,I$3)</f>
        <v>#REF!</v>
      </c>
      <c r="J7" s="26" t="e">
        <f>SUMIFS(#REF!,#REF!,$C7,#REF!,J$3)</f>
        <v>#REF!</v>
      </c>
      <c r="K7" s="26" t="e">
        <f>SUMIFS(#REF!,#REF!,$C7,#REF!,K$3)</f>
        <v>#REF!</v>
      </c>
      <c r="L7" s="26" t="e">
        <f>SUMIFS(#REF!,#REF!,$C7,#REF!,L$3)</f>
        <v>#REF!</v>
      </c>
      <c r="M7" s="26" t="e">
        <f>SUMIFS(#REF!,#REF!,$C7,#REF!,M$3)</f>
        <v>#REF!</v>
      </c>
      <c r="N7" s="26" t="e">
        <f>SUMIFS(#REF!,#REF!,$C7,#REF!,N$3)</f>
        <v>#REF!</v>
      </c>
      <c r="O7" s="26" t="e">
        <f>SUMIFS(#REF!,#REF!,$C7,#REF!,O$3)</f>
        <v>#REF!</v>
      </c>
      <c r="P7" s="26" t="e">
        <f>SUMIFS(#REF!,#REF!,$C7,#REF!,P$3)</f>
        <v>#REF!</v>
      </c>
      <c r="Q7" s="26" t="e">
        <f>SUMIFS(#REF!,#REF!,$C7,#REF!,Q$3)</f>
        <v>#REF!</v>
      </c>
      <c r="R7" s="26" t="e">
        <f>SUMIFS(#REF!,#REF!,$C7,#REF!,R$3)</f>
        <v>#REF!</v>
      </c>
      <c r="S7" s="26" t="e">
        <f>SUMIFS(#REF!,#REF!,$C7,#REF!,S$3)</f>
        <v>#REF!</v>
      </c>
      <c r="T7" s="26" t="e">
        <f>SUMIFS(#REF!,#REF!,$C7,#REF!,T$3)</f>
        <v>#REF!</v>
      </c>
      <c r="U7" s="26" t="e">
        <f>SUMIFS(#REF!,#REF!,$C7,#REF!,U$3)</f>
        <v>#REF!</v>
      </c>
      <c r="V7" s="26" t="e">
        <f>SUMIFS(#REF!,#REF!,$C7,#REF!,V$3)</f>
        <v>#REF!</v>
      </c>
      <c r="W7" s="26" t="e">
        <f>SUMIFS(#REF!,#REF!,$C7,#REF!,W$3)</f>
        <v>#REF!</v>
      </c>
      <c r="X7" s="26" t="e">
        <f>SUMIFS(#REF!,#REF!,$C7,#REF!,X$3)</f>
        <v>#REF!</v>
      </c>
      <c r="Y7" s="26" t="e">
        <f>SUMIFS(#REF!,#REF!,$C7,#REF!,Y$3)</f>
        <v>#REF!</v>
      </c>
      <c r="Z7" s="26" t="e">
        <f>SUMIFS(#REF!,#REF!,$C7,#REF!,Z$3)</f>
        <v>#REF!</v>
      </c>
      <c r="AA7" s="26" t="e">
        <f>SUMIFS(#REF!,#REF!,$C7,#REF!,AA$3)</f>
        <v>#REF!</v>
      </c>
      <c r="AB7" s="26" t="e">
        <f>SUMIFS(#REF!,#REF!,$C7,#REF!,AB$3)</f>
        <v>#REF!</v>
      </c>
      <c r="AC7" s="26" t="e">
        <f>SUMIFS(#REF!,#REF!,$C7,#REF!,AC$3)</f>
        <v>#REF!</v>
      </c>
      <c r="AD7" s="26" t="e">
        <f>SUMIFS(#REF!,#REF!,$C7,#REF!,AD$3)</f>
        <v>#REF!</v>
      </c>
      <c r="AE7" s="26" t="e">
        <f>SUMIFS(#REF!,#REF!,$C7,#REF!,AE$3)</f>
        <v>#REF!</v>
      </c>
      <c r="AF7" s="26" t="e">
        <f>SUMIFS(#REF!,#REF!,$C7,#REF!,AF$3)</f>
        <v>#REF!</v>
      </c>
      <c r="AG7" s="26" t="e">
        <f>SUMIFS(#REF!,#REF!,$C7,#REF!,AG$3)</f>
        <v>#REF!</v>
      </c>
      <c r="AH7" s="26" t="e">
        <f>SUMIFS(#REF!,#REF!,$C7,#REF!,AH$3)</f>
        <v>#REF!</v>
      </c>
      <c r="AI7" s="26" t="e">
        <f>SUMIFS(#REF!,#REF!,$C7,#REF!,AI$3)</f>
        <v>#REF!</v>
      </c>
    </row>
    <row r="8" spans="2:35" s="16" customFormat="1" ht="20.100000000000001" customHeight="1" x14ac:dyDescent="0.25">
      <c r="B8" s="24">
        <v>4</v>
      </c>
      <c r="C8" s="32">
        <v>4</v>
      </c>
      <c r="D8" s="25" t="e">
        <f t="shared" si="1"/>
        <v>#REF!</v>
      </c>
      <c r="E8" s="26" t="e">
        <f>SUMIFS(#REF!,#REF!,$C8,#REF!,E$3)</f>
        <v>#REF!</v>
      </c>
      <c r="F8" s="26" t="e">
        <f>SUMIFS(#REF!,#REF!,$C8,#REF!,F$3)</f>
        <v>#REF!</v>
      </c>
      <c r="G8" s="26" t="e">
        <f>SUMIFS(#REF!,#REF!,$C8,#REF!,G$3)</f>
        <v>#REF!</v>
      </c>
      <c r="H8" s="26" t="e">
        <f>SUMIFS(#REF!,#REF!,$C8,#REF!,H$3)</f>
        <v>#REF!</v>
      </c>
      <c r="I8" s="26" t="e">
        <f>SUMIFS(#REF!,#REF!,$C8,#REF!,I$3)</f>
        <v>#REF!</v>
      </c>
      <c r="J8" s="26" t="e">
        <f>SUMIFS(#REF!,#REF!,$C8,#REF!,J$3)</f>
        <v>#REF!</v>
      </c>
      <c r="K8" s="26" t="e">
        <f>SUMIFS(#REF!,#REF!,$C8,#REF!,K$3)</f>
        <v>#REF!</v>
      </c>
      <c r="L8" s="26" t="e">
        <f>SUMIFS(#REF!,#REF!,$C8,#REF!,L$3)</f>
        <v>#REF!</v>
      </c>
      <c r="M8" s="26" t="e">
        <f>SUMIFS(#REF!,#REF!,$C8,#REF!,M$3)</f>
        <v>#REF!</v>
      </c>
      <c r="N8" s="26" t="e">
        <f>SUMIFS(#REF!,#REF!,$C8,#REF!,N$3)</f>
        <v>#REF!</v>
      </c>
      <c r="O8" s="26" t="e">
        <f>SUMIFS(#REF!,#REF!,$C8,#REF!,O$3)</f>
        <v>#REF!</v>
      </c>
      <c r="P8" s="26" t="e">
        <f>SUMIFS(#REF!,#REF!,$C8,#REF!,P$3)</f>
        <v>#REF!</v>
      </c>
      <c r="Q8" s="26" t="e">
        <f>SUMIFS(#REF!,#REF!,$C8,#REF!,Q$3)</f>
        <v>#REF!</v>
      </c>
      <c r="R8" s="26" t="e">
        <f>SUMIFS(#REF!,#REF!,$C8,#REF!,R$3)</f>
        <v>#REF!</v>
      </c>
      <c r="S8" s="26" t="e">
        <f>SUMIFS(#REF!,#REF!,$C8,#REF!,S$3)</f>
        <v>#REF!</v>
      </c>
      <c r="T8" s="26" t="e">
        <f>SUMIFS(#REF!,#REF!,$C8,#REF!,T$3)</f>
        <v>#REF!</v>
      </c>
      <c r="U8" s="26" t="e">
        <f>SUMIFS(#REF!,#REF!,$C8,#REF!,U$3)</f>
        <v>#REF!</v>
      </c>
      <c r="V8" s="26" t="e">
        <f>SUMIFS(#REF!,#REF!,$C8,#REF!,V$3)</f>
        <v>#REF!</v>
      </c>
      <c r="W8" s="26" t="e">
        <f>SUMIFS(#REF!,#REF!,$C8,#REF!,W$3)</f>
        <v>#REF!</v>
      </c>
      <c r="X8" s="26" t="e">
        <f>SUMIFS(#REF!,#REF!,$C8,#REF!,X$3)</f>
        <v>#REF!</v>
      </c>
      <c r="Y8" s="26" t="e">
        <f>SUMIFS(#REF!,#REF!,$C8,#REF!,Y$3)</f>
        <v>#REF!</v>
      </c>
      <c r="Z8" s="26" t="e">
        <f>SUMIFS(#REF!,#REF!,$C8,#REF!,Z$3)</f>
        <v>#REF!</v>
      </c>
      <c r="AA8" s="26" t="e">
        <f>SUMIFS(#REF!,#REF!,$C8,#REF!,AA$3)</f>
        <v>#REF!</v>
      </c>
      <c r="AB8" s="26" t="e">
        <f>SUMIFS(#REF!,#REF!,$C8,#REF!,AB$3)</f>
        <v>#REF!</v>
      </c>
      <c r="AC8" s="26" t="e">
        <f>SUMIFS(#REF!,#REF!,$C8,#REF!,AC$3)</f>
        <v>#REF!</v>
      </c>
      <c r="AD8" s="26" t="e">
        <f>SUMIFS(#REF!,#REF!,$C8,#REF!,AD$3)</f>
        <v>#REF!</v>
      </c>
      <c r="AE8" s="26" t="e">
        <f>SUMIFS(#REF!,#REF!,$C8,#REF!,AE$3)</f>
        <v>#REF!</v>
      </c>
      <c r="AF8" s="26" t="e">
        <f>SUMIFS(#REF!,#REF!,$C8,#REF!,AF$3)</f>
        <v>#REF!</v>
      </c>
      <c r="AG8" s="26" t="e">
        <f>SUMIFS(#REF!,#REF!,$C8,#REF!,AG$3)</f>
        <v>#REF!</v>
      </c>
      <c r="AH8" s="26" t="e">
        <f>SUMIFS(#REF!,#REF!,$C8,#REF!,AH$3)</f>
        <v>#REF!</v>
      </c>
      <c r="AI8" s="26" t="e">
        <f>SUMIFS(#REF!,#REF!,$C8,#REF!,AI$3)</f>
        <v>#REF!</v>
      </c>
    </row>
    <row r="9" spans="2:35" s="16" customFormat="1" ht="20.100000000000001" customHeight="1" x14ac:dyDescent="0.25">
      <c r="B9" s="24">
        <v>5</v>
      </c>
      <c r="C9" s="32">
        <v>5</v>
      </c>
      <c r="D9" s="25" t="e">
        <f t="shared" si="1"/>
        <v>#REF!</v>
      </c>
      <c r="E9" s="26" t="e">
        <f>SUMIFS(#REF!,#REF!,$C9,#REF!,E$3)</f>
        <v>#REF!</v>
      </c>
      <c r="F9" s="26" t="e">
        <f>SUMIFS(#REF!,#REF!,$C9,#REF!,F$3)</f>
        <v>#REF!</v>
      </c>
      <c r="G9" s="26" t="e">
        <f>SUMIFS(#REF!,#REF!,$C9,#REF!,G$3)</f>
        <v>#REF!</v>
      </c>
      <c r="H9" s="26" t="e">
        <f>SUMIFS(#REF!,#REF!,$C9,#REF!,H$3)</f>
        <v>#REF!</v>
      </c>
      <c r="I9" s="26" t="e">
        <f>SUMIFS(#REF!,#REF!,$C9,#REF!,I$3)</f>
        <v>#REF!</v>
      </c>
      <c r="J9" s="26" t="e">
        <f>SUMIFS(#REF!,#REF!,$C9,#REF!,J$3)</f>
        <v>#REF!</v>
      </c>
      <c r="K9" s="26" t="e">
        <f>SUMIFS(#REF!,#REF!,$C9,#REF!,K$3)</f>
        <v>#REF!</v>
      </c>
      <c r="L9" s="26" t="e">
        <f>SUMIFS(#REF!,#REF!,$C9,#REF!,L$3)</f>
        <v>#REF!</v>
      </c>
      <c r="M9" s="26" t="e">
        <f>SUMIFS(#REF!,#REF!,$C9,#REF!,M$3)</f>
        <v>#REF!</v>
      </c>
      <c r="N9" s="26" t="e">
        <f>SUMIFS(#REF!,#REF!,$C9,#REF!,N$3)</f>
        <v>#REF!</v>
      </c>
      <c r="O9" s="26" t="e">
        <f>SUMIFS(#REF!,#REF!,$C9,#REF!,O$3)</f>
        <v>#REF!</v>
      </c>
      <c r="P9" s="26" t="e">
        <f>SUMIFS(#REF!,#REF!,$C9,#REF!,P$3)</f>
        <v>#REF!</v>
      </c>
      <c r="Q9" s="26" t="e">
        <f>SUMIFS(#REF!,#REF!,$C9,#REF!,Q$3)</f>
        <v>#REF!</v>
      </c>
      <c r="R9" s="26" t="e">
        <f>SUMIFS(#REF!,#REF!,$C9,#REF!,R$3)</f>
        <v>#REF!</v>
      </c>
      <c r="S9" s="26" t="e">
        <f>SUMIFS(#REF!,#REF!,$C9,#REF!,S$3)</f>
        <v>#REF!</v>
      </c>
      <c r="T9" s="26" t="e">
        <f>SUMIFS(#REF!,#REF!,$C9,#REF!,T$3)</f>
        <v>#REF!</v>
      </c>
      <c r="U9" s="26" t="e">
        <f>SUMIFS(#REF!,#REF!,$C9,#REF!,U$3)</f>
        <v>#REF!</v>
      </c>
      <c r="V9" s="26" t="e">
        <f>SUMIFS(#REF!,#REF!,$C9,#REF!,V$3)</f>
        <v>#REF!</v>
      </c>
      <c r="W9" s="26" t="e">
        <f>SUMIFS(#REF!,#REF!,$C9,#REF!,W$3)</f>
        <v>#REF!</v>
      </c>
      <c r="X9" s="26" t="e">
        <f>SUMIFS(#REF!,#REF!,$C9,#REF!,X$3)</f>
        <v>#REF!</v>
      </c>
      <c r="Y9" s="26" t="e">
        <f>SUMIFS(#REF!,#REF!,$C9,#REF!,Y$3)</f>
        <v>#REF!</v>
      </c>
      <c r="Z9" s="26" t="e">
        <f>SUMIFS(#REF!,#REF!,$C9,#REF!,Z$3)</f>
        <v>#REF!</v>
      </c>
      <c r="AA9" s="26" t="e">
        <f>SUMIFS(#REF!,#REF!,$C9,#REF!,AA$3)</f>
        <v>#REF!</v>
      </c>
      <c r="AB9" s="26" t="e">
        <f>SUMIFS(#REF!,#REF!,$C9,#REF!,AB$3)</f>
        <v>#REF!</v>
      </c>
      <c r="AC9" s="26" t="e">
        <f>SUMIFS(#REF!,#REF!,$C9,#REF!,AC$3)</f>
        <v>#REF!</v>
      </c>
      <c r="AD9" s="26" t="e">
        <f>SUMIFS(#REF!,#REF!,$C9,#REF!,AD$3)</f>
        <v>#REF!</v>
      </c>
      <c r="AE9" s="26" t="e">
        <f>SUMIFS(#REF!,#REF!,$C9,#REF!,AE$3)</f>
        <v>#REF!</v>
      </c>
      <c r="AF9" s="26" t="e">
        <f>SUMIFS(#REF!,#REF!,$C9,#REF!,AF$3)</f>
        <v>#REF!</v>
      </c>
      <c r="AG9" s="26" t="e">
        <f>SUMIFS(#REF!,#REF!,$C9,#REF!,AG$3)</f>
        <v>#REF!</v>
      </c>
      <c r="AH9" s="26" t="e">
        <f>SUMIFS(#REF!,#REF!,$C9,#REF!,AH$3)</f>
        <v>#REF!</v>
      </c>
      <c r="AI9" s="26" t="e">
        <f>SUMIFS(#REF!,#REF!,$C9,#REF!,AI$3)</f>
        <v>#REF!</v>
      </c>
    </row>
    <row r="10" spans="2:35" s="16" customFormat="1" ht="20.100000000000001" customHeight="1" x14ac:dyDescent="0.25">
      <c r="B10" s="24">
        <v>6</v>
      </c>
      <c r="C10" s="32">
        <v>6</v>
      </c>
      <c r="D10" s="25" t="e">
        <f t="shared" si="1"/>
        <v>#REF!</v>
      </c>
      <c r="E10" s="26" t="e">
        <f>SUMIFS(#REF!,#REF!,$C10,#REF!,E$3)</f>
        <v>#REF!</v>
      </c>
      <c r="F10" s="26" t="e">
        <f>SUMIFS(#REF!,#REF!,$C10,#REF!,F$3)</f>
        <v>#REF!</v>
      </c>
      <c r="G10" s="26" t="e">
        <f>SUMIFS(#REF!,#REF!,$C10,#REF!,G$3)</f>
        <v>#REF!</v>
      </c>
      <c r="H10" s="26" t="e">
        <f>SUMIFS(#REF!,#REF!,$C10,#REF!,H$3)</f>
        <v>#REF!</v>
      </c>
      <c r="I10" s="26" t="e">
        <f>SUMIFS(#REF!,#REF!,$C10,#REF!,I$3)</f>
        <v>#REF!</v>
      </c>
      <c r="J10" s="26" t="e">
        <f>SUMIFS(#REF!,#REF!,$C10,#REF!,J$3)</f>
        <v>#REF!</v>
      </c>
      <c r="K10" s="26" t="e">
        <f>SUMIFS(#REF!,#REF!,$C10,#REF!,K$3)</f>
        <v>#REF!</v>
      </c>
      <c r="L10" s="26" t="e">
        <f>SUMIFS(#REF!,#REF!,$C10,#REF!,L$3)</f>
        <v>#REF!</v>
      </c>
      <c r="M10" s="26" t="e">
        <f>SUMIFS(#REF!,#REF!,$C10,#REF!,M$3)</f>
        <v>#REF!</v>
      </c>
      <c r="N10" s="26" t="e">
        <f>SUMIFS(#REF!,#REF!,$C10,#REF!,N$3)</f>
        <v>#REF!</v>
      </c>
      <c r="O10" s="26" t="e">
        <f>SUMIFS(#REF!,#REF!,$C10,#REF!,O$3)</f>
        <v>#REF!</v>
      </c>
      <c r="P10" s="26" t="e">
        <f>SUMIFS(#REF!,#REF!,$C10,#REF!,P$3)</f>
        <v>#REF!</v>
      </c>
      <c r="Q10" s="26" t="e">
        <f>SUMIFS(#REF!,#REF!,$C10,#REF!,Q$3)</f>
        <v>#REF!</v>
      </c>
      <c r="R10" s="26" t="e">
        <f>SUMIFS(#REF!,#REF!,$C10,#REF!,R$3)</f>
        <v>#REF!</v>
      </c>
      <c r="S10" s="26" t="e">
        <f>SUMIFS(#REF!,#REF!,$C10,#REF!,S$3)</f>
        <v>#REF!</v>
      </c>
      <c r="T10" s="26" t="e">
        <f>SUMIFS(#REF!,#REF!,$C10,#REF!,T$3)</f>
        <v>#REF!</v>
      </c>
      <c r="U10" s="26" t="e">
        <f>SUMIFS(#REF!,#REF!,$C10,#REF!,U$3)</f>
        <v>#REF!</v>
      </c>
      <c r="V10" s="26" t="e">
        <f>SUMIFS(#REF!,#REF!,$C10,#REF!,V$3)</f>
        <v>#REF!</v>
      </c>
      <c r="W10" s="26" t="e">
        <f>SUMIFS(#REF!,#REF!,$C10,#REF!,W$3)</f>
        <v>#REF!</v>
      </c>
      <c r="X10" s="26" t="e">
        <f>SUMIFS(#REF!,#REF!,$C10,#REF!,X$3)</f>
        <v>#REF!</v>
      </c>
      <c r="Y10" s="26" t="e">
        <f>SUMIFS(#REF!,#REF!,$C10,#REF!,Y$3)</f>
        <v>#REF!</v>
      </c>
      <c r="Z10" s="26" t="e">
        <f>SUMIFS(#REF!,#REF!,$C10,#REF!,Z$3)</f>
        <v>#REF!</v>
      </c>
      <c r="AA10" s="26" t="e">
        <f>SUMIFS(#REF!,#REF!,$C10,#REF!,AA$3)</f>
        <v>#REF!</v>
      </c>
      <c r="AB10" s="26" t="e">
        <f>SUMIFS(#REF!,#REF!,$C10,#REF!,AB$3)</f>
        <v>#REF!</v>
      </c>
      <c r="AC10" s="26" t="e">
        <f>SUMIFS(#REF!,#REF!,$C10,#REF!,AC$3)</f>
        <v>#REF!</v>
      </c>
      <c r="AD10" s="26" t="e">
        <f>SUMIFS(#REF!,#REF!,$C10,#REF!,AD$3)</f>
        <v>#REF!</v>
      </c>
      <c r="AE10" s="26" t="e">
        <f>SUMIFS(#REF!,#REF!,$C10,#REF!,AE$3)</f>
        <v>#REF!</v>
      </c>
      <c r="AF10" s="26" t="e">
        <f>SUMIFS(#REF!,#REF!,$C10,#REF!,AF$3)</f>
        <v>#REF!</v>
      </c>
      <c r="AG10" s="26" t="e">
        <f>SUMIFS(#REF!,#REF!,$C10,#REF!,AG$3)</f>
        <v>#REF!</v>
      </c>
      <c r="AH10" s="26" t="e">
        <f>SUMIFS(#REF!,#REF!,$C10,#REF!,AH$3)</f>
        <v>#REF!</v>
      </c>
      <c r="AI10" s="26" t="e">
        <f>SUMIFS(#REF!,#REF!,$C10,#REF!,AI$3)</f>
        <v>#REF!</v>
      </c>
    </row>
    <row r="11" spans="2:35" s="16" customFormat="1" ht="20.100000000000001" customHeight="1" x14ac:dyDescent="0.25">
      <c r="B11" s="24">
        <v>7</v>
      </c>
      <c r="C11" s="33"/>
      <c r="D11" s="25" t="e">
        <f t="shared" si="1"/>
        <v>#REF!</v>
      </c>
      <c r="E11" s="26" t="e">
        <f>SUMIFS(#REF!,#REF!,$C11,#REF!,E$3)</f>
        <v>#REF!</v>
      </c>
      <c r="F11" s="26" t="e">
        <f>SUMIFS(#REF!,#REF!,$C11,#REF!,F$3)</f>
        <v>#REF!</v>
      </c>
      <c r="G11" s="26" t="e">
        <f>SUMIFS(#REF!,#REF!,$C11,#REF!,G$3)</f>
        <v>#REF!</v>
      </c>
      <c r="H11" s="26" t="e">
        <f>SUMIFS(#REF!,#REF!,$C11,#REF!,H$3)</f>
        <v>#REF!</v>
      </c>
      <c r="I11" s="26" t="e">
        <f>SUMIFS(#REF!,#REF!,$C11,#REF!,I$3)</f>
        <v>#REF!</v>
      </c>
      <c r="J11" s="26" t="e">
        <f>SUMIFS(#REF!,#REF!,$C11,#REF!,J$3)</f>
        <v>#REF!</v>
      </c>
      <c r="K11" s="26" t="e">
        <f>SUMIFS(#REF!,#REF!,$C11,#REF!,K$3)</f>
        <v>#REF!</v>
      </c>
      <c r="L11" s="26" t="e">
        <f>SUMIFS(#REF!,#REF!,$C11,#REF!,L$3)</f>
        <v>#REF!</v>
      </c>
      <c r="M11" s="26" t="e">
        <f>SUMIFS(#REF!,#REF!,$C11,#REF!,M$3)</f>
        <v>#REF!</v>
      </c>
      <c r="N11" s="26" t="e">
        <f>SUMIFS(#REF!,#REF!,$C11,#REF!,N$3)</f>
        <v>#REF!</v>
      </c>
      <c r="O11" s="26" t="e">
        <f>SUMIFS(#REF!,#REF!,$C11,#REF!,O$3)</f>
        <v>#REF!</v>
      </c>
      <c r="P11" s="26" t="e">
        <f>SUMIFS(#REF!,#REF!,$C11,#REF!,P$3)</f>
        <v>#REF!</v>
      </c>
      <c r="Q11" s="26" t="e">
        <f>SUMIFS(#REF!,#REF!,$C11,#REF!,Q$3)</f>
        <v>#REF!</v>
      </c>
      <c r="R11" s="26" t="e">
        <f>SUMIFS(#REF!,#REF!,$C11,#REF!,R$3)</f>
        <v>#REF!</v>
      </c>
      <c r="S11" s="26" t="e">
        <f>SUMIFS(#REF!,#REF!,$C11,#REF!,S$3)</f>
        <v>#REF!</v>
      </c>
      <c r="T11" s="26" t="e">
        <f>SUMIFS(#REF!,#REF!,$C11,#REF!,T$3)</f>
        <v>#REF!</v>
      </c>
      <c r="U11" s="26" t="e">
        <f>SUMIFS(#REF!,#REF!,$C11,#REF!,U$3)</f>
        <v>#REF!</v>
      </c>
      <c r="V11" s="26" t="e">
        <f>SUMIFS(#REF!,#REF!,$C11,#REF!,V$3)</f>
        <v>#REF!</v>
      </c>
      <c r="W11" s="26" t="e">
        <f>SUMIFS(#REF!,#REF!,$C11,#REF!,W$3)</f>
        <v>#REF!</v>
      </c>
      <c r="X11" s="26" t="e">
        <f>SUMIFS(#REF!,#REF!,$C11,#REF!,X$3)</f>
        <v>#REF!</v>
      </c>
      <c r="Y11" s="26" t="e">
        <f>SUMIFS(#REF!,#REF!,$C11,#REF!,Y$3)</f>
        <v>#REF!</v>
      </c>
      <c r="Z11" s="26" t="e">
        <f>SUMIFS(#REF!,#REF!,$C11,#REF!,Z$3)</f>
        <v>#REF!</v>
      </c>
      <c r="AA11" s="26" t="e">
        <f>SUMIFS(#REF!,#REF!,$C11,#REF!,AA$3)</f>
        <v>#REF!</v>
      </c>
      <c r="AB11" s="26" t="e">
        <f>SUMIFS(#REF!,#REF!,$C11,#REF!,AB$3)</f>
        <v>#REF!</v>
      </c>
      <c r="AC11" s="26" t="e">
        <f>SUMIFS(#REF!,#REF!,$C11,#REF!,AC$3)</f>
        <v>#REF!</v>
      </c>
      <c r="AD11" s="26" t="e">
        <f>SUMIFS(#REF!,#REF!,$C11,#REF!,AD$3)</f>
        <v>#REF!</v>
      </c>
      <c r="AE11" s="26" t="e">
        <f>SUMIFS(#REF!,#REF!,$C11,#REF!,AE$3)</f>
        <v>#REF!</v>
      </c>
      <c r="AF11" s="26" t="e">
        <f>SUMIFS(#REF!,#REF!,$C11,#REF!,AF$3)</f>
        <v>#REF!</v>
      </c>
      <c r="AG11" s="26" t="e">
        <f>SUMIFS(#REF!,#REF!,$C11,#REF!,AG$3)</f>
        <v>#REF!</v>
      </c>
      <c r="AH11" s="26" t="e">
        <f>SUMIFS(#REF!,#REF!,$C11,#REF!,AH$3)</f>
        <v>#REF!</v>
      </c>
      <c r="AI11" s="26" t="e">
        <f>SUMIFS(#REF!,#REF!,$C11,#REF!,AI$3)</f>
        <v>#REF!</v>
      </c>
    </row>
    <row r="12" spans="2:35" s="16" customFormat="1" ht="20.100000000000001" customHeight="1" x14ac:dyDescent="0.25">
      <c r="B12" s="24">
        <v>8</v>
      </c>
      <c r="C12" s="33"/>
      <c r="D12" s="25" t="e">
        <f t="shared" si="1"/>
        <v>#REF!</v>
      </c>
      <c r="E12" s="26" t="e">
        <f>SUMIFS(#REF!,#REF!,$C12,#REF!,E$3)</f>
        <v>#REF!</v>
      </c>
      <c r="F12" s="26" t="e">
        <f>SUMIFS(#REF!,#REF!,$C12,#REF!,F$3)</f>
        <v>#REF!</v>
      </c>
      <c r="G12" s="26" t="e">
        <f>SUMIFS(#REF!,#REF!,$C12,#REF!,G$3)</f>
        <v>#REF!</v>
      </c>
      <c r="H12" s="26" t="e">
        <f>SUMIFS(#REF!,#REF!,$C12,#REF!,H$3)</f>
        <v>#REF!</v>
      </c>
      <c r="I12" s="26" t="e">
        <f>SUMIFS(#REF!,#REF!,$C12,#REF!,I$3)</f>
        <v>#REF!</v>
      </c>
      <c r="J12" s="26" t="e">
        <f>SUMIFS(#REF!,#REF!,$C12,#REF!,J$3)</f>
        <v>#REF!</v>
      </c>
      <c r="K12" s="26" t="e">
        <f>SUMIFS(#REF!,#REF!,$C12,#REF!,K$3)</f>
        <v>#REF!</v>
      </c>
      <c r="L12" s="26" t="e">
        <f>SUMIFS(#REF!,#REF!,$C12,#REF!,L$3)</f>
        <v>#REF!</v>
      </c>
      <c r="M12" s="26" t="e">
        <f>SUMIFS(#REF!,#REF!,$C12,#REF!,M$3)</f>
        <v>#REF!</v>
      </c>
      <c r="N12" s="26" t="e">
        <f>SUMIFS(#REF!,#REF!,$C12,#REF!,N$3)</f>
        <v>#REF!</v>
      </c>
      <c r="O12" s="26" t="e">
        <f>SUMIFS(#REF!,#REF!,$C12,#REF!,O$3)</f>
        <v>#REF!</v>
      </c>
      <c r="P12" s="26" t="e">
        <f>SUMIFS(#REF!,#REF!,$C12,#REF!,P$3)</f>
        <v>#REF!</v>
      </c>
      <c r="Q12" s="26" t="e">
        <f>SUMIFS(#REF!,#REF!,$C12,#REF!,Q$3)</f>
        <v>#REF!</v>
      </c>
      <c r="R12" s="26" t="e">
        <f>SUMIFS(#REF!,#REF!,$C12,#REF!,R$3)</f>
        <v>#REF!</v>
      </c>
      <c r="S12" s="26" t="e">
        <f>SUMIFS(#REF!,#REF!,$C12,#REF!,S$3)</f>
        <v>#REF!</v>
      </c>
      <c r="T12" s="26" t="e">
        <f>SUMIFS(#REF!,#REF!,$C12,#REF!,T$3)</f>
        <v>#REF!</v>
      </c>
      <c r="U12" s="26" t="e">
        <f>SUMIFS(#REF!,#REF!,$C12,#REF!,U$3)</f>
        <v>#REF!</v>
      </c>
      <c r="V12" s="26" t="e">
        <f>SUMIFS(#REF!,#REF!,$C12,#REF!,V$3)</f>
        <v>#REF!</v>
      </c>
      <c r="W12" s="26" t="e">
        <f>SUMIFS(#REF!,#REF!,$C12,#REF!,W$3)</f>
        <v>#REF!</v>
      </c>
      <c r="X12" s="26" t="e">
        <f>SUMIFS(#REF!,#REF!,$C12,#REF!,X$3)</f>
        <v>#REF!</v>
      </c>
      <c r="Y12" s="26" t="e">
        <f>SUMIFS(#REF!,#REF!,$C12,#REF!,Y$3)</f>
        <v>#REF!</v>
      </c>
      <c r="Z12" s="26" t="e">
        <f>SUMIFS(#REF!,#REF!,$C12,#REF!,Z$3)</f>
        <v>#REF!</v>
      </c>
      <c r="AA12" s="26" t="e">
        <f>SUMIFS(#REF!,#REF!,$C12,#REF!,AA$3)</f>
        <v>#REF!</v>
      </c>
      <c r="AB12" s="26" t="e">
        <f>SUMIFS(#REF!,#REF!,$C12,#REF!,AB$3)</f>
        <v>#REF!</v>
      </c>
      <c r="AC12" s="26" t="e">
        <f>SUMIFS(#REF!,#REF!,$C12,#REF!,AC$3)</f>
        <v>#REF!</v>
      </c>
      <c r="AD12" s="26" t="e">
        <f>SUMIFS(#REF!,#REF!,$C12,#REF!,AD$3)</f>
        <v>#REF!</v>
      </c>
      <c r="AE12" s="26" t="e">
        <f>SUMIFS(#REF!,#REF!,$C12,#REF!,AE$3)</f>
        <v>#REF!</v>
      </c>
      <c r="AF12" s="26" t="e">
        <f>SUMIFS(#REF!,#REF!,$C12,#REF!,AF$3)</f>
        <v>#REF!</v>
      </c>
      <c r="AG12" s="26" t="e">
        <f>SUMIFS(#REF!,#REF!,$C12,#REF!,AG$3)</f>
        <v>#REF!</v>
      </c>
      <c r="AH12" s="26" t="e">
        <f>SUMIFS(#REF!,#REF!,$C12,#REF!,AH$3)</f>
        <v>#REF!</v>
      </c>
      <c r="AI12" s="26" t="e">
        <f>SUMIFS(#REF!,#REF!,$C12,#REF!,AI$3)</f>
        <v>#REF!</v>
      </c>
    </row>
    <row r="13" spans="2:35" s="16" customFormat="1" ht="20.100000000000001" customHeight="1" x14ac:dyDescent="0.25">
      <c r="B13" s="24">
        <v>9</v>
      </c>
      <c r="C13" s="33"/>
      <c r="D13" s="25" t="e">
        <f t="shared" si="1"/>
        <v>#REF!</v>
      </c>
      <c r="E13" s="26" t="e">
        <f>SUMIFS(#REF!,#REF!,$C13,#REF!,E$3)</f>
        <v>#REF!</v>
      </c>
      <c r="F13" s="26" t="e">
        <f>SUMIFS(#REF!,#REF!,$C13,#REF!,F$3)</f>
        <v>#REF!</v>
      </c>
      <c r="G13" s="26" t="e">
        <f>SUMIFS(#REF!,#REF!,$C13,#REF!,G$3)</f>
        <v>#REF!</v>
      </c>
      <c r="H13" s="26" t="e">
        <f>SUMIFS(#REF!,#REF!,$C13,#REF!,H$3)</f>
        <v>#REF!</v>
      </c>
      <c r="I13" s="26" t="e">
        <f>SUMIFS(#REF!,#REF!,$C13,#REF!,I$3)</f>
        <v>#REF!</v>
      </c>
      <c r="J13" s="26" t="e">
        <f>SUMIFS(#REF!,#REF!,$C13,#REF!,J$3)</f>
        <v>#REF!</v>
      </c>
      <c r="K13" s="26" t="e">
        <f>SUMIFS(#REF!,#REF!,$C13,#REF!,K$3)</f>
        <v>#REF!</v>
      </c>
      <c r="L13" s="26" t="e">
        <f>SUMIFS(#REF!,#REF!,$C13,#REF!,L$3)</f>
        <v>#REF!</v>
      </c>
      <c r="M13" s="26" t="e">
        <f>SUMIFS(#REF!,#REF!,$C13,#REF!,M$3)</f>
        <v>#REF!</v>
      </c>
      <c r="N13" s="26" t="e">
        <f>SUMIFS(#REF!,#REF!,$C13,#REF!,N$3)</f>
        <v>#REF!</v>
      </c>
      <c r="O13" s="26" t="e">
        <f>SUMIFS(#REF!,#REF!,$C13,#REF!,O$3)</f>
        <v>#REF!</v>
      </c>
      <c r="P13" s="26" t="e">
        <f>SUMIFS(#REF!,#REF!,$C13,#REF!,P$3)</f>
        <v>#REF!</v>
      </c>
      <c r="Q13" s="26" t="e">
        <f>SUMIFS(#REF!,#REF!,$C13,#REF!,Q$3)</f>
        <v>#REF!</v>
      </c>
      <c r="R13" s="26" t="e">
        <f>SUMIFS(#REF!,#REF!,$C13,#REF!,R$3)</f>
        <v>#REF!</v>
      </c>
      <c r="S13" s="26" t="e">
        <f>SUMIFS(#REF!,#REF!,$C13,#REF!,S$3)</f>
        <v>#REF!</v>
      </c>
      <c r="T13" s="26" t="e">
        <f>SUMIFS(#REF!,#REF!,$C13,#REF!,T$3)</f>
        <v>#REF!</v>
      </c>
      <c r="U13" s="26" t="e">
        <f>SUMIFS(#REF!,#REF!,$C13,#REF!,U$3)</f>
        <v>#REF!</v>
      </c>
      <c r="V13" s="26" t="e">
        <f>SUMIFS(#REF!,#REF!,$C13,#REF!,V$3)</f>
        <v>#REF!</v>
      </c>
      <c r="W13" s="26" t="e">
        <f>SUMIFS(#REF!,#REF!,$C13,#REF!,W$3)</f>
        <v>#REF!</v>
      </c>
      <c r="X13" s="26" t="e">
        <f>SUMIFS(#REF!,#REF!,$C13,#REF!,X$3)</f>
        <v>#REF!</v>
      </c>
      <c r="Y13" s="26" t="e">
        <f>SUMIFS(#REF!,#REF!,$C13,#REF!,Y$3)</f>
        <v>#REF!</v>
      </c>
      <c r="Z13" s="26" t="e">
        <f>SUMIFS(#REF!,#REF!,$C13,#REF!,Z$3)</f>
        <v>#REF!</v>
      </c>
      <c r="AA13" s="26" t="e">
        <f>SUMIFS(#REF!,#REF!,$C13,#REF!,AA$3)</f>
        <v>#REF!</v>
      </c>
      <c r="AB13" s="26" t="e">
        <f>SUMIFS(#REF!,#REF!,$C13,#REF!,AB$3)</f>
        <v>#REF!</v>
      </c>
      <c r="AC13" s="26" t="e">
        <f>SUMIFS(#REF!,#REF!,$C13,#REF!,AC$3)</f>
        <v>#REF!</v>
      </c>
      <c r="AD13" s="26" t="e">
        <f>SUMIFS(#REF!,#REF!,$C13,#REF!,AD$3)</f>
        <v>#REF!</v>
      </c>
      <c r="AE13" s="26" t="e">
        <f>SUMIFS(#REF!,#REF!,$C13,#REF!,AE$3)</f>
        <v>#REF!</v>
      </c>
      <c r="AF13" s="26" t="e">
        <f>SUMIFS(#REF!,#REF!,$C13,#REF!,AF$3)</f>
        <v>#REF!</v>
      </c>
      <c r="AG13" s="26" t="e">
        <f>SUMIFS(#REF!,#REF!,$C13,#REF!,AG$3)</f>
        <v>#REF!</v>
      </c>
      <c r="AH13" s="26" t="e">
        <f>SUMIFS(#REF!,#REF!,$C13,#REF!,AH$3)</f>
        <v>#REF!</v>
      </c>
      <c r="AI13" s="26" t="e">
        <f>SUMIFS(#REF!,#REF!,$C13,#REF!,AI$3)</f>
        <v>#REF!</v>
      </c>
    </row>
    <row r="14" spans="2:35" s="16" customFormat="1" ht="20.100000000000001" customHeight="1" x14ac:dyDescent="0.25">
      <c r="B14" s="24">
        <v>10</v>
      </c>
      <c r="C14" s="33"/>
      <c r="D14" s="25" t="e">
        <f t="shared" si="1"/>
        <v>#REF!</v>
      </c>
      <c r="E14" s="26" t="e">
        <f>SUMIFS(#REF!,#REF!,$C14,#REF!,E$3)</f>
        <v>#REF!</v>
      </c>
      <c r="F14" s="26" t="e">
        <f>SUMIFS(#REF!,#REF!,$C14,#REF!,F$3)</f>
        <v>#REF!</v>
      </c>
      <c r="G14" s="26" t="e">
        <f>SUMIFS(#REF!,#REF!,$C14,#REF!,G$3)</f>
        <v>#REF!</v>
      </c>
      <c r="H14" s="26" t="e">
        <f>SUMIFS(#REF!,#REF!,$C14,#REF!,H$3)</f>
        <v>#REF!</v>
      </c>
      <c r="I14" s="26" t="e">
        <f>SUMIFS(#REF!,#REF!,$C14,#REF!,I$3)</f>
        <v>#REF!</v>
      </c>
      <c r="J14" s="26" t="e">
        <f>SUMIFS(#REF!,#REF!,$C14,#REF!,J$3)</f>
        <v>#REF!</v>
      </c>
      <c r="K14" s="26" t="e">
        <f>SUMIFS(#REF!,#REF!,$C14,#REF!,K$3)</f>
        <v>#REF!</v>
      </c>
      <c r="L14" s="26" t="e">
        <f>SUMIFS(#REF!,#REF!,$C14,#REF!,L$3)</f>
        <v>#REF!</v>
      </c>
      <c r="M14" s="26" t="e">
        <f>SUMIFS(#REF!,#REF!,$C14,#REF!,M$3)</f>
        <v>#REF!</v>
      </c>
      <c r="N14" s="26" t="e">
        <f>SUMIFS(#REF!,#REF!,$C14,#REF!,N$3)</f>
        <v>#REF!</v>
      </c>
      <c r="O14" s="26" t="e">
        <f>SUMIFS(#REF!,#REF!,$C14,#REF!,O$3)</f>
        <v>#REF!</v>
      </c>
      <c r="P14" s="26" t="e">
        <f>SUMIFS(#REF!,#REF!,$C14,#REF!,P$3)</f>
        <v>#REF!</v>
      </c>
      <c r="Q14" s="26" t="e">
        <f>SUMIFS(#REF!,#REF!,$C14,#REF!,Q$3)</f>
        <v>#REF!</v>
      </c>
      <c r="R14" s="26" t="e">
        <f>SUMIFS(#REF!,#REF!,$C14,#REF!,R$3)</f>
        <v>#REF!</v>
      </c>
      <c r="S14" s="26" t="e">
        <f>SUMIFS(#REF!,#REF!,$C14,#REF!,S$3)</f>
        <v>#REF!</v>
      </c>
      <c r="T14" s="26" t="e">
        <f>SUMIFS(#REF!,#REF!,$C14,#REF!,T$3)</f>
        <v>#REF!</v>
      </c>
      <c r="U14" s="26" t="e">
        <f>SUMIFS(#REF!,#REF!,$C14,#REF!,U$3)</f>
        <v>#REF!</v>
      </c>
      <c r="V14" s="26" t="e">
        <f>SUMIFS(#REF!,#REF!,$C14,#REF!,V$3)</f>
        <v>#REF!</v>
      </c>
      <c r="W14" s="26" t="e">
        <f>SUMIFS(#REF!,#REF!,$C14,#REF!,W$3)</f>
        <v>#REF!</v>
      </c>
      <c r="X14" s="26" t="e">
        <f>SUMIFS(#REF!,#REF!,$C14,#REF!,X$3)</f>
        <v>#REF!</v>
      </c>
      <c r="Y14" s="26" t="e">
        <f>SUMIFS(#REF!,#REF!,$C14,#REF!,Y$3)</f>
        <v>#REF!</v>
      </c>
      <c r="Z14" s="26" t="e">
        <f>SUMIFS(#REF!,#REF!,$C14,#REF!,Z$3)</f>
        <v>#REF!</v>
      </c>
      <c r="AA14" s="26" t="e">
        <f>SUMIFS(#REF!,#REF!,$C14,#REF!,AA$3)</f>
        <v>#REF!</v>
      </c>
      <c r="AB14" s="26" t="e">
        <f>SUMIFS(#REF!,#REF!,$C14,#REF!,AB$3)</f>
        <v>#REF!</v>
      </c>
      <c r="AC14" s="26" t="e">
        <f>SUMIFS(#REF!,#REF!,$C14,#REF!,AC$3)</f>
        <v>#REF!</v>
      </c>
      <c r="AD14" s="26" t="e">
        <f>SUMIFS(#REF!,#REF!,$C14,#REF!,AD$3)</f>
        <v>#REF!</v>
      </c>
      <c r="AE14" s="26" t="e">
        <f>SUMIFS(#REF!,#REF!,$C14,#REF!,AE$3)</f>
        <v>#REF!</v>
      </c>
      <c r="AF14" s="26" t="e">
        <f>SUMIFS(#REF!,#REF!,$C14,#REF!,AF$3)</f>
        <v>#REF!</v>
      </c>
      <c r="AG14" s="26" t="e">
        <f>SUMIFS(#REF!,#REF!,$C14,#REF!,AG$3)</f>
        <v>#REF!</v>
      </c>
      <c r="AH14" s="26" t="e">
        <f>SUMIFS(#REF!,#REF!,$C14,#REF!,AH$3)</f>
        <v>#REF!</v>
      </c>
      <c r="AI14" s="26" t="e">
        <f>SUMIFS(#REF!,#REF!,$C14,#REF!,AI$3)</f>
        <v>#REF!</v>
      </c>
    </row>
  </sheetData>
  <mergeCells count="1">
    <mergeCell ref="B2:J2"/>
  </mergeCells>
  <conditionalFormatting sqref="D5:D14">
    <cfRule type="cellIs" dxfId="4149" priority="1" operator="equal">
      <formula>0</formula>
    </cfRule>
    <cfRule type="cellIs" dxfId="4148" priority="3" operator="greaterThan">
      <formula>0</formula>
    </cfRule>
  </conditionalFormatting>
  <conditionalFormatting sqref="E5:AI14">
    <cfRule type="cellIs" dxfId="4147" priority="2" operator="equal">
      <formula>0</formula>
    </cfRule>
  </conditionalFormatting>
  <pageMargins left="0.75" right="0.75" top="1" bottom="1" header="0.51180555555555562" footer="0.51180555555555562"/>
  <pageSetup paperSize="9" fitToWidth="0" fitToHeight="0" orientation="portrait" useFirstPageNumber="1" errors="NA" r:id="rId1"/>
  <headerFooter scaleWithDoc="0"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AB599"/>
  <sheetViews>
    <sheetView tabSelected="1" zoomScale="115" zoomScaleNormal="115" zoomScaleSheetLayoutView="85" workbookViewId="0">
      <pane xSplit="2" ySplit="6" topLeftCell="C111" activePane="bottomRight" state="frozen"/>
      <selection pane="topRight" activeCell="C1" sqref="C1"/>
      <selection pane="bottomLeft" activeCell="A7" sqref="A7"/>
      <selection pane="bottomRight" activeCell="K372" sqref="K372:P384"/>
    </sheetView>
  </sheetViews>
  <sheetFormatPr defaultColWidth="8.85546875" defaultRowHeight="12.75" x14ac:dyDescent="0.2"/>
  <cols>
    <col min="1" max="1" width="5.7109375" style="430" customWidth="1"/>
    <col min="2" max="2" width="3.42578125" style="430" customWidth="1"/>
    <col min="3" max="3" width="12.85546875" style="411" bestFit="1" customWidth="1"/>
    <col min="4" max="4" width="8.7109375" style="168" customWidth="1"/>
    <col min="5" max="5" width="9.7109375" style="411" customWidth="1"/>
    <col min="6" max="6" width="14.42578125" style="411" hidden="1" customWidth="1"/>
    <col min="7" max="8" width="8.5703125" style="170" customWidth="1"/>
    <col min="9" max="9" width="9" style="178" customWidth="1"/>
    <col min="10" max="10" width="12.42578125" style="411" customWidth="1"/>
    <col min="11" max="12" width="8.5703125" style="170" customWidth="1"/>
    <col min="13" max="13" width="9.42578125" style="178" customWidth="1"/>
    <col min="14" max="14" width="12.7109375" style="411" customWidth="1"/>
    <col min="15" max="16" width="8.5703125" style="170" customWidth="1"/>
    <col min="17" max="17" width="8" style="178" bestFit="1" customWidth="1"/>
    <col min="18" max="18" width="12.42578125" style="411" customWidth="1"/>
    <col min="19" max="19" width="8.85546875" style="170" customWidth="1"/>
    <col min="20" max="20" width="9.7109375" style="170" customWidth="1"/>
    <col min="21" max="21" width="8" style="178" bestFit="1" customWidth="1"/>
    <col min="22" max="22" width="8" style="411" bestFit="1" customWidth="1"/>
    <col min="23" max="23" width="8.5703125" style="170" customWidth="1"/>
    <col min="24" max="24" width="9.7109375" style="298" customWidth="1"/>
    <col min="25" max="16384" width="8.85546875" style="411"/>
  </cols>
  <sheetData>
    <row r="1" spans="1:24" s="400" customFormat="1" ht="25.5" x14ac:dyDescent="0.2">
      <c r="A1" s="361" t="s">
        <v>173</v>
      </c>
      <c r="B1" s="361"/>
      <c r="C1" s="361"/>
      <c r="D1" s="361"/>
      <c r="E1" s="361"/>
      <c r="F1" s="361"/>
      <c r="G1" s="361"/>
      <c r="H1" s="361"/>
      <c r="I1" s="361"/>
      <c r="J1" s="361"/>
      <c r="K1" s="207">
        <v>5</v>
      </c>
      <c r="L1" s="207"/>
      <c r="M1" s="362">
        <v>2023</v>
      </c>
      <c r="N1" s="362"/>
      <c r="O1" s="207"/>
      <c r="P1" s="207"/>
      <c r="Q1" s="209"/>
      <c r="R1" s="207"/>
      <c r="S1" s="207"/>
      <c r="T1" s="207"/>
      <c r="U1" s="209"/>
      <c r="V1" s="207"/>
      <c r="W1" s="207"/>
      <c r="X1" s="317"/>
    </row>
    <row r="2" spans="1:24" s="401" customFormat="1" ht="1.9" customHeight="1" x14ac:dyDescent="0.2">
      <c r="A2" s="321"/>
      <c r="B2" s="321"/>
      <c r="C2" s="144"/>
      <c r="D2" s="174"/>
      <c r="E2" s="144"/>
      <c r="F2" s="144"/>
      <c r="G2" s="144"/>
      <c r="H2" s="144"/>
      <c r="I2" s="176"/>
      <c r="J2" s="144"/>
      <c r="K2" s="145"/>
      <c r="L2" s="145"/>
      <c r="M2" s="176"/>
      <c r="N2" s="146"/>
      <c r="O2" s="145"/>
      <c r="P2" s="145"/>
      <c r="Q2" s="176"/>
      <c r="R2" s="145"/>
      <c r="S2" s="145"/>
      <c r="T2" s="145"/>
      <c r="U2" s="176"/>
      <c r="V2" s="145"/>
      <c r="W2" s="145"/>
      <c r="X2" s="318"/>
    </row>
    <row r="3" spans="1:24" s="408" customFormat="1" ht="12" customHeight="1" x14ac:dyDescent="0.2">
      <c r="A3" s="402"/>
      <c r="B3" s="402"/>
      <c r="C3" s="403"/>
      <c r="D3" s="182" t="s">
        <v>97</v>
      </c>
      <c r="E3" s="404" t="s">
        <v>111</v>
      </c>
      <c r="F3" s="404"/>
      <c r="G3" s="405"/>
      <c r="H3" s="406"/>
      <c r="I3" s="183" t="s">
        <v>99</v>
      </c>
      <c r="J3" s="404" t="s">
        <v>112</v>
      </c>
      <c r="K3" s="405"/>
      <c r="L3" s="406"/>
      <c r="M3" s="184" t="s">
        <v>100</v>
      </c>
      <c r="N3" s="404" t="s">
        <v>102</v>
      </c>
      <c r="O3" s="404"/>
      <c r="P3" s="407"/>
      <c r="Q3" s="185"/>
      <c r="R3" s="187"/>
      <c r="S3" s="187"/>
      <c r="T3" s="187"/>
      <c r="U3" s="185"/>
      <c r="V3" s="187"/>
      <c r="W3" s="187"/>
      <c r="X3" s="319"/>
    </row>
    <row r="4" spans="1:24" s="410" customFormat="1" ht="1.9" customHeight="1" x14ac:dyDescent="0.2">
      <c r="A4" s="402"/>
      <c r="B4" s="402"/>
      <c r="C4" s="169"/>
      <c r="D4" s="175"/>
      <c r="E4" s="169"/>
      <c r="F4" s="169"/>
      <c r="G4" s="169"/>
      <c r="H4" s="169"/>
      <c r="I4" s="177"/>
      <c r="J4" s="169"/>
      <c r="K4" s="171"/>
      <c r="L4" s="171"/>
      <c r="M4" s="177"/>
      <c r="N4" s="409"/>
      <c r="O4" s="171"/>
      <c r="P4" s="171"/>
      <c r="Q4" s="177"/>
      <c r="R4" s="171"/>
      <c r="S4" s="171"/>
      <c r="T4" s="171"/>
      <c r="U4" s="177"/>
      <c r="V4" s="171"/>
      <c r="W4" s="171"/>
      <c r="X4" s="320"/>
    </row>
    <row r="5" spans="1:24" ht="21" x14ac:dyDescent="0.2">
      <c r="A5" s="322" t="s">
        <v>21</v>
      </c>
      <c r="B5" s="329" t="s">
        <v>113</v>
      </c>
      <c r="C5" s="190" t="s">
        <v>110</v>
      </c>
      <c r="D5" s="365" t="s">
        <v>107</v>
      </c>
      <c r="E5" s="365"/>
      <c r="F5" s="365"/>
      <c r="G5" s="365"/>
      <c r="H5" s="326"/>
      <c r="I5" s="366" t="s">
        <v>114</v>
      </c>
      <c r="J5" s="366"/>
      <c r="K5" s="366"/>
      <c r="L5" s="327"/>
      <c r="M5" s="367" t="s">
        <v>108</v>
      </c>
      <c r="N5" s="367"/>
      <c r="O5" s="367"/>
      <c r="P5" s="328"/>
      <c r="Q5" s="368" t="s">
        <v>118</v>
      </c>
      <c r="R5" s="368"/>
      <c r="S5" s="368"/>
      <c r="T5" s="330"/>
      <c r="U5" s="357" t="s">
        <v>122</v>
      </c>
      <c r="V5" s="357"/>
      <c r="W5" s="357"/>
      <c r="X5" s="331"/>
    </row>
    <row r="6" spans="1:24" ht="18" customHeight="1" x14ac:dyDescent="0.2">
      <c r="A6" s="323" t="s">
        <v>34</v>
      </c>
      <c r="B6" s="325"/>
      <c r="C6" s="137">
        <f>SUM(C7:C756)</f>
        <v>9241425</v>
      </c>
      <c r="D6" s="162" t="s">
        <v>101</v>
      </c>
      <c r="E6" s="172" t="s">
        <v>103</v>
      </c>
      <c r="F6" s="172"/>
      <c r="G6" s="163" t="s">
        <v>8</v>
      </c>
      <c r="H6" s="163" t="s">
        <v>224</v>
      </c>
      <c r="I6" s="192" t="s">
        <v>101</v>
      </c>
      <c r="J6" s="172" t="s">
        <v>103</v>
      </c>
      <c r="K6" s="193" t="s">
        <v>8</v>
      </c>
      <c r="L6" s="193" t="s">
        <v>224</v>
      </c>
      <c r="M6" s="158" t="s">
        <v>101</v>
      </c>
      <c r="N6" s="172" t="s">
        <v>103</v>
      </c>
      <c r="O6" s="154" t="s">
        <v>8</v>
      </c>
      <c r="P6" s="154" t="s">
        <v>225</v>
      </c>
      <c r="Q6" s="160" t="s">
        <v>101</v>
      </c>
      <c r="R6" s="172" t="s">
        <v>103</v>
      </c>
      <c r="S6" s="153" t="s">
        <v>8</v>
      </c>
      <c r="T6" s="153" t="s">
        <v>224</v>
      </c>
      <c r="U6" s="201" t="s">
        <v>101</v>
      </c>
      <c r="V6" s="202" t="s">
        <v>103</v>
      </c>
      <c r="W6" s="315" t="s">
        <v>8</v>
      </c>
      <c r="X6" s="203" t="s">
        <v>224</v>
      </c>
    </row>
    <row r="7" spans="1:24" ht="16.149999999999999" customHeight="1" x14ac:dyDescent="0.2">
      <c r="A7" s="347">
        <f>DATE(M1,K1,1)</f>
        <v>45047</v>
      </c>
      <c r="B7" s="346" t="str">
        <f>IF(WEEKDAY(A7)=1,"CN","T"&amp;WEEKDAY(A7))</f>
        <v>T2</v>
      </c>
      <c r="C7" s="306">
        <f t="shared" ref="C7:C38" si="0">SUM(D7:S7)</f>
        <v>0</v>
      </c>
      <c r="D7" s="303" t="s">
        <v>116</v>
      </c>
      <c r="E7" s="412"/>
      <c r="F7" s="412"/>
      <c r="G7" s="304"/>
      <c r="H7" s="304"/>
      <c r="I7" s="307" t="s">
        <v>116</v>
      </c>
      <c r="J7" s="412"/>
      <c r="K7" s="308"/>
      <c r="L7" s="308"/>
      <c r="M7" s="305" t="s">
        <v>116</v>
      </c>
      <c r="N7" s="412"/>
      <c r="O7" s="302"/>
      <c r="P7" s="302"/>
      <c r="Q7" s="296" t="s">
        <v>116</v>
      </c>
      <c r="R7" s="412"/>
      <c r="S7" s="214"/>
      <c r="T7" s="214"/>
      <c r="U7" s="295"/>
      <c r="V7" s="412"/>
      <c r="W7" s="300"/>
      <c r="X7" s="205"/>
    </row>
    <row r="8" spans="1:24" ht="16.149999999999999" customHeight="1" x14ac:dyDescent="0.2">
      <c r="A8" s="347"/>
      <c r="B8" s="346"/>
      <c r="C8" s="306">
        <f t="shared" si="0"/>
        <v>0</v>
      </c>
      <c r="D8" s="303"/>
      <c r="E8" s="412"/>
      <c r="F8" s="412"/>
      <c r="G8" s="304"/>
      <c r="H8" s="304"/>
      <c r="I8" s="307"/>
      <c r="J8" s="412"/>
      <c r="K8" s="308"/>
      <c r="L8" s="308"/>
      <c r="M8" s="305"/>
      <c r="N8" s="412"/>
      <c r="O8" s="302"/>
      <c r="P8" s="302"/>
      <c r="Q8" s="296"/>
      <c r="R8" s="412"/>
      <c r="S8" s="214"/>
      <c r="T8" s="214"/>
      <c r="U8" s="295"/>
      <c r="V8" s="412"/>
      <c r="W8" s="300"/>
      <c r="X8" s="205"/>
    </row>
    <row r="9" spans="1:24" ht="16.149999999999999" customHeight="1" x14ac:dyDescent="0.2">
      <c r="A9" s="347"/>
      <c r="B9" s="346"/>
      <c r="C9" s="306">
        <f t="shared" si="0"/>
        <v>0</v>
      </c>
      <c r="D9" s="303"/>
      <c r="E9" s="412"/>
      <c r="F9" s="412"/>
      <c r="G9" s="304"/>
      <c r="H9" s="304"/>
      <c r="I9" s="307"/>
      <c r="J9" s="412"/>
      <c r="K9" s="308"/>
      <c r="L9" s="308"/>
      <c r="M9" s="305"/>
      <c r="N9" s="412"/>
      <c r="O9" s="302"/>
      <c r="P9" s="302"/>
      <c r="Q9" s="296"/>
      <c r="R9" s="412"/>
      <c r="S9" s="214"/>
      <c r="T9" s="214"/>
      <c r="U9" s="295"/>
      <c r="V9" s="412"/>
      <c r="W9" s="300"/>
      <c r="X9" s="205"/>
    </row>
    <row r="10" spans="1:24" ht="16.149999999999999" customHeight="1" x14ac:dyDescent="0.2">
      <c r="A10" s="347"/>
      <c r="B10" s="346"/>
      <c r="C10" s="306">
        <f t="shared" si="0"/>
        <v>0</v>
      </c>
      <c r="D10" s="303"/>
      <c r="E10" s="412"/>
      <c r="F10" s="412"/>
      <c r="G10" s="304"/>
      <c r="H10" s="304"/>
      <c r="I10" s="307"/>
      <c r="J10" s="412"/>
      <c r="K10" s="308"/>
      <c r="L10" s="308"/>
      <c r="M10" s="305"/>
      <c r="N10" s="412"/>
      <c r="O10" s="302"/>
      <c r="P10" s="302"/>
      <c r="Q10" s="296"/>
      <c r="R10" s="412"/>
      <c r="S10" s="214"/>
      <c r="T10" s="214"/>
      <c r="U10" s="295"/>
      <c r="V10" s="412"/>
      <c r="W10" s="300"/>
      <c r="X10" s="205"/>
    </row>
    <row r="11" spans="1:24" ht="16.149999999999999" customHeight="1" x14ac:dyDescent="0.2">
      <c r="A11" s="347">
        <f>A7+1</f>
        <v>45048</v>
      </c>
      <c r="B11" s="346" t="str">
        <f>IF(WEEKDAY(A11)=1,"CN","T"&amp;WEEKDAY(A11))</f>
        <v>T3</v>
      </c>
      <c r="C11" s="306">
        <f t="shared" si="0"/>
        <v>76000</v>
      </c>
      <c r="D11" s="303" t="s">
        <v>104</v>
      </c>
      <c r="E11" s="412"/>
      <c r="F11" s="412"/>
      <c r="G11" s="304">
        <v>11000</v>
      </c>
      <c r="H11" s="304"/>
      <c r="I11" s="307" t="s">
        <v>129</v>
      </c>
      <c r="J11" s="412"/>
      <c r="K11" s="308"/>
      <c r="L11" s="308"/>
      <c r="M11" s="305" t="s">
        <v>115</v>
      </c>
      <c r="N11" s="412" t="s">
        <v>126</v>
      </c>
      <c r="O11" s="302">
        <v>35000</v>
      </c>
      <c r="P11" s="302"/>
      <c r="Q11" s="296" t="s">
        <v>131</v>
      </c>
      <c r="R11" s="412"/>
      <c r="S11" s="214">
        <v>30000</v>
      </c>
      <c r="T11" s="214"/>
      <c r="U11" s="295"/>
      <c r="V11" s="412"/>
      <c r="W11" s="300"/>
      <c r="X11" s="205"/>
    </row>
    <row r="12" spans="1:24" ht="16.149999999999999" customHeight="1" x14ac:dyDescent="0.2">
      <c r="A12" s="347"/>
      <c r="B12" s="346"/>
      <c r="C12" s="306">
        <f t="shared" si="0"/>
        <v>32000</v>
      </c>
      <c r="D12" s="303" t="s">
        <v>115</v>
      </c>
      <c r="E12" s="412" t="s">
        <v>126</v>
      </c>
      <c r="F12" s="412"/>
      <c r="G12" s="304">
        <v>25000</v>
      </c>
      <c r="H12" s="304"/>
      <c r="I12" s="307"/>
      <c r="J12" s="412"/>
      <c r="K12" s="308"/>
      <c r="L12" s="308"/>
      <c r="M12" s="305"/>
      <c r="N12" s="412"/>
      <c r="O12" s="302"/>
      <c r="P12" s="302"/>
      <c r="Q12" s="296" t="s">
        <v>131</v>
      </c>
      <c r="R12" s="412"/>
      <c r="S12" s="214">
        <v>7000</v>
      </c>
      <c r="T12" s="214"/>
      <c r="U12" s="295"/>
      <c r="V12" s="412"/>
      <c r="W12" s="300"/>
      <c r="X12" s="205"/>
    </row>
    <row r="13" spans="1:24" ht="16.149999999999999" customHeight="1" x14ac:dyDescent="0.2">
      <c r="A13" s="347"/>
      <c r="B13" s="346"/>
      <c r="C13" s="306">
        <f t="shared" si="0"/>
        <v>0</v>
      </c>
      <c r="D13" s="303"/>
      <c r="E13" s="412"/>
      <c r="F13" s="412"/>
      <c r="G13" s="304"/>
      <c r="H13" s="304"/>
      <c r="I13" s="307"/>
      <c r="J13" s="412"/>
      <c r="K13" s="308"/>
      <c r="L13" s="308"/>
      <c r="M13" s="305"/>
      <c r="N13" s="412"/>
      <c r="O13" s="302"/>
      <c r="P13" s="302"/>
      <c r="Q13" s="296"/>
      <c r="R13" s="412"/>
      <c r="S13" s="214"/>
      <c r="T13" s="214"/>
      <c r="U13" s="295"/>
      <c r="V13" s="412"/>
      <c r="W13" s="300"/>
      <c r="X13" s="205"/>
    </row>
    <row r="14" spans="1:24" ht="16.149999999999999" customHeight="1" x14ac:dyDescent="0.2">
      <c r="A14" s="347"/>
      <c r="B14" s="346"/>
      <c r="C14" s="306">
        <f t="shared" si="0"/>
        <v>0</v>
      </c>
      <c r="D14" s="303"/>
      <c r="E14" s="412"/>
      <c r="F14" s="412"/>
      <c r="G14" s="304"/>
      <c r="H14" s="304"/>
      <c r="I14" s="307"/>
      <c r="J14" s="412"/>
      <c r="K14" s="308"/>
      <c r="L14" s="308"/>
      <c r="M14" s="305"/>
      <c r="N14" s="412"/>
      <c r="O14" s="302"/>
      <c r="P14" s="302"/>
      <c r="Q14" s="296"/>
      <c r="R14" s="412"/>
      <c r="S14" s="214"/>
      <c r="T14" s="214"/>
      <c r="U14" s="295"/>
      <c r="V14" s="412"/>
      <c r="W14" s="300"/>
      <c r="X14" s="205"/>
    </row>
    <row r="15" spans="1:24" ht="16.149999999999999" customHeight="1" x14ac:dyDescent="0.2">
      <c r="A15" s="347">
        <f>A11+1</f>
        <v>45049</v>
      </c>
      <c r="B15" s="346" t="str">
        <f>IF(WEEKDAY(A15)=1,"CN","T"&amp;WEEKDAY(A15))</f>
        <v>T4</v>
      </c>
      <c r="C15" s="306">
        <f t="shared" si="0"/>
        <v>108000</v>
      </c>
      <c r="D15" s="303" t="s">
        <v>115</v>
      </c>
      <c r="E15" s="412" t="s">
        <v>126</v>
      </c>
      <c r="F15" s="412"/>
      <c r="G15" s="304">
        <v>28000</v>
      </c>
      <c r="H15" s="304"/>
      <c r="I15" s="307" t="s">
        <v>130</v>
      </c>
      <c r="J15" s="412"/>
      <c r="K15" s="308"/>
      <c r="L15" s="308"/>
      <c r="M15" s="305" t="s">
        <v>115</v>
      </c>
      <c r="N15" s="412" t="s">
        <v>126</v>
      </c>
      <c r="O15" s="302">
        <v>40000</v>
      </c>
      <c r="P15" s="302"/>
      <c r="Q15" s="296" t="s">
        <v>131</v>
      </c>
      <c r="R15" s="412"/>
      <c r="S15" s="214">
        <v>40000</v>
      </c>
      <c r="T15" s="214"/>
      <c r="U15" s="295"/>
      <c r="V15" s="412"/>
      <c r="W15" s="300"/>
      <c r="X15" s="205"/>
    </row>
    <row r="16" spans="1:24" ht="16.149999999999999" customHeight="1" x14ac:dyDescent="0.2">
      <c r="A16" s="347"/>
      <c r="B16" s="346"/>
      <c r="C16" s="306">
        <f t="shared" si="0"/>
        <v>12000</v>
      </c>
      <c r="D16" s="303" t="s">
        <v>117</v>
      </c>
      <c r="E16" s="412"/>
      <c r="F16" s="412"/>
      <c r="G16" s="304">
        <v>12000</v>
      </c>
      <c r="H16" s="304"/>
      <c r="I16" s="307"/>
      <c r="J16" s="412"/>
      <c r="K16" s="308"/>
      <c r="L16" s="308"/>
      <c r="M16" s="305"/>
      <c r="N16" s="412"/>
      <c r="O16" s="302"/>
      <c r="P16" s="302"/>
      <c r="Q16" s="296"/>
      <c r="R16" s="412"/>
      <c r="S16" s="214"/>
      <c r="T16" s="214"/>
      <c r="U16" s="295"/>
      <c r="V16" s="412"/>
      <c r="W16" s="300"/>
      <c r="X16" s="205"/>
    </row>
    <row r="17" spans="1:24" ht="16.149999999999999" customHeight="1" x14ac:dyDescent="0.2">
      <c r="A17" s="347"/>
      <c r="B17" s="346"/>
      <c r="C17" s="306">
        <f t="shared" si="0"/>
        <v>0</v>
      </c>
      <c r="D17" s="303"/>
      <c r="E17" s="412"/>
      <c r="F17" s="412"/>
      <c r="G17" s="304"/>
      <c r="H17" s="304"/>
      <c r="I17" s="307"/>
      <c r="J17" s="412"/>
      <c r="K17" s="308"/>
      <c r="L17" s="308"/>
      <c r="M17" s="305"/>
      <c r="N17" s="412"/>
      <c r="O17" s="302"/>
      <c r="P17" s="302"/>
      <c r="Q17" s="296"/>
      <c r="R17" s="412"/>
      <c r="S17" s="214"/>
      <c r="T17" s="214"/>
      <c r="U17" s="295"/>
      <c r="V17" s="412"/>
      <c r="W17" s="300"/>
      <c r="X17" s="205"/>
    </row>
    <row r="18" spans="1:24" ht="16.149999999999999" customHeight="1" x14ac:dyDescent="0.2">
      <c r="A18" s="347"/>
      <c r="B18" s="346"/>
      <c r="C18" s="306">
        <f t="shared" si="0"/>
        <v>0</v>
      </c>
      <c r="D18" s="303"/>
      <c r="E18" s="412"/>
      <c r="F18" s="412"/>
      <c r="G18" s="304"/>
      <c r="H18" s="304"/>
      <c r="I18" s="307"/>
      <c r="J18" s="412"/>
      <c r="K18" s="308"/>
      <c r="L18" s="308"/>
      <c r="M18" s="305"/>
      <c r="N18" s="412"/>
      <c r="O18" s="302"/>
      <c r="P18" s="302"/>
      <c r="Q18" s="296"/>
      <c r="R18" s="412"/>
      <c r="S18" s="214"/>
      <c r="T18" s="214"/>
      <c r="U18" s="295"/>
      <c r="V18" s="412"/>
      <c r="W18" s="300"/>
      <c r="X18" s="205"/>
    </row>
    <row r="19" spans="1:24" ht="16.149999999999999" customHeight="1" x14ac:dyDescent="0.2">
      <c r="A19" s="347">
        <f>A15+1</f>
        <v>45050</v>
      </c>
      <c r="B19" s="346" t="str">
        <f>IF(WEEKDAY(A19)=1,"CN","T"&amp;WEEKDAY(A19))</f>
        <v>T5</v>
      </c>
      <c r="C19" s="306">
        <f t="shared" si="0"/>
        <v>31000</v>
      </c>
      <c r="D19" s="303" t="s">
        <v>117</v>
      </c>
      <c r="E19" s="412"/>
      <c r="F19" s="412"/>
      <c r="G19" s="304">
        <v>20000</v>
      </c>
      <c r="H19" s="304"/>
      <c r="I19" s="307" t="s">
        <v>130</v>
      </c>
      <c r="J19" s="412"/>
      <c r="K19" s="308"/>
      <c r="L19" s="308"/>
      <c r="M19" s="305" t="s">
        <v>115</v>
      </c>
      <c r="N19" s="412" t="s">
        <v>126</v>
      </c>
      <c r="O19" s="302">
        <v>3000</v>
      </c>
      <c r="P19" s="302"/>
      <c r="Q19" s="296" t="s">
        <v>131</v>
      </c>
      <c r="R19" s="412"/>
      <c r="S19" s="214">
        <v>8000</v>
      </c>
      <c r="T19" s="214"/>
      <c r="U19" s="295"/>
      <c r="V19" s="412"/>
      <c r="W19" s="300"/>
      <c r="X19" s="205"/>
    </row>
    <row r="20" spans="1:24" ht="16.149999999999999" customHeight="1" x14ac:dyDescent="0.2">
      <c r="A20" s="347"/>
      <c r="B20" s="346"/>
      <c r="C20" s="306">
        <f t="shared" si="0"/>
        <v>56000</v>
      </c>
      <c r="D20" s="303" t="s">
        <v>123</v>
      </c>
      <c r="E20" s="412" t="s">
        <v>120</v>
      </c>
      <c r="F20" s="412"/>
      <c r="G20" s="304">
        <v>20000</v>
      </c>
      <c r="H20" s="304"/>
      <c r="I20" s="307"/>
      <c r="J20" s="412"/>
      <c r="K20" s="308"/>
      <c r="L20" s="308"/>
      <c r="M20" s="305" t="s">
        <v>117</v>
      </c>
      <c r="N20" s="412"/>
      <c r="O20" s="302">
        <v>23000</v>
      </c>
      <c r="P20" s="302"/>
      <c r="Q20" s="296" t="s">
        <v>104</v>
      </c>
      <c r="R20" s="412"/>
      <c r="S20" s="214">
        <v>13000</v>
      </c>
      <c r="T20" s="214"/>
      <c r="U20" s="295"/>
      <c r="V20" s="412"/>
      <c r="W20" s="300"/>
      <c r="X20" s="205"/>
    </row>
    <row r="21" spans="1:24" ht="16.149999999999999" customHeight="1" x14ac:dyDescent="0.2">
      <c r="A21" s="347"/>
      <c r="B21" s="346"/>
      <c r="C21" s="306">
        <f t="shared" si="0"/>
        <v>24000</v>
      </c>
      <c r="D21" s="303"/>
      <c r="E21" s="412"/>
      <c r="F21" s="412"/>
      <c r="G21" s="304"/>
      <c r="H21" s="304"/>
      <c r="I21" s="307"/>
      <c r="J21" s="412"/>
      <c r="K21" s="308"/>
      <c r="L21" s="308"/>
      <c r="M21" s="305" t="s">
        <v>105</v>
      </c>
      <c r="N21" s="412"/>
      <c r="O21" s="302">
        <v>5000</v>
      </c>
      <c r="P21" s="302"/>
      <c r="Q21" s="296" t="s">
        <v>117</v>
      </c>
      <c r="R21" s="412"/>
      <c r="S21" s="214">
        <v>19000</v>
      </c>
      <c r="T21" s="214"/>
      <c r="U21" s="295"/>
      <c r="V21" s="412"/>
      <c r="W21" s="300"/>
      <c r="X21" s="205"/>
    </row>
    <row r="22" spans="1:24" ht="16.149999999999999" customHeight="1" x14ac:dyDescent="0.2">
      <c r="A22" s="347"/>
      <c r="B22" s="346"/>
      <c r="C22" s="306">
        <f t="shared" si="0"/>
        <v>8000</v>
      </c>
      <c r="D22" s="303"/>
      <c r="E22" s="412"/>
      <c r="F22" s="412"/>
      <c r="G22" s="304"/>
      <c r="H22" s="304"/>
      <c r="I22" s="307"/>
      <c r="J22" s="412"/>
      <c r="K22" s="308"/>
      <c r="L22" s="308"/>
      <c r="M22" s="305" t="s">
        <v>119</v>
      </c>
      <c r="N22" s="412"/>
      <c r="O22" s="302">
        <v>8000</v>
      </c>
      <c r="P22" s="302"/>
      <c r="Q22" s="296"/>
      <c r="R22" s="412"/>
      <c r="S22" s="214"/>
      <c r="T22" s="214"/>
      <c r="U22" s="295"/>
      <c r="V22" s="412"/>
      <c r="W22" s="300"/>
      <c r="X22" s="205"/>
    </row>
    <row r="23" spans="1:24" ht="16.149999999999999" customHeight="1" x14ac:dyDescent="0.2">
      <c r="A23" s="347">
        <f>A19+1</f>
        <v>45051</v>
      </c>
      <c r="B23" s="346" t="str">
        <f>IF(WEEKDAY(A23)=1,"CN","T"&amp;WEEKDAY(A23))</f>
        <v>T6</v>
      </c>
      <c r="C23" s="306">
        <f t="shared" si="0"/>
        <v>60000</v>
      </c>
      <c r="D23" s="303"/>
      <c r="E23" s="412"/>
      <c r="F23" s="412"/>
      <c r="G23" s="304"/>
      <c r="H23" s="304"/>
      <c r="I23" s="307" t="s">
        <v>130</v>
      </c>
      <c r="J23" s="412"/>
      <c r="K23" s="308"/>
      <c r="L23" s="308"/>
      <c r="M23" s="305" t="s">
        <v>123</v>
      </c>
      <c r="N23" s="412" t="s">
        <v>120</v>
      </c>
      <c r="O23" s="302">
        <v>20000</v>
      </c>
      <c r="P23" s="302"/>
      <c r="Q23" s="296" t="s">
        <v>117</v>
      </c>
      <c r="R23" s="412"/>
      <c r="S23" s="214">
        <v>40000</v>
      </c>
      <c r="T23" s="214"/>
      <c r="U23" s="295"/>
      <c r="V23" s="412"/>
      <c r="W23" s="300"/>
      <c r="X23" s="205"/>
    </row>
    <row r="24" spans="1:24" ht="16.149999999999999" customHeight="1" x14ac:dyDescent="0.2">
      <c r="A24" s="347"/>
      <c r="B24" s="346"/>
      <c r="C24" s="306">
        <f t="shared" si="0"/>
        <v>63000</v>
      </c>
      <c r="D24" s="303" t="s">
        <v>123</v>
      </c>
      <c r="E24" s="412" t="s">
        <v>120</v>
      </c>
      <c r="F24" s="412"/>
      <c r="G24" s="304">
        <v>40000</v>
      </c>
      <c r="H24" s="304"/>
      <c r="I24" s="307"/>
      <c r="J24" s="412"/>
      <c r="K24" s="308"/>
      <c r="L24" s="308"/>
      <c r="M24" s="305" t="s">
        <v>124</v>
      </c>
      <c r="N24" s="412" t="s">
        <v>132</v>
      </c>
      <c r="O24" s="302">
        <v>23000</v>
      </c>
      <c r="P24" s="302"/>
      <c r="Q24" s="296"/>
      <c r="R24" s="412"/>
      <c r="S24" s="214"/>
      <c r="T24" s="214"/>
      <c r="U24" s="295"/>
      <c r="V24" s="412"/>
      <c r="W24" s="300"/>
      <c r="X24" s="205"/>
    </row>
    <row r="25" spans="1:24" ht="16.149999999999999" customHeight="1" x14ac:dyDescent="0.2">
      <c r="A25" s="347"/>
      <c r="B25" s="346"/>
      <c r="C25" s="306">
        <f t="shared" si="0"/>
        <v>0</v>
      </c>
      <c r="D25" s="303"/>
      <c r="E25" s="412"/>
      <c r="F25" s="412"/>
      <c r="G25" s="304"/>
      <c r="H25" s="304"/>
      <c r="I25" s="307"/>
      <c r="J25" s="412"/>
      <c r="K25" s="308"/>
      <c r="L25" s="308"/>
      <c r="M25" s="305"/>
      <c r="N25" s="412"/>
      <c r="O25" s="302"/>
      <c r="P25" s="302"/>
      <c r="Q25" s="296"/>
      <c r="R25" s="412"/>
      <c r="S25" s="214"/>
      <c r="T25" s="214"/>
      <c r="U25" s="295"/>
      <c r="V25" s="412"/>
      <c r="W25" s="300"/>
      <c r="X25" s="205"/>
    </row>
    <row r="26" spans="1:24" ht="16.149999999999999" customHeight="1" x14ac:dyDescent="0.2">
      <c r="A26" s="347"/>
      <c r="B26" s="346"/>
      <c r="C26" s="306">
        <f t="shared" si="0"/>
        <v>0</v>
      </c>
      <c r="D26" s="303"/>
      <c r="E26" s="412"/>
      <c r="F26" s="412"/>
      <c r="G26" s="304"/>
      <c r="H26" s="304"/>
      <c r="I26" s="307"/>
      <c r="J26" s="412"/>
      <c r="K26" s="308"/>
      <c r="L26" s="308"/>
      <c r="M26" s="305"/>
      <c r="N26" s="412"/>
      <c r="O26" s="302"/>
      <c r="P26" s="302"/>
      <c r="Q26" s="296"/>
      <c r="R26" s="412"/>
      <c r="S26" s="214"/>
      <c r="T26" s="214"/>
      <c r="U26" s="295"/>
      <c r="V26" s="412"/>
      <c r="W26" s="300"/>
      <c r="X26" s="205"/>
    </row>
    <row r="27" spans="1:24" ht="16.149999999999999" customHeight="1" x14ac:dyDescent="0.2">
      <c r="A27" s="347">
        <f>A23+1</f>
        <v>45052</v>
      </c>
      <c r="B27" s="346" t="str">
        <f>IF(WEEKDAY(A27)=1,"CN","T"&amp;WEEKDAY(A27))</f>
        <v>T7</v>
      </c>
      <c r="C27" s="306">
        <f t="shared" si="0"/>
        <v>44000</v>
      </c>
      <c r="D27" s="303" t="s">
        <v>123</v>
      </c>
      <c r="E27" s="412" t="s">
        <v>120</v>
      </c>
      <c r="F27" s="412"/>
      <c r="G27" s="304">
        <v>20000</v>
      </c>
      <c r="H27" s="304"/>
      <c r="I27" s="307" t="s">
        <v>130</v>
      </c>
      <c r="J27" s="412"/>
      <c r="K27" s="308"/>
      <c r="L27" s="308"/>
      <c r="M27" s="305" t="s">
        <v>124</v>
      </c>
      <c r="N27" s="412" t="s">
        <v>132</v>
      </c>
      <c r="O27" s="302">
        <v>4000</v>
      </c>
      <c r="P27" s="302"/>
      <c r="Q27" s="296" t="s">
        <v>117</v>
      </c>
      <c r="R27" s="412"/>
      <c r="S27" s="214">
        <v>20000</v>
      </c>
      <c r="T27" s="214"/>
      <c r="U27" s="295"/>
      <c r="V27" s="412"/>
      <c r="W27" s="300"/>
      <c r="X27" s="205"/>
    </row>
    <row r="28" spans="1:24" ht="16.149999999999999" customHeight="1" x14ac:dyDescent="0.2">
      <c r="A28" s="347"/>
      <c r="B28" s="346"/>
      <c r="C28" s="306">
        <f t="shared" si="0"/>
        <v>67000</v>
      </c>
      <c r="D28" s="303" t="s">
        <v>115</v>
      </c>
      <c r="E28" s="412" t="s">
        <v>126</v>
      </c>
      <c r="F28" s="412"/>
      <c r="G28" s="304">
        <v>20000</v>
      </c>
      <c r="H28" s="304"/>
      <c r="I28" s="307"/>
      <c r="J28" s="412"/>
      <c r="K28" s="308"/>
      <c r="L28" s="308"/>
      <c r="M28" s="305" t="s">
        <v>124</v>
      </c>
      <c r="N28" s="412" t="s">
        <v>133</v>
      </c>
      <c r="O28" s="302">
        <v>27000</v>
      </c>
      <c r="P28" s="302"/>
      <c r="Q28" s="296" t="s">
        <v>115</v>
      </c>
      <c r="R28" s="412" t="s">
        <v>126</v>
      </c>
      <c r="S28" s="214">
        <v>20000</v>
      </c>
      <c r="T28" s="214"/>
      <c r="U28" s="295"/>
      <c r="V28" s="412"/>
      <c r="W28" s="300"/>
      <c r="X28" s="205"/>
    </row>
    <row r="29" spans="1:24" ht="16.149999999999999" customHeight="1" x14ac:dyDescent="0.2">
      <c r="A29" s="347"/>
      <c r="B29" s="346"/>
      <c r="C29" s="306">
        <f t="shared" si="0"/>
        <v>9000</v>
      </c>
      <c r="D29" s="303"/>
      <c r="E29" s="412"/>
      <c r="F29" s="412"/>
      <c r="G29" s="304"/>
      <c r="H29" s="304"/>
      <c r="I29" s="307"/>
      <c r="J29" s="412"/>
      <c r="K29" s="308"/>
      <c r="L29" s="308"/>
      <c r="M29" s="305" t="s">
        <v>115</v>
      </c>
      <c r="N29" s="412" t="s">
        <v>127</v>
      </c>
      <c r="O29" s="302">
        <v>9000</v>
      </c>
      <c r="P29" s="302"/>
      <c r="Q29" s="296"/>
      <c r="R29" s="412"/>
      <c r="S29" s="214"/>
      <c r="T29" s="214"/>
      <c r="U29" s="295"/>
      <c r="V29" s="412"/>
      <c r="W29" s="300"/>
      <c r="X29" s="205"/>
    </row>
    <row r="30" spans="1:24" ht="16.149999999999999" customHeight="1" x14ac:dyDescent="0.2">
      <c r="A30" s="347"/>
      <c r="B30" s="346"/>
      <c r="C30" s="306">
        <f t="shared" si="0"/>
        <v>0</v>
      </c>
      <c r="D30" s="303"/>
      <c r="E30" s="412"/>
      <c r="F30" s="412"/>
      <c r="G30" s="304"/>
      <c r="H30" s="304"/>
      <c r="I30" s="307"/>
      <c r="J30" s="412"/>
      <c r="K30" s="308"/>
      <c r="L30" s="308"/>
      <c r="M30" s="305"/>
      <c r="N30" s="412"/>
      <c r="O30" s="302"/>
      <c r="P30" s="302"/>
      <c r="Q30" s="296"/>
      <c r="R30" s="412"/>
      <c r="S30" s="214"/>
      <c r="T30" s="214"/>
      <c r="U30" s="295"/>
      <c r="V30" s="412"/>
      <c r="W30" s="300"/>
      <c r="X30" s="205"/>
    </row>
    <row r="31" spans="1:24" ht="16.149999999999999" customHeight="1" x14ac:dyDescent="0.2">
      <c r="A31" s="347">
        <f>A27+1</f>
        <v>45053</v>
      </c>
      <c r="B31" s="346" t="str">
        <f>IF(WEEKDAY(A31)=1,"CN","T"&amp;WEEKDAY(A31))</f>
        <v>CN</v>
      </c>
      <c r="C31" s="306">
        <f t="shared" si="0"/>
        <v>78000</v>
      </c>
      <c r="D31" s="303" t="s">
        <v>125</v>
      </c>
      <c r="E31" s="412" t="s">
        <v>135</v>
      </c>
      <c r="F31" s="412"/>
      <c r="G31" s="304">
        <v>38000</v>
      </c>
      <c r="H31" s="304"/>
      <c r="I31" s="307"/>
      <c r="J31" s="412"/>
      <c r="K31" s="308"/>
      <c r="L31" s="308"/>
      <c r="M31" s="305" t="s">
        <v>115</v>
      </c>
      <c r="N31" s="412" t="s">
        <v>127</v>
      </c>
      <c r="O31" s="302">
        <v>40000</v>
      </c>
      <c r="P31" s="302"/>
      <c r="Q31" s="296"/>
      <c r="R31" s="412"/>
      <c r="S31" s="214"/>
      <c r="T31" s="214"/>
      <c r="U31" s="295"/>
      <c r="V31" s="412"/>
      <c r="W31" s="300"/>
      <c r="X31" s="205"/>
    </row>
    <row r="32" spans="1:24" ht="16.149999999999999" customHeight="1" x14ac:dyDescent="0.2">
      <c r="A32" s="347"/>
      <c r="B32" s="346"/>
      <c r="C32" s="306">
        <f t="shared" si="0"/>
        <v>0</v>
      </c>
      <c r="D32" s="303"/>
      <c r="E32" s="412"/>
      <c r="F32" s="412"/>
      <c r="G32" s="304"/>
      <c r="H32" s="304"/>
      <c r="I32" s="307"/>
      <c r="J32" s="412"/>
      <c r="K32" s="308"/>
      <c r="L32" s="308"/>
      <c r="M32" s="305"/>
      <c r="N32" s="412"/>
      <c r="O32" s="302"/>
      <c r="P32" s="302"/>
      <c r="Q32" s="296"/>
      <c r="R32" s="412"/>
      <c r="S32" s="214"/>
      <c r="T32" s="214"/>
      <c r="U32" s="295"/>
      <c r="V32" s="412"/>
      <c r="W32" s="300"/>
      <c r="X32" s="205"/>
    </row>
    <row r="33" spans="1:24" ht="16.149999999999999" customHeight="1" x14ac:dyDescent="0.2">
      <c r="A33" s="347"/>
      <c r="B33" s="346"/>
      <c r="C33" s="306">
        <f t="shared" si="0"/>
        <v>0</v>
      </c>
      <c r="D33" s="303"/>
      <c r="E33" s="412"/>
      <c r="F33" s="412"/>
      <c r="G33" s="304"/>
      <c r="H33" s="304"/>
      <c r="I33" s="307"/>
      <c r="J33" s="412"/>
      <c r="K33" s="308"/>
      <c r="L33" s="308"/>
      <c r="M33" s="305"/>
      <c r="N33" s="412"/>
      <c r="O33" s="302"/>
      <c r="P33" s="302"/>
      <c r="Q33" s="296"/>
      <c r="R33" s="412"/>
      <c r="S33" s="214"/>
      <c r="T33" s="214"/>
      <c r="U33" s="295"/>
      <c r="V33" s="412"/>
      <c r="W33" s="300"/>
      <c r="X33" s="205"/>
    </row>
    <row r="34" spans="1:24" ht="16.149999999999999" customHeight="1" x14ac:dyDescent="0.2">
      <c r="A34" s="347"/>
      <c r="B34" s="346"/>
      <c r="C34" s="306">
        <f t="shared" si="0"/>
        <v>0</v>
      </c>
      <c r="D34" s="303"/>
      <c r="E34" s="412"/>
      <c r="F34" s="412"/>
      <c r="G34" s="304"/>
      <c r="H34" s="304"/>
      <c r="I34" s="307"/>
      <c r="J34" s="412"/>
      <c r="K34" s="308"/>
      <c r="L34" s="308"/>
      <c r="M34" s="305"/>
      <c r="N34" s="412"/>
      <c r="O34" s="302"/>
      <c r="P34" s="302"/>
      <c r="Q34" s="296"/>
      <c r="R34" s="412"/>
      <c r="S34" s="214"/>
      <c r="T34" s="214"/>
      <c r="U34" s="295"/>
      <c r="V34" s="412"/>
      <c r="W34" s="300"/>
      <c r="X34" s="205"/>
    </row>
    <row r="35" spans="1:24" ht="16.149999999999999" customHeight="1" x14ac:dyDescent="0.2">
      <c r="A35" s="347">
        <f>A31+1</f>
        <v>45054</v>
      </c>
      <c r="B35" s="346" t="str">
        <f>IF(WEEKDAY(A35)=1,"CN","T"&amp;WEEKDAY(A35))</f>
        <v>T2</v>
      </c>
      <c r="C35" s="306">
        <f t="shared" si="0"/>
        <v>78000</v>
      </c>
      <c r="D35" s="303" t="s">
        <v>115</v>
      </c>
      <c r="E35" s="412" t="s">
        <v>127</v>
      </c>
      <c r="F35" s="412"/>
      <c r="G35" s="304">
        <v>38000</v>
      </c>
      <c r="H35" s="304"/>
      <c r="I35" s="307"/>
      <c r="J35" s="412"/>
      <c r="K35" s="308"/>
      <c r="L35" s="308"/>
      <c r="M35" s="305" t="s">
        <v>115</v>
      </c>
      <c r="N35" s="412" t="s">
        <v>127</v>
      </c>
      <c r="O35" s="302">
        <v>40000</v>
      </c>
      <c r="P35" s="302"/>
      <c r="Q35" s="296"/>
      <c r="R35" s="412"/>
      <c r="S35" s="214"/>
      <c r="T35" s="214"/>
      <c r="U35" s="295"/>
      <c r="V35" s="412"/>
      <c r="W35" s="300"/>
      <c r="X35" s="205"/>
    </row>
    <row r="36" spans="1:24" ht="16.149999999999999" customHeight="1" x14ac:dyDescent="0.2">
      <c r="A36" s="347"/>
      <c r="B36" s="346"/>
      <c r="C36" s="306">
        <f t="shared" si="0"/>
        <v>0</v>
      </c>
      <c r="D36" s="303"/>
      <c r="E36" s="412"/>
      <c r="F36" s="412"/>
      <c r="G36" s="304"/>
      <c r="H36" s="304"/>
      <c r="I36" s="307"/>
      <c r="J36" s="412"/>
      <c r="K36" s="308"/>
      <c r="L36" s="308"/>
      <c r="M36" s="305"/>
      <c r="N36" s="412"/>
      <c r="O36" s="302"/>
      <c r="P36" s="302"/>
      <c r="Q36" s="296"/>
      <c r="R36" s="412"/>
      <c r="S36" s="214"/>
      <c r="T36" s="214"/>
      <c r="U36" s="295"/>
      <c r="V36" s="412"/>
      <c r="W36" s="300"/>
      <c r="X36" s="205"/>
    </row>
    <row r="37" spans="1:24" ht="16.149999999999999" customHeight="1" x14ac:dyDescent="0.2">
      <c r="A37" s="347"/>
      <c r="B37" s="346"/>
      <c r="C37" s="306">
        <f t="shared" si="0"/>
        <v>0</v>
      </c>
      <c r="D37" s="303"/>
      <c r="E37" s="412"/>
      <c r="F37" s="412"/>
      <c r="G37" s="304"/>
      <c r="H37" s="304"/>
      <c r="I37" s="307"/>
      <c r="J37" s="412"/>
      <c r="K37" s="308"/>
      <c r="L37" s="308"/>
      <c r="M37" s="305"/>
      <c r="N37" s="412"/>
      <c r="O37" s="302"/>
      <c r="P37" s="302"/>
      <c r="Q37" s="296"/>
      <c r="R37" s="412"/>
      <c r="S37" s="214"/>
      <c r="T37" s="214"/>
      <c r="U37" s="295"/>
      <c r="V37" s="412"/>
      <c r="W37" s="300"/>
      <c r="X37" s="205"/>
    </row>
    <row r="38" spans="1:24" ht="16.149999999999999" customHeight="1" x14ac:dyDescent="0.2">
      <c r="A38" s="347"/>
      <c r="B38" s="346"/>
      <c r="C38" s="306">
        <f t="shared" si="0"/>
        <v>0</v>
      </c>
      <c r="D38" s="303"/>
      <c r="E38" s="412"/>
      <c r="F38" s="412"/>
      <c r="G38" s="304"/>
      <c r="H38" s="304"/>
      <c r="I38" s="307"/>
      <c r="J38" s="412"/>
      <c r="K38" s="308"/>
      <c r="L38" s="308"/>
      <c r="M38" s="305"/>
      <c r="N38" s="412"/>
      <c r="O38" s="302"/>
      <c r="P38" s="302"/>
      <c r="Q38" s="296"/>
      <c r="R38" s="412"/>
      <c r="S38" s="214"/>
      <c r="T38" s="214"/>
      <c r="U38" s="295"/>
      <c r="V38" s="412"/>
      <c r="W38" s="300"/>
      <c r="X38" s="205"/>
    </row>
    <row r="39" spans="1:24" x14ac:dyDescent="0.2">
      <c r="A39" s="347">
        <f>A35+1</f>
        <v>45055</v>
      </c>
      <c r="B39" s="346" t="str">
        <f>IF(WEEKDAY(A39)=1,"CN","T"&amp;WEEKDAY(A39))</f>
        <v>T3</v>
      </c>
      <c r="C39" s="306">
        <f t="shared" ref="C39:C70" si="1">SUM(D39:S39)</f>
        <v>40000</v>
      </c>
      <c r="D39" s="303" t="s">
        <v>115</v>
      </c>
      <c r="E39" s="412" t="s">
        <v>127</v>
      </c>
      <c r="F39" s="412"/>
      <c r="G39" s="304">
        <v>20000</v>
      </c>
      <c r="H39" s="304"/>
      <c r="I39" s="307"/>
      <c r="J39" s="412"/>
      <c r="K39" s="308"/>
      <c r="L39" s="308"/>
      <c r="M39" s="305" t="s">
        <v>115</v>
      </c>
      <c r="N39" s="412" t="s">
        <v>127</v>
      </c>
      <c r="O39" s="302">
        <v>20000</v>
      </c>
      <c r="P39" s="302"/>
      <c r="Q39" s="296"/>
      <c r="R39" s="412"/>
      <c r="S39" s="214"/>
      <c r="T39" s="214"/>
      <c r="U39" s="295"/>
      <c r="V39" s="412"/>
      <c r="W39" s="300"/>
      <c r="X39" s="205"/>
    </row>
    <row r="40" spans="1:24" x14ac:dyDescent="0.2">
      <c r="A40" s="347"/>
      <c r="B40" s="346"/>
      <c r="C40" s="306">
        <f t="shared" si="1"/>
        <v>30000</v>
      </c>
      <c r="D40" s="303" t="s">
        <v>125</v>
      </c>
      <c r="E40" s="412" t="s">
        <v>135</v>
      </c>
      <c r="F40" s="412"/>
      <c r="G40" s="304">
        <v>15000</v>
      </c>
      <c r="H40" s="304"/>
      <c r="I40" s="307"/>
      <c r="J40" s="412"/>
      <c r="K40" s="308"/>
      <c r="L40" s="308"/>
      <c r="M40" s="305" t="s">
        <v>124</v>
      </c>
      <c r="N40" s="412" t="s">
        <v>134</v>
      </c>
      <c r="O40" s="302">
        <v>15000</v>
      </c>
      <c r="P40" s="302"/>
      <c r="Q40" s="296"/>
      <c r="R40" s="412"/>
      <c r="S40" s="214"/>
      <c r="T40" s="214"/>
      <c r="U40" s="295"/>
      <c r="V40" s="412"/>
      <c r="W40" s="300"/>
      <c r="X40" s="205"/>
    </row>
    <row r="41" spans="1:24" x14ac:dyDescent="0.2">
      <c r="A41" s="347"/>
      <c r="B41" s="346"/>
      <c r="C41" s="306">
        <f t="shared" si="1"/>
        <v>0</v>
      </c>
      <c r="D41" s="303"/>
      <c r="E41" s="412"/>
      <c r="F41" s="412"/>
      <c r="G41" s="304"/>
      <c r="H41" s="304"/>
      <c r="I41" s="307"/>
      <c r="J41" s="412"/>
      <c r="K41" s="308"/>
      <c r="L41" s="308"/>
      <c r="M41" s="305"/>
      <c r="N41" s="412"/>
      <c r="O41" s="302"/>
      <c r="P41" s="302"/>
      <c r="Q41" s="296"/>
      <c r="R41" s="412"/>
      <c r="S41" s="214"/>
      <c r="T41" s="214"/>
      <c r="U41" s="295"/>
      <c r="V41" s="412"/>
      <c r="W41" s="300"/>
      <c r="X41" s="205"/>
    </row>
    <row r="42" spans="1:24" x14ac:dyDescent="0.2">
      <c r="A42" s="347"/>
      <c r="B42" s="346"/>
      <c r="C42" s="306">
        <f t="shared" si="1"/>
        <v>0</v>
      </c>
      <c r="D42" s="303"/>
      <c r="E42" s="412"/>
      <c r="F42" s="412"/>
      <c r="G42" s="304"/>
      <c r="H42" s="304"/>
      <c r="I42" s="307"/>
      <c r="J42" s="412"/>
      <c r="K42" s="308"/>
      <c r="L42" s="308"/>
      <c r="M42" s="305"/>
      <c r="N42" s="412"/>
      <c r="O42" s="302"/>
      <c r="P42" s="302"/>
      <c r="Q42" s="296"/>
      <c r="R42" s="412"/>
      <c r="S42" s="214"/>
      <c r="T42" s="214"/>
      <c r="U42" s="295"/>
      <c r="V42" s="412"/>
      <c r="W42" s="300"/>
      <c r="X42" s="205"/>
    </row>
    <row r="43" spans="1:24" x14ac:dyDescent="0.2">
      <c r="A43" s="347">
        <f>A39+1</f>
        <v>45056</v>
      </c>
      <c r="B43" s="346" t="str">
        <f>IF(WEEKDAY(A43)=1,"CN","T"&amp;WEEKDAY(A43))</f>
        <v>T4</v>
      </c>
      <c r="C43" s="306">
        <f t="shared" si="1"/>
        <v>61000</v>
      </c>
      <c r="D43" s="303"/>
      <c r="E43" s="412"/>
      <c r="F43" s="412"/>
      <c r="G43" s="304"/>
      <c r="H43" s="304"/>
      <c r="I43" s="219" t="s">
        <v>138</v>
      </c>
      <c r="J43" s="413"/>
      <c r="K43" s="221"/>
      <c r="L43" s="221"/>
      <c r="M43" s="305" t="s">
        <v>124</v>
      </c>
      <c r="N43" s="412" t="s">
        <v>134</v>
      </c>
      <c r="O43" s="302">
        <v>40000</v>
      </c>
      <c r="P43" s="302"/>
      <c r="Q43" s="219" t="s">
        <v>137</v>
      </c>
      <c r="R43" s="413"/>
      <c r="S43" s="217">
        <f>1750*12</f>
        <v>21000</v>
      </c>
      <c r="T43" s="217"/>
      <c r="U43" s="295"/>
      <c r="V43" s="412"/>
      <c r="W43" s="300"/>
      <c r="X43" s="205"/>
    </row>
    <row r="44" spans="1:24" x14ac:dyDescent="0.2">
      <c r="A44" s="347"/>
      <c r="B44" s="346"/>
      <c r="C44" s="306">
        <f t="shared" si="1"/>
        <v>33250</v>
      </c>
      <c r="D44" s="303"/>
      <c r="E44" s="412"/>
      <c r="F44" s="412"/>
      <c r="G44" s="304"/>
      <c r="H44" s="304"/>
      <c r="I44" s="219"/>
      <c r="J44" s="413"/>
      <c r="K44" s="221">
        <f>1750*19</f>
        <v>33250</v>
      </c>
      <c r="L44" s="221"/>
      <c r="M44" s="305"/>
      <c r="N44" s="412"/>
      <c r="O44" s="302"/>
      <c r="P44" s="302"/>
      <c r="Q44" s="219"/>
      <c r="R44" s="413"/>
      <c r="S44" s="221"/>
      <c r="T44" s="221"/>
      <c r="U44" s="295"/>
      <c r="V44" s="412"/>
      <c r="W44" s="300"/>
      <c r="X44" s="205"/>
    </row>
    <row r="45" spans="1:24" x14ac:dyDescent="0.2">
      <c r="A45" s="347"/>
      <c r="B45" s="346"/>
      <c r="C45" s="306">
        <f t="shared" si="1"/>
        <v>0</v>
      </c>
      <c r="D45" s="303"/>
      <c r="E45" s="412"/>
      <c r="F45" s="412"/>
      <c r="G45" s="304"/>
      <c r="H45" s="304"/>
      <c r="I45" s="219"/>
      <c r="J45" s="413"/>
      <c r="K45" s="221"/>
      <c r="L45" s="221"/>
      <c r="M45" s="305"/>
      <c r="N45" s="412"/>
      <c r="O45" s="302"/>
      <c r="P45" s="302"/>
      <c r="Q45" s="219"/>
      <c r="R45" s="413"/>
      <c r="S45" s="221"/>
      <c r="T45" s="221"/>
      <c r="U45" s="295"/>
      <c r="V45" s="412"/>
      <c r="W45" s="300"/>
      <c r="X45" s="205"/>
    </row>
    <row r="46" spans="1:24" x14ac:dyDescent="0.2">
      <c r="A46" s="347"/>
      <c r="B46" s="346"/>
      <c r="C46" s="306">
        <f t="shared" si="1"/>
        <v>0</v>
      </c>
      <c r="D46" s="303"/>
      <c r="E46" s="412"/>
      <c r="F46" s="412"/>
      <c r="G46" s="304"/>
      <c r="H46" s="304"/>
      <c r="I46" s="219"/>
      <c r="J46" s="413"/>
      <c r="K46" s="221"/>
      <c r="L46" s="221"/>
      <c r="M46" s="305"/>
      <c r="N46" s="412"/>
      <c r="O46" s="302"/>
      <c r="P46" s="302"/>
      <c r="Q46" s="219"/>
      <c r="R46" s="413"/>
      <c r="S46" s="221"/>
      <c r="T46" s="221"/>
      <c r="U46" s="295"/>
      <c r="V46" s="412"/>
      <c r="W46" s="300"/>
      <c r="X46" s="205"/>
    </row>
    <row r="47" spans="1:24" x14ac:dyDescent="0.2">
      <c r="A47" s="347">
        <f>A43+1</f>
        <v>45057</v>
      </c>
      <c r="B47" s="346" t="str">
        <f>IF(WEEKDAY(A47)=1,"CN","T"&amp;WEEKDAY(A47))</f>
        <v>T5</v>
      </c>
      <c r="C47" s="306">
        <f t="shared" si="1"/>
        <v>40750</v>
      </c>
      <c r="D47" s="222" t="s">
        <v>125</v>
      </c>
      <c r="E47" s="413"/>
      <c r="F47" s="413"/>
      <c r="G47" s="221">
        <v>28000</v>
      </c>
      <c r="H47" s="221"/>
      <c r="I47" s="219" t="s">
        <v>138</v>
      </c>
      <c r="J47" s="413"/>
      <c r="K47" s="221">
        <v>2750</v>
      </c>
      <c r="L47" s="312"/>
      <c r="M47" s="348" t="s">
        <v>196</v>
      </c>
      <c r="N47" s="349"/>
      <c r="O47" s="350"/>
      <c r="P47" s="332"/>
      <c r="Q47" s="219" t="s">
        <v>137</v>
      </c>
      <c r="R47" s="413"/>
      <c r="S47" s="221">
        <v>10000</v>
      </c>
      <c r="T47" s="221"/>
      <c r="U47" s="295"/>
      <c r="V47" s="412"/>
      <c r="W47" s="300"/>
      <c r="X47" s="205"/>
    </row>
    <row r="48" spans="1:24" x14ac:dyDescent="0.2">
      <c r="A48" s="347"/>
      <c r="B48" s="346"/>
      <c r="C48" s="306">
        <f t="shared" si="1"/>
        <v>39000</v>
      </c>
      <c r="D48" s="222" t="s">
        <v>147</v>
      </c>
      <c r="E48" s="413"/>
      <c r="F48" s="413"/>
      <c r="G48" s="221">
        <v>8000</v>
      </c>
      <c r="H48" s="221"/>
      <c r="I48" s="219" t="s">
        <v>137</v>
      </c>
      <c r="J48" s="413"/>
      <c r="K48" s="221">
        <v>27000</v>
      </c>
      <c r="L48" s="313"/>
      <c r="M48" s="351"/>
      <c r="N48" s="352"/>
      <c r="O48" s="353"/>
      <c r="P48" s="333"/>
      <c r="Q48" s="219" t="s">
        <v>189</v>
      </c>
      <c r="R48" s="413" t="s">
        <v>187</v>
      </c>
      <c r="S48" s="221">
        <v>4000</v>
      </c>
      <c r="T48" s="221"/>
      <c r="U48" s="295"/>
      <c r="V48" s="412"/>
      <c r="W48" s="300"/>
      <c r="X48" s="205"/>
    </row>
    <row r="49" spans="1:24" x14ac:dyDescent="0.2">
      <c r="A49" s="347"/>
      <c r="B49" s="346"/>
      <c r="C49" s="306">
        <f t="shared" si="1"/>
        <v>9000</v>
      </c>
      <c r="D49" s="222"/>
      <c r="E49" s="413"/>
      <c r="F49" s="413"/>
      <c r="G49" s="221"/>
      <c r="H49" s="221"/>
      <c r="I49" s="219" t="s">
        <v>117</v>
      </c>
      <c r="J49" s="413"/>
      <c r="K49" s="221">
        <v>9000</v>
      </c>
      <c r="L49" s="313"/>
      <c r="M49" s="351"/>
      <c r="N49" s="352"/>
      <c r="O49" s="353"/>
      <c r="P49" s="333"/>
      <c r="Q49" s="219"/>
      <c r="R49" s="413"/>
      <c r="S49" s="221"/>
      <c r="T49" s="221"/>
      <c r="U49" s="295"/>
      <c r="V49" s="412"/>
      <c r="W49" s="300"/>
      <c r="X49" s="205"/>
    </row>
    <row r="50" spans="1:24" x14ac:dyDescent="0.2">
      <c r="A50" s="347"/>
      <c r="B50" s="346"/>
      <c r="C50" s="306">
        <f t="shared" si="1"/>
        <v>0</v>
      </c>
      <c r="D50" s="222"/>
      <c r="E50" s="413"/>
      <c r="F50" s="413"/>
      <c r="G50" s="221"/>
      <c r="H50" s="221"/>
      <c r="I50" s="219"/>
      <c r="J50" s="413"/>
      <c r="K50" s="221"/>
      <c r="L50" s="313"/>
      <c r="M50" s="351"/>
      <c r="N50" s="352"/>
      <c r="O50" s="353"/>
      <c r="P50" s="333"/>
      <c r="Q50" s="219"/>
      <c r="R50" s="413"/>
      <c r="S50" s="221"/>
      <c r="T50" s="221"/>
      <c r="U50" s="295"/>
      <c r="V50" s="412"/>
      <c r="W50" s="300"/>
      <c r="X50" s="205"/>
    </row>
    <row r="51" spans="1:24" x14ac:dyDescent="0.2">
      <c r="A51" s="347">
        <f>A47+1</f>
        <v>45058</v>
      </c>
      <c r="B51" s="346" t="str">
        <f>IF(WEEKDAY(A51)=1,"CN","T"&amp;WEEKDAY(A51))</f>
        <v>T6</v>
      </c>
      <c r="C51" s="306">
        <f t="shared" si="1"/>
        <v>78000</v>
      </c>
      <c r="D51" s="222" t="s">
        <v>147</v>
      </c>
      <c r="E51" s="413"/>
      <c r="F51" s="413"/>
      <c r="G51" s="221">
        <v>7000</v>
      </c>
      <c r="H51" s="221"/>
      <c r="I51" s="219" t="s">
        <v>117</v>
      </c>
      <c r="J51" s="413"/>
      <c r="K51" s="221">
        <v>33000</v>
      </c>
      <c r="L51" s="313"/>
      <c r="M51" s="351"/>
      <c r="N51" s="352"/>
      <c r="O51" s="353"/>
      <c r="P51" s="333"/>
      <c r="Q51" s="219" t="s">
        <v>189</v>
      </c>
      <c r="R51" s="413" t="s">
        <v>187</v>
      </c>
      <c r="S51" s="221">
        <v>38000</v>
      </c>
      <c r="T51" s="221"/>
      <c r="U51" s="295"/>
      <c r="V51" s="412"/>
      <c r="W51" s="300"/>
      <c r="X51" s="205"/>
    </row>
    <row r="52" spans="1:24" x14ac:dyDescent="0.2">
      <c r="A52" s="347"/>
      <c r="B52" s="346"/>
      <c r="C52" s="306">
        <f t="shared" si="1"/>
        <v>21500</v>
      </c>
      <c r="D52" s="222" t="s">
        <v>136</v>
      </c>
      <c r="E52" s="413"/>
      <c r="F52" s="413"/>
      <c r="G52" s="221">
        <v>12500</v>
      </c>
      <c r="H52" s="221"/>
      <c r="I52" s="219" t="s">
        <v>105</v>
      </c>
      <c r="J52" s="413" t="s">
        <v>164</v>
      </c>
      <c r="K52" s="221">
        <v>9000</v>
      </c>
      <c r="L52" s="313"/>
      <c r="M52" s="351"/>
      <c r="N52" s="352"/>
      <c r="O52" s="353"/>
      <c r="P52" s="333"/>
      <c r="Q52" s="219"/>
      <c r="R52" s="413"/>
      <c r="S52" s="221"/>
      <c r="T52" s="221"/>
      <c r="U52" s="295"/>
      <c r="V52" s="412"/>
      <c r="W52" s="300"/>
      <c r="X52" s="205"/>
    </row>
    <row r="53" spans="1:24" x14ac:dyDescent="0.2">
      <c r="A53" s="347"/>
      <c r="B53" s="346"/>
      <c r="C53" s="306">
        <f t="shared" si="1"/>
        <v>500</v>
      </c>
      <c r="D53" s="303" t="s">
        <v>148</v>
      </c>
      <c r="E53" s="412" t="s">
        <v>149</v>
      </c>
      <c r="F53" s="412"/>
      <c r="G53" s="304">
        <v>500</v>
      </c>
      <c r="H53" s="304"/>
      <c r="I53" s="219"/>
      <c r="J53" s="413"/>
      <c r="K53" s="221"/>
      <c r="L53" s="313"/>
      <c r="M53" s="351"/>
      <c r="N53" s="352"/>
      <c r="O53" s="353"/>
      <c r="P53" s="333"/>
      <c r="Q53" s="219"/>
      <c r="R53" s="413"/>
      <c r="S53" s="221"/>
      <c r="T53" s="221"/>
      <c r="U53" s="295"/>
      <c r="V53" s="412"/>
      <c r="W53" s="300"/>
      <c r="X53" s="205"/>
    </row>
    <row r="54" spans="1:24" x14ac:dyDescent="0.2">
      <c r="A54" s="347"/>
      <c r="B54" s="346"/>
      <c r="C54" s="306">
        <f t="shared" si="1"/>
        <v>5000</v>
      </c>
      <c r="D54" s="303" t="s">
        <v>124</v>
      </c>
      <c r="E54" s="412" t="s">
        <v>174</v>
      </c>
      <c r="F54" s="412"/>
      <c r="G54" s="304">
        <v>5000</v>
      </c>
      <c r="H54" s="304"/>
      <c r="I54" s="219"/>
      <c r="J54" s="413"/>
      <c r="K54" s="221"/>
      <c r="L54" s="313"/>
      <c r="M54" s="351"/>
      <c r="N54" s="352"/>
      <c r="O54" s="353"/>
      <c r="P54" s="333"/>
      <c r="Q54" s="219"/>
      <c r="R54" s="413"/>
      <c r="S54" s="221"/>
      <c r="T54" s="221"/>
      <c r="U54" s="295"/>
      <c r="V54" s="412"/>
      <c r="W54" s="300"/>
      <c r="X54" s="205"/>
    </row>
    <row r="55" spans="1:24" x14ac:dyDescent="0.2">
      <c r="A55" s="347">
        <f>A51+1</f>
        <v>45059</v>
      </c>
      <c r="B55" s="346" t="str">
        <f>IF(WEEKDAY(A55)=1,"CN","T"&amp;WEEKDAY(A55))</f>
        <v>T7</v>
      </c>
      <c r="C55" s="306">
        <f t="shared" si="1"/>
        <v>84000</v>
      </c>
      <c r="D55" s="303" t="s">
        <v>124</v>
      </c>
      <c r="E55" s="412"/>
      <c r="F55" s="412"/>
      <c r="G55" s="304">
        <v>41000</v>
      </c>
      <c r="H55" s="304"/>
      <c r="I55" s="219" t="s">
        <v>105</v>
      </c>
      <c r="J55" s="413" t="s">
        <v>164</v>
      </c>
      <c r="K55" s="221">
        <v>5000</v>
      </c>
      <c r="L55" s="313"/>
      <c r="M55" s="351"/>
      <c r="N55" s="352"/>
      <c r="O55" s="353"/>
      <c r="P55" s="333"/>
      <c r="Q55" s="219" t="s">
        <v>189</v>
      </c>
      <c r="R55" s="413" t="s">
        <v>187</v>
      </c>
      <c r="S55" s="221">
        <v>38000</v>
      </c>
      <c r="T55" s="221"/>
      <c r="U55" s="295"/>
      <c r="V55" s="412"/>
      <c r="W55" s="300"/>
      <c r="X55" s="205"/>
    </row>
    <row r="56" spans="1:24" x14ac:dyDescent="0.2">
      <c r="A56" s="347"/>
      <c r="B56" s="346"/>
      <c r="C56" s="306">
        <f t="shared" si="1"/>
        <v>36000</v>
      </c>
      <c r="D56" s="303"/>
      <c r="E56" s="412"/>
      <c r="F56" s="412"/>
      <c r="G56" s="304"/>
      <c r="H56" s="304"/>
      <c r="I56" s="219" t="s">
        <v>105</v>
      </c>
      <c r="J56" s="413" t="s">
        <v>179</v>
      </c>
      <c r="K56" s="221">
        <f>41000-K55</f>
        <v>36000</v>
      </c>
      <c r="L56" s="313"/>
      <c r="M56" s="351"/>
      <c r="N56" s="352"/>
      <c r="O56" s="353"/>
      <c r="P56" s="333"/>
      <c r="Q56" s="219"/>
      <c r="R56" s="413"/>
      <c r="S56" s="221"/>
      <c r="T56" s="221"/>
      <c r="U56" s="219" t="s">
        <v>115</v>
      </c>
      <c r="V56" s="413" t="s">
        <v>128</v>
      </c>
      <c r="W56" s="294">
        <v>88000</v>
      </c>
      <c r="X56" s="221"/>
    </row>
    <row r="57" spans="1:24" x14ac:dyDescent="0.2">
      <c r="A57" s="347"/>
      <c r="B57" s="346"/>
      <c r="C57" s="306">
        <f t="shared" si="1"/>
        <v>0</v>
      </c>
      <c r="D57" s="303"/>
      <c r="E57" s="412"/>
      <c r="F57" s="412"/>
      <c r="G57" s="304"/>
      <c r="H57" s="304"/>
      <c r="I57" s="219"/>
      <c r="J57" s="413"/>
      <c r="K57" s="221"/>
      <c r="L57" s="313"/>
      <c r="M57" s="351"/>
      <c r="N57" s="352"/>
      <c r="O57" s="353"/>
      <c r="P57" s="333"/>
      <c r="Q57" s="219"/>
      <c r="R57" s="413"/>
      <c r="S57" s="221"/>
      <c r="T57" s="221"/>
      <c r="U57" s="219"/>
      <c r="V57" s="413"/>
      <c r="W57" s="294"/>
      <c r="X57" s="221"/>
    </row>
    <row r="58" spans="1:24" x14ac:dyDescent="0.2">
      <c r="A58" s="347"/>
      <c r="B58" s="346"/>
      <c r="C58" s="306">
        <f t="shared" si="1"/>
        <v>0</v>
      </c>
      <c r="D58" s="303"/>
      <c r="E58" s="412"/>
      <c r="F58" s="412"/>
      <c r="G58" s="304"/>
      <c r="H58" s="304"/>
      <c r="I58" s="219"/>
      <c r="J58" s="413"/>
      <c r="K58" s="221"/>
      <c r="L58" s="313"/>
      <c r="M58" s="351"/>
      <c r="N58" s="352"/>
      <c r="O58" s="353"/>
      <c r="P58" s="333"/>
      <c r="Q58" s="219"/>
      <c r="R58" s="413"/>
      <c r="S58" s="221"/>
      <c r="T58" s="221"/>
      <c r="U58" s="219"/>
      <c r="V58" s="413"/>
      <c r="W58" s="294"/>
      <c r="X58" s="221"/>
    </row>
    <row r="59" spans="1:24" x14ac:dyDescent="0.2">
      <c r="A59" s="347">
        <f>A55+1</f>
        <v>45060</v>
      </c>
      <c r="B59" s="346" t="str">
        <f>IF(WEEKDAY(A59)=1,"CN","T"&amp;WEEKDAY(A59))</f>
        <v>CN</v>
      </c>
      <c r="C59" s="306">
        <f t="shared" si="1"/>
        <v>89000</v>
      </c>
      <c r="D59" s="303" t="s">
        <v>124</v>
      </c>
      <c r="E59" s="412" t="s">
        <v>150</v>
      </c>
      <c r="F59" s="412"/>
      <c r="G59" s="304">
        <v>10000</v>
      </c>
      <c r="H59" s="304"/>
      <c r="I59" s="219" t="s">
        <v>105</v>
      </c>
      <c r="J59" s="413" t="s">
        <v>179</v>
      </c>
      <c r="K59" s="221">
        <v>41000</v>
      </c>
      <c r="L59" s="313"/>
      <c r="M59" s="351"/>
      <c r="N59" s="352"/>
      <c r="O59" s="353"/>
      <c r="P59" s="333"/>
      <c r="Q59" s="219" t="s">
        <v>189</v>
      </c>
      <c r="R59" s="413" t="s">
        <v>187</v>
      </c>
      <c r="S59" s="221">
        <v>38000</v>
      </c>
      <c r="T59" s="221"/>
      <c r="U59" s="219"/>
      <c r="V59" s="413"/>
      <c r="W59" s="294"/>
      <c r="X59" s="221"/>
    </row>
    <row r="60" spans="1:24" x14ac:dyDescent="0.2">
      <c r="A60" s="347"/>
      <c r="B60" s="346"/>
      <c r="C60" s="306">
        <f t="shared" si="1"/>
        <v>21000</v>
      </c>
      <c r="D60" s="303" t="s">
        <v>121</v>
      </c>
      <c r="E60" s="412"/>
      <c r="F60" s="412"/>
      <c r="G60" s="304">
        <v>21000</v>
      </c>
      <c r="H60" s="304"/>
      <c r="I60" s="219"/>
      <c r="J60" s="413"/>
      <c r="K60" s="221"/>
      <c r="L60" s="313"/>
      <c r="M60" s="351"/>
      <c r="N60" s="352"/>
      <c r="O60" s="353"/>
      <c r="P60" s="333"/>
      <c r="Q60" s="219"/>
      <c r="R60" s="413"/>
      <c r="S60" s="221"/>
      <c r="T60" s="221"/>
      <c r="U60" s="219"/>
      <c r="V60" s="413"/>
      <c r="W60" s="294"/>
      <c r="X60" s="221"/>
    </row>
    <row r="61" spans="1:24" x14ac:dyDescent="0.2">
      <c r="A61" s="347"/>
      <c r="B61" s="346"/>
      <c r="C61" s="306">
        <f t="shared" si="1"/>
        <v>0</v>
      </c>
      <c r="D61" s="303"/>
      <c r="E61" s="412"/>
      <c r="F61" s="412"/>
      <c r="G61" s="304"/>
      <c r="H61" s="304"/>
      <c r="I61" s="219"/>
      <c r="J61" s="413"/>
      <c r="K61" s="221"/>
      <c r="L61" s="313"/>
      <c r="M61" s="351"/>
      <c r="N61" s="352"/>
      <c r="O61" s="353"/>
      <c r="P61" s="333"/>
      <c r="Q61" s="219"/>
      <c r="R61" s="413"/>
      <c r="S61" s="221"/>
      <c r="T61" s="221"/>
      <c r="U61" s="219"/>
      <c r="V61" s="413"/>
      <c r="W61" s="294"/>
      <c r="X61" s="221"/>
    </row>
    <row r="62" spans="1:24" x14ac:dyDescent="0.2">
      <c r="A62" s="347"/>
      <c r="B62" s="346"/>
      <c r="C62" s="306">
        <f t="shared" si="1"/>
        <v>0</v>
      </c>
      <c r="D62" s="303"/>
      <c r="E62" s="412"/>
      <c r="F62" s="412"/>
      <c r="G62" s="304"/>
      <c r="H62" s="304"/>
      <c r="I62" s="219"/>
      <c r="J62" s="413"/>
      <c r="K62" s="221"/>
      <c r="L62" s="313"/>
      <c r="M62" s="351"/>
      <c r="N62" s="352"/>
      <c r="O62" s="353"/>
      <c r="P62" s="333"/>
      <c r="Q62" s="219"/>
      <c r="R62" s="413"/>
      <c r="S62" s="221"/>
      <c r="T62" s="221"/>
      <c r="U62" s="219"/>
      <c r="V62" s="413"/>
      <c r="W62" s="294"/>
      <c r="X62" s="221"/>
    </row>
    <row r="63" spans="1:24" x14ac:dyDescent="0.2">
      <c r="A63" s="347">
        <f>A59+1</f>
        <v>45061</v>
      </c>
      <c r="B63" s="346" t="str">
        <f>IF(WEEKDAY(A63)=1,"CN","T"&amp;WEEKDAY(A63))</f>
        <v>T2</v>
      </c>
      <c r="C63" s="306">
        <f t="shared" si="1"/>
        <v>62000</v>
      </c>
      <c r="D63" s="303" t="s">
        <v>121</v>
      </c>
      <c r="E63" s="412"/>
      <c r="F63" s="412"/>
      <c r="G63" s="304">
        <v>3000</v>
      </c>
      <c r="H63" s="304"/>
      <c r="I63" s="219" t="s">
        <v>105</v>
      </c>
      <c r="J63" s="413" t="s">
        <v>179</v>
      </c>
      <c r="K63" s="221">
        <v>41000</v>
      </c>
      <c r="L63" s="313"/>
      <c r="M63" s="351"/>
      <c r="N63" s="352"/>
      <c r="O63" s="353"/>
      <c r="P63" s="333"/>
      <c r="Q63" s="219" t="s">
        <v>189</v>
      </c>
      <c r="R63" s="413" t="s">
        <v>187</v>
      </c>
      <c r="S63" s="221">
        <v>18000</v>
      </c>
      <c r="T63" s="221"/>
      <c r="U63" s="219" t="s">
        <v>115</v>
      </c>
      <c r="V63" s="413" t="s">
        <v>128</v>
      </c>
      <c r="W63" s="294">
        <v>88000</v>
      </c>
      <c r="X63" s="221"/>
    </row>
    <row r="64" spans="1:24" x14ac:dyDescent="0.2">
      <c r="A64" s="347"/>
      <c r="B64" s="346"/>
      <c r="C64" s="306">
        <f t="shared" si="1"/>
        <v>53000</v>
      </c>
      <c r="D64" s="222" t="s">
        <v>125</v>
      </c>
      <c r="E64" s="413" t="s">
        <v>175</v>
      </c>
      <c r="F64" s="413"/>
      <c r="G64" s="221">
        <f>38000-G63</f>
        <v>35000</v>
      </c>
      <c r="H64" s="221"/>
      <c r="I64" s="219"/>
      <c r="J64" s="413"/>
      <c r="K64" s="221"/>
      <c r="L64" s="313"/>
      <c r="M64" s="351"/>
      <c r="N64" s="352"/>
      <c r="O64" s="353"/>
      <c r="P64" s="333"/>
      <c r="Q64" s="219" t="s">
        <v>143</v>
      </c>
      <c r="R64" s="413"/>
      <c r="S64" s="221">
        <v>18000</v>
      </c>
      <c r="T64" s="221"/>
      <c r="U64" s="219"/>
      <c r="V64" s="413"/>
      <c r="W64" s="294"/>
      <c r="X64" s="221"/>
    </row>
    <row r="65" spans="1:24" x14ac:dyDescent="0.2">
      <c r="A65" s="347"/>
      <c r="B65" s="346"/>
      <c r="C65" s="306">
        <f t="shared" si="1"/>
        <v>0</v>
      </c>
      <c r="D65" s="222"/>
      <c r="E65" s="413"/>
      <c r="F65" s="413"/>
      <c r="G65" s="221"/>
      <c r="H65" s="221"/>
      <c r="I65" s="219"/>
      <c r="J65" s="413"/>
      <c r="K65" s="221"/>
      <c r="L65" s="313"/>
      <c r="M65" s="351"/>
      <c r="N65" s="352"/>
      <c r="O65" s="353"/>
      <c r="P65" s="333"/>
      <c r="Q65" s="219" t="s">
        <v>195</v>
      </c>
      <c r="R65" s="413"/>
      <c r="S65" s="221"/>
      <c r="T65" s="221"/>
      <c r="U65" s="219"/>
      <c r="V65" s="413"/>
      <c r="W65" s="294"/>
      <c r="X65" s="221"/>
    </row>
    <row r="66" spans="1:24" x14ac:dyDescent="0.2">
      <c r="A66" s="347"/>
      <c r="B66" s="346"/>
      <c r="C66" s="306">
        <f t="shared" si="1"/>
        <v>0</v>
      </c>
      <c r="D66" s="222"/>
      <c r="E66" s="413"/>
      <c r="F66" s="413"/>
      <c r="G66" s="221"/>
      <c r="H66" s="221"/>
      <c r="I66" s="219"/>
      <c r="J66" s="413"/>
      <c r="K66" s="221"/>
      <c r="L66" s="313"/>
      <c r="M66" s="351"/>
      <c r="N66" s="352"/>
      <c r="O66" s="353"/>
      <c r="P66" s="333"/>
      <c r="Q66" s="219"/>
      <c r="R66" s="413"/>
      <c r="S66" s="221"/>
      <c r="T66" s="221"/>
      <c r="U66" s="219"/>
      <c r="V66" s="413"/>
      <c r="W66" s="294"/>
      <c r="X66" s="221"/>
    </row>
    <row r="67" spans="1:24" x14ac:dyDescent="0.2">
      <c r="A67" s="347">
        <f>A63+1</f>
        <v>45062</v>
      </c>
      <c r="B67" s="346" t="str">
        <f>IF(WEEKDAY(A67)=1,"CN","T"&amp;WEEKDAY(A67))</f>
        <v>T3</v>
      </c>
      <c r="C67" s="306">
        <f t="shared" si="1"/>
        <v>91000</v>
      </c>
      <c r="D67" s="222" t="s">
        <v>125</v>
      </c>
      <c r="E67" s="413" t="s">
        <v>175</v>
      </c>
      <c r="F67" s="413"/>
      <c r="G67" s="221">
        <v>38000</v>
      </c>
      <c r="H67" s="221"/>
      <c r="I67" s="219" t="s">
        <v>105</v>
      </c>
      <c r="J67" s="413" t="s">
        <v>179</v>
      </c>
      <c r="K67" s="221">
        <v>41000</v>
      </c>
      <c r="L67" s="313"/>
      <c r="M67" s="351"/>
      <c r="N67" s="352"/>
      <c r="O67" s="353"/>
      <c r="P67" s="333"/>
      <c r="Q67" s="219" t="s">
        <v>189</v>
      </c>
      <c r="R67" s="413" t="s">
        <v>187</v>
      </c>
      <c r="S67" s="221">
        <v>12000</v>
      </c>
      <c r="T67" s="221"/>
      <c r="U67" s="219" t="s">
        <v>115</v>
      </c>
      <c r="V67" s="413" t="s">
        <v>128</v>
      </c>
      <c r="W67" s="294">
        <v>40000</v>
      </c>
      <c r="X67" s="221"/>
    </row>
    <row r="68" spans="1:24" x14ac:dyDescent="0.2">
      <c r="A68" s="347"/>
      <c r="B68" s="346"/>
      <c r="C68" s="306">
        <f t="shared" si="1"/>
        <v>26000</v>
      </c>
      <c r="D68" s="222"/>
      <c r="E68" s="413"/>
      <c r="F68" s="413"/>
      <c r="G68" s="221"/>
      <c r="H68" s="221"/>
      <c r="I68" s="219"/>
      <c r="J68" s="413"/>
      <c r="K68" s="221"/>
      <c r="L68" s="313"/>
      <c r="M68" s="351"/>
      <c r="N68" s="352"/>
      <c r="O68" s="353"/>
      <c r="P68" s="333"/>
      <c r="Q68" s="219" t="s">
        <v>143</v>
      </c>
      <c r="R68" s="413" t="s">
        <v>187</v>
      </c>
      <c r="S68" s="221">
        <f>38000-S67</f>
        <v>26000</v>
      </c>
      <c r="T68" s="221"/>
      <c r="U68" s="219" t="s">
        <v>124</v>
      </c>
      <c r="V68" s="413" t="s">
        <v>169</v>
      </c>
      <c r="W68" s="294">
        <v>48000</v>
      </c>
      <c r="X68" s="221"/>
    </row>
    <row r="69" spans="1:24" x14ac:dyDescent="0.2">
      <c r="A69" s="347"/>
      <c r="B69" s="346"/>
      <c r="C69" s="306">
        <f t="shared" si="1"/>
        <v>0</v>
      </c>
      <c r="D69" s="222"/>
      <c r="E69" s="413"/>
      <c r="F69" s="413"/>
      <c r="G69" s="221"/>
      <c r="H69" s="221"/>
      <c r="I69" s="219"/>
      <c r="J69" s="413"/>
      <c r="K69" s="221"/>
      <c r="L69" s="313"/>
      <c r="M69" s="351"/>
      <c r="N69" s="352"/>
      <c r="O69" s="353"/>
      <c r="P69" s="333"/>
      <c r="Q69" s="219"/>
      <c r="R69" s="413"/>
      <c r="S69" s="221"/>
      <c r="T69" s="221"/>
      <c r="U69" s="219"/>
      <c r="V69" s="413"/>
      <c r="W69" s="294"/>
      <c r="X69" s="221"/>
    </row>
    <row r="70" spans="1:24" x14ac:dyDescent="0.2">
      <c r="A70" s="347"/>
      <c r="B70" s="346"/>
      <c r="C70" s="306">
        <f t="shared" si="1"/>
        <v>0</v>
      </c>
      <c r="D70" s="222"/>
      <c r="E70" s="413"/>
      <c r="F70" s="413"/>
      <c r="G70" s="221"/>
      <c r="H70" s="221"/>
      <c r="I70" s="219"/>
      <c r="J70" s="413"/>
      <c r="K70" s="221"/>
      <c r="L70" s="313"/>
      <c r="M70" s="351"/>
      <c r="N70" s="352"/>
      <c r="O70" s="353"/>
      <c r="P70" s="333"/>
      <c r="Q70" s="219"/>
      <c r="R70" s="413"/>
      <c r="S70" s="221"/>
      <c r="T70" s="221"/>
      <c r="U70" s="219"/>
      <c r="V70" s="413"/>
      <c r="W70" s="294"/>
      <c r="X70" s="221"/>
    </row>
    <row r="71" spans="1:24" ht="16.149999999999999" customHeight="1" x14ac:dyDescent="0.2">
      <c r="A71" s="347">
        <f>A67+1</f>
        <v>45063</v>
      </c>
      <c r="B71" s="346" t="str">
        <f>IF(WEEKDAY(A71)=1,"CN","T"&amp;WEEKDAY(A71))</f>
        <v>T4</v>
      </c>
      <c r="C71" s="306">
        <f t="shared" ref="C71:C102" si="2">SUM(D71:S71)</f>
        <v>76000</v>
      </c>
      <c r="D71" s="222" t="s">
        <v>125</v>
      </c>
      <c r="E71" s="413" t="s">
        <v>175</v>
      </c>
      <c r="F71" s="413"/>
      <c r="G71" s="221">
        <f>108000-G67-G64</f>
        <v>35000</v>
      </c>
      <c r="H71" s="221"/>
      <c r="I71" s="219" t="s">
        <v>105</v>
      </c>
      <c r="J71" s="413" t="s">
        <v>179</v>
      </c>
      <c r="K71" s="221">
        <v>3000</v>
      </c>
      <c r="L71" s="313"/>
      <c r="M71" s="351"/>
      <c r="N71" s="352"/>
      <c r="O71" s="353"/>
      <c r="P71" s="333"/>
      <c r="Q71" s="219" t="s">
        <v>143</v>
      </c>
      <c r="R71" s="413" t="s">
        <v>187</v>
      </c>
      <c r="S71" s="221">
        <v>38000</v>
      </c>
      <c r="T71" s="221"/>
      <c r="U71" s="219"/>
      <c r="V71" s="413"/>
      <c r="W71" s="294"/>
      <c r="X71" s="221"/>
    </row>
    <row r="72" spans="1:24" ht="16.149999999999999" customHeight="1" x14ac:dyDescent="0.2">
      <c r="A72" s="347"/>
      <c r="B72" s="346"/>
      <c r="C72" s="306">
        <f t="shared" si="2"/>
        <v>41000</v>
      </c>
      <c r="D72" s="278" t="s">
        <v>104</v>
      </c>
      <c r="E72" s="414" t="s">
        <v>193</v>
      </c>
      <c r="F72" s="414"/>
      <c r="G72" s="259">
        <v>3000</v>
      </c>
      <c r="H72" s="259"/>
      <c r="I72" s="219" t="s">
        <v>105</v>
      </c>
      <c r="J72" s="413" t="s">
        <v>182</v>
      </c>
      <c r="K72" s="221">
        <v>38000</v>
      </c>
      <c r="L72" s="313"/>
      <c r="M72" s="351"/>
      <c r="N72" s="352"/>
      <c r="O72" s="353"/>
      <c r="P72" s="333"/>
      <c r="Q72" s="219"/>
      <c r="R72" s="413"/>
      <c r="S72" s="221"/>
      <c r="T72" s="221"/>
      <c r="U72" s="219"/>
      <c r="V72" s="413"/>
      <c r="W72" s="294"/>
      <c r="X72" s="221"/>
    </row>
    <row r="73" spans="1:24" ht="16.149999999999999" customHeight="1" x14ac:dyDescent="0.2">
      <c r="A73" s="347"/>
      <c r="B73" s="346"/>
      <c r="C73" s="306">
        <f t="shared" si="2"/>
        <v>0</v>
      </c>
      <c r="D73" s="278"/>
      <c r="E73" s="414"/>
      <c r="F73" s="414"/>
      <c r="G73" s="259"/>
      <c r="H73" s="259"/>
      <c r="I73" s="219"/>
      <c r="J73" s="413"/>
      <c r="K73" s="221"/>
      <c r="L73" s="313"/>
      <c r="M73" s="351"/>
      <c r="N73" s="352"/>
      <c r="O73" s="353"/>
      <c r="P73" s="333"/>
      <c r="Q73" s="219"/>
      <c r="R73" s="413"/>
      <c r="S73" s="221"/>
      <c r="T73" s="221"/>
      <c r="U73" s="219"/>
      <c r="V73" s="413"/>
      <c r="W73" s="294"/>
      <c r="X73" s="221"/>
    </row>
    <row r="74" spans="1:24" ht="16.149999999999999" customHeight="1" x14ac:dyDescent="0.2">
      <c r="A74" s="347"/>
      <c r="B74" s="346"/>
      <c r="C74" s="306">
        <f t="shared" si="2"/>
        <v>0</v>
      </c>
      <c r="D74" s="278"/>
      <c r="E74" s="414"/>
      <c r="F74" s="414"/>
      <c r="G74" s="259"/>
      <c r="H74" s="259"/>
      <c r="I74" s="219"/>
      <c r="J74" s="413"/>
      <c r="K74" s="221"/>
      <c r="L74" s="314"/>
      <c r="M74" s="354"/>
      <c r="N74" s="355"/>
      <c r="O74" s="356"/>
      <c r="P74" s="334"/>
      <c r="Q74" s="219"/>
      <c r="R74" s="413"/>
      <c r="S74" s="221"/>
      <c r="T74" s="221"/>
      <c r="U74" s="219"/>
      <c r="V74" s="413"/>
      <c r="W74" s="294"/>
      <c r="X74" s="221"/>
    </row>
    <row r="75" spans="1:24" ht="16.149999999999999" customHeight="1" x14ac:dyDescent="0.2">
      <c r="A75" s="347">
        <f>A71+1</f>
        <v>45064</v>
      </c>
      <c r="B75" s="346" t="str">
        <f>IF(WEEKDAY(A75)=1,"CN","T"&amp;WEEKDAY(A75))</f>
        <v>T5</v>
      </c>
      <c r="C75" s="306">
        <f t="shared" si="2"/>
        <v>56000</v>
      </c>
      <c r="D75" s="278"/>
      <c r="E75" s="414"/>
      <c r="F75" s="414"/>
      <c r="G75" s="259"/>
      <c r="H75" s="259"/>
      <c r="I75" s="219" t="s">
        <v>105</v>
      </c>
      <c r="J75" s="413" t="s">
        <v>182</v>
      </c>
      <c r="K75" s="221">
        <v>41000</v>
      </c>
      <c r="L75" s="221"/>
      <c r="M75" s="305" t="s">
        <v>205</v>
      </c>
      <c r="N75" s="412" t="s">
        <v>206</v>
      </c>
      <c r="O75" s="302">
        <v>15000</v>
      </c>
      <c r="P75" s="302"/>
      <c r="Q75" s="219"/>
      <c r="R75" s="413"/>
      <c r="S75" s="221"/>
      <c r="T75" s="221"/>
      <c r="U75" s="219"/>
      <c r="V75" s="413"/>
      <c r="W75" s="294"/>
      <c r="X75" s="221"/>
    </row>
    <row r="76" spans="1:24" ht="16.149999999999999" customHeight="1" x14ac:dyDescent="0.2">
      <c r="A76" s="347"/>
      <c r="B76" s="346"/>
      <c r="C76" s="306">
        <f t="shared" si="2"/>
        <v>59000</v>
      </c>
      <c r="D76" s="278" t="s">
        <v>104</v>
      </c>
      <c r="E76" s="414" t="s">
        <v>193</v>
      </c>
      <c r="F76" s="414"/>
      <c r="G76" s="259">
        <v>21000</v>
      </c>
      <c r="H76" s="259"/>
      <c r="I76" s="219"/>
      <c r="J76" s="413"/>
      <c r="K76" s="221"/>
      <c r="L76" s="221"/>
      <c r="M76" s="305"/>
      <c r="N76" s="412"/>
      <c r="O76" s="302"/>
      <c r="P76" s="302"/>
      <c r="Q76" s="219" t="s">
        <v>143</v>
      </c>
      <c r="R76" s="413" t="s">
        <v>187</v>
      </c>
      <c r="S76" s="221">
        <v>38000</v>
      </c>
      <c r="T76" s="221"/>
      <c r="U76" s="219"/>
      <c r="V76" s="413"/>
      <c r="W76" s="294"/>
      <c r="X76" s="221"/>
    </row>
    <row r="77" spans="1:24" ht="16.149999999999999" customHeight="1" x14ac:dyDescent="0.2">
      <c r="A77" s="347"/>
      <c r="B77" s="346"/>
      <c r="C77" s="306">
        <f t="shared" si="2"/>
        <v>17000</v>
      </c>
      <c r="D77" s="222" t="s">
        <v>141</v>
      </c>
      <c r="E77" s="413"/>
      <c r="F77" s="413"/>
      <c r="G77" s="221">
        <f>38000-G76</f>
        <v>17000</v>
      </c>
      <c r="H77" s="221"/>
      <c r="I77" s="219"/>
      <c r="J77" s="413"/>
      <c r="K77" s="221"/>
      <c r="L77" s="221"/>
      <c r="M77" s="305"/>
      <c r="N77" s="412"/>
      <c r="O77" s="302"/>
      <c r="P77" s="302"/>
      <c r="Q77" s="219"/>
      <c r="R77" s="413"/>
      <c r="S77" s="221"/>
      <c r="T77" s="221"/>
      <c r="U77" s="219"/>
      <c r="V77" s="413"/>
      <c r="W77" s="294"/>
      <c r="X77" s="221"/>
    </row>
    <row r="78" spans="1:24" ht="16.149999999999999" customHeight="1" x14ac:dyDescent="0.2">
      <c r="A78" s="347"/>
      <c r="B78" s="346"/>
      <c r="C78" s="306">
        <f t="shared" si="2"/>
        <v>0</v>
      </c>
      <c r="D78" s="222"/>
      <c r="E78" s="413"/>
      <c r="F78" s="413"/>
      <c r="G78" s="221"/>
      <c r="H78" s="221"/>
      <c r="I78" s="219"/>
      <c r="J78" s="413"/>
      <c r="K78" s="221"/>
      <c r="L78" s="221"/>
      <c r="M78" s="305"/>
      <c r="N78" s="412"/>
      <c r="O78" s="302"/>
      <c r="P78" s="302"/>
      <c r="Q78" s="219"/>
      <c r="R78" s="413"/>
      <c r="S78" s="221"/>
      <c r="T78" s="221"/>
      <c r="U78" s="219"/>
      <c r="V78" s="413"/>
      <c r="W78" s="294"/>
      <c r="X78" s="221"/>
    </row>
    <row r="79" spans="1:24" ht="16.149999999999999" customHeight="1" x14ac:dyDescent="0.2">
      <c r="A79" s="347">
        <f>A75+1</f>
        <v>45065</v>
      </c>
      <c r="B79" s="346" t="str">
        <f>IF(WEEKDAY(A79)=1,"CN","T"&amp;WEEKDAY(A79))</f>
        <v>T6</v>
      </c>
      <c r="C79" s="306">
        <f t="shared" si="2"/>
        <v>90000</v>
      </c>
      <c r="D79" s="222" t="s">
        <v>141</v>
      </c>
      <c r="E79" s="413"/>
      <c r="F79" s="413"/>
      <c r="G79" s="221">
        <v>8000</v>
      </c>
      <c r="H79" s="221"/>
      <c r="I79" s="219" t="s">
        <v>105</v>
      </c>
      <c r="J79" s="413" t="s">
        <v>182</v>
      </c>
      <c r="K79" s="221">
        <v>36000</v>
      </c>
      <c r="L79" s="221"/>
      <c r="M79" s="219" t="s">
        <v>137</v>
      </c>
      <c r="N79" s="413" t="s">
        <v>194</v>
      </c>
      <c r="O79" s="221">
        <v>41000</v>
      </c>
      <c r="P79" s="221"/>
      <c r="Q79" s="219" t="s">
        <v>143</v>
      </c>
      <c r="R79" s="413" t="s">
        <v>187</v>
      </c>
      <c r="S79" s="221">
        <v>5000</v>
      </c>
      <c r="T79" s="221"/>
      <c r="U79" s="219" t="s">
        <v>124</v>
      </c>
      <c r="V79" s="413" t="s">
        <v>172</v>
      </c>
      <c r="W79" s="294">
        <f>19500+22000</f>
        <v>41500</v>
      </c>
      <c r="X79" s="221"/>
    </row>
    <row r="80" spans="1:24" ht="16.149999999999999" customHeight="1" x14ac:dyDescent="0.2">
      <c r="A80" s="347"/>
      <c r="B80" s="346"/>
      <c r="C80" s="306">
        <f t="shared" si="2"/>
        <v>68000</v>
      </c>
      <c r="D80" s="222" t="s">
        <v>131</v>
      </c>
      <c r="E80" s="413" t="s">
        <v>191</v>
      </c>
      <c r="F80" s="413"/>
      <c r="G80" s="221">
        <v>30000</v>
      </c>
      <c r="H80" s="221"/>
      <c r="I80" s="260" t="s">
        <v>105</v>
      </c>
      <c r="J80" s="260" t="s">
        <v>103</v>
      </c>
      <c r="K80" s="221">
        <v>5000</v>
      </c>
      <c r="L80" s="221"/>
      <c r="M80" s="219"/>
      <c r="N80" s="413"/>
      <c r="O80" s="221"/>
      <c r="P80" s="221"/>
      <c r="Q80" s="219" t="s">
        <v>189</v>
      </c>
      <c r="R80" s="413" t="s">
        <v>188</v>
      </c>
      <c r="S80" s="221">
        <v>33000</v>
      </c>
      <c r="T80" s="221"/>
      <c r="U80" s="219"/>
      <c r="V80" s="413"/>
      <c r="W80" s="294"/>
      <c r="X80" s="221"/>
    </row>
    <row r="81" spans="1:24" ht="16.149999999999999" customHeight="1" x14ac:dyDescent="0.2">
      <c r="A81" s="347"/>
      <c r="B81" s="346"/>
      <c r="C81" s="306">
        <f t="shared" si="2"/>
        <v>0</v>
      </c>
      <c r="D81" s="222"/>
      <c r="E81" s="413"/>
      <c r="F81" s="413"/>
      <c r="G81" s="221"/>
      <c r="H81" s="221"/>
      <c r="I81" s="260"/>
      <c r="J81" s="260"/>
      <c r="K81" s="260"/>
      <c r="L81" s="260"/>
      <c r="M81" s="219"/>
      <c r="N81" s="413"/>
      <c r="O81" s="221"/>
      <c r="P81" s="221"/>
      <c r="Q81" s="219"/>
      <c r="R81" s="413"/>
      <c r="S81" s="221"/>
      <c r="T81" s="221"/>
      <c r="U81" s="219"/>
      <c r="V81" s="413"/>
      <c r="W81" s="294"/>
      <c r="X81" s="221"/>
    </row>
    <row r="82" spans="1:24" ht="16.149999999999999" customHeight="1" x14ac:dyDescent="0.2">
      <c r="A82" s="347"/>
      <c r="B82" s="346"/>
      <c r="C82" s="306">
        <f t="shared" si="2"/>
        <v>0</v>
      </c>
      <c r="D82" s="222"/>
      <c r="E82" s="413"/>
      <c r="F82" s="413"/>
      <c r="G82" s="221"/>
      <c r="H82" s="221"/>
      <c r="I82" s="260"/>
      <c r="J82" s="260"/>
      <c r="K82" s="260"/>
      <c r="L82" s="260"/>
      <c r="M82" s="219"/>
      <c r="N82" s="413"/>
      <c r="O82" s="221"/>
      <c r="P82" s="221"/>
      <c r="Q82" s="219"/>
      <c r="R82" s="413"/>
      <c r="S82" s="221"/>
      <c r="T82" s="221"/>
      <c r="U82" s="219"/>
      <c r="V82" s="413"/>
      <c r="W82" s="294"/>
      <c r="X82" s="221"/>
    </row>
    <row r="83" spans="1:24" ht="16.149999999999999" customHeight="1" x14ac:dyDescent="0.2">
      <c r="A83" s="347">
        <f>A79+1</f>
        <v>45066</v>
      </c>
      <c r="B83" s="346" t="str">
        <f>IF(WEEKDAY(A83)=1,"CN","T"&amp;WEEKDAY(A83))</f>
        <v>T7</v>
      </c>
      <c r="C83" s="306">
        <f t="shared" si="2"/>
        <v>133000</v>
      </c>
      <c r="D83" s="222" t="s">
        <v>131</v>
      </c>
      <c r="E83" s="415" t="s">
        <v>191</v>
      </c>
      <c r="F83" s="413"/>
      <c r="G83" s="221">
        <v>38000</v>
      </c>
      <c r="H83" s="221"/>
      <c r="I83" s="219" t="s">
        <v>105</v>
      </c>
      <c r="J83" s="413" t="s">
        <v>182</v>
      </c>
      <c r="K83" s="221">
        <v>42000</v>
      </c>
      <c r="L83" s="221"/>
      <c r="M83" s="219" t="s">
        <v>137</v>
      </c>
      <c r="N83" s="413" t="s">
        <v>194</v>
      </c>
      <c r="O83" s="221">
        <f>56000-O79</f>
        <v>15000</v>
      </c>
      <c r="P83" s="221"/>
      <c r="Q83" s="219" t="s">
        <v>189</v>
      </c>
      <c r="R83" s="413" t="s">
        <v>188</v>
      </c>
      <c r="S83" s="221">
        <v>38000</v>
      </c>
      <c r="T83" s="221"/>
      <c r="U83" s="219" t="s">
        <v>124</v>
      </c>
      <c r="V83" s="413" t="s">
        <v>172</v>
      </c>
      <c r="W83" s="294">
        <v>42500</v>
      </c>
      <c r="X83" s="221"/>
    </row>
    <row r="84" spans="1:24" ht="16.149999999999999" customHeight="1" x14ac:dyDescent="0.2">
      <c r="A84" s="347"/>
      <c r="B84" s="346"/>
      <c r="C84" s="306">
        <f t="shared" si="2"/>
        <v>0</v>
      </c>
      <c r="D84" s="222"/>
      <c r="E84" s="413"/>
      <c r="F84" s="413"/>
      <c r="G84" s="221"/>
      <c r="H84" s="221"/>
      <c r="I84" s="219"/>
      <c r="J84" s="413"/>
      <c r="K84" s="221"/>
      <c r="L84" s="221"/>
      <c r="M84" s="219"/>
      <c r="N84" s="413"/>
      <c r="O84" s="221"/>
      <c r="P84" s="221"/>
      <c r="Q84" s="219"/>
      <c r="R84" s="413"/>
      <c r="S84" s="221"/>
      <c r="T84" s="221"/>
      <c r="U84" s="219" t="s">
        <v>124</v>
      </c>
      <c r="V84" s="413" t="s">
        <v>198</v>
      </c>
      <c r="W84" s="294">
        <v>1500</v>
      </c>
      <c r="X84" s="221"/>
    </row>
    <row r="85" spans="1:24" ht="16.149999999999999" customHeight="1" x14ac:dyDescent="0.2">
      <c r="A85" s="347"/>
      <c r="B85" s="346"/>
      <c r="C85" s="306">
        <f t="shared" si="2"/>
        <v>5000</v>
      </c>
      <c r="D85" s="222"/>
      <c r="E85" s="413"/>
      <c r="F85" s="413"/>
      <c r="G85" s="221"/>
      <c r="H85" s="221"/>
      <c r="I85" s="219"/>
      <c r="J85" s="413"/>
      <c r="K85" s="221"/>
      <c r="L85" s="221"/>
      <c r="M85" s="219" t="s">
        <v>117</v>
      </c>
      <c r="N85" s="413"/>
      <c r="O85" s="221">
        <v>5000</v>
      </c>
      <c r="P85" s="221"/>
      <c r="Q85" s="219"/>
      <c r="R85" s="413"/>
      <c r="S85" s="221"/>
      <c r="T85" s="221"/>
      <c r="U85" s="295" t="s">
        <v>115</v>
      </c>
      <c r="V85" s="412" t="s">
        <v>216</v>
      </c>
      <c r="W85" s="300">
        <v>20000</v>
      </c>
      <c r="X85" s="205"/>
    </row>
    <row r="86" spans="1:24" ht="16.149999999999999" customHeight="1" x14ac:dyDescent="0.2">
      <c r="A86" s="347"/>
      <c r="B86" s="346"/>
      <c r="C86" s="306">
        <f t="shared" si="2"/>
        <v>0</v>
      </c>
      <c r="D86" s="222"/>
      <c r="E86" s="413"/>
      <c r="F86" s="413"/>
      <c r="G86" s="221"/>
      <c r="H86" s="221"/>
      <c r="I86" s="219"/>
      <c r="J86" s="413"/>
      <c r="K86" s="221"/>
      <c r="L86" s="221"/>
      <c r="M86" s="219"/>
      <c r="N86" s="413"/>
      <c r="O86" s="221"/>
      <c r="P86" s="221"/>
      <c r="Q86" s="219"/>
      <c r="R86" s="413"/>
      <c r="S86" s="221"/>
      <c r="T86" s="221"/>
      <c r="U86" s="295"/>
      <c r="V86" s="412"/>
      <c r="W86" s="300"/>
      <c r="X86" s="205"/>
    </row>
    <row r="87" spans="1:24" x14ac:dyDescent="0.2">
      <c r="A87" s="347">
        <f>A83+1</f>
        <v>45067</v>
      </c>
      <c r="B87" s="346" t="str">
        <f>IF(WEEKDAY(A87)=1,"CN","T"&amp;WEEKDAY(A87))</f>
        <v>CN</v>
      </c>
      <c r="C87" s="306">
        <f t="shared" si="2"/>
        <v>147000</v>
      </c>
      <c r="D87" s="222" t="s">
        <v>131</v>
      </c>
      <c r="E87" s="413" t="s">
        <v>191</v>
      </c>
      <c r="F87" s="413"/>
      <c r="G87" s="221">
        <v>38000</v>
      </c>
      <c r="H87" s="221"/>
      <c r="I87" s="219" t="s">
        <v>105</v>
      </c>
      <c r="J87" s="413" t="s">
        <v>184</v>
      </c>
      <c r="K87" s="221">
        <v>30000</v>
      </c>
      <c r="L87" s="221"/>
      <c r="M87" s="219" t="s">
        <v>117</v>
      </c>
      <c r="N87" s="413"/>
      <c r="O87" s="221">
        <v>41000</v>
      </c>
      <c r="P87" s="221"/>
      <c r="Q87" s="219" t="s">
        <v>189</v>
      </c>
      <c r="R87" s="413" t="s">
        <v>188</v>
      </c>
      <c r="S87" s="221">
        <v>38000</v>
      </c>
      <c r="T87" s="221"/>
      <c r="U87" s="219" t="s">
        <v>124</v>
      </c>
      <c r="V87" s="413" t="s">
        <v>198</v>
      </c>
      <c r="W87" s="300">
        <v>44000</v>
      </c>
      <c r="X87" s="205"/>
    </row>
    <row r="88" spans="1:24" ht="16.149999999999999" customHeight="1" x14ac:dyDescent="0.2">
      <c r="A88" s="347"/>
      <c r="B88" s="346"/>
      <c r="C88" s="306">
        <f t="shared" si="2"/>
        <v>5000</v>
      </c>
      <c r="D88" s="222"/>
      <c r="E88" s="413"/>
      <c r="F88" s="413"/>
      <c r="G88" s="221"/>
      <c r="H88" s="221"/>
      <c r="I88" s="219" t="s">
        <v>105</v>
      </c>
      <c r="J88" s="413" t="s">
        <v>182</v>
      </c>
      <c r="K88" s="221">
        <v>5000</v>
      </c>
      <c r="L88" s="221"/>
      <c r="M88" s="219"/>
      <c r="N88" s="413"/>
      <c r="O88" s="221"/>
      <c r="P88" s="221"/>
      <c r="Q88" s="219"/>
      <c r="R88" s="413"/>
      <c r="S88" s="221"/>
      <c r="T88" s="221"/>
      <c r="U88" s="219"/>
      <c r="V88" s="413"/>
      <c r="W88" s="294"/>
      <c r="X88" s="221"/>
    </row>
    <row r="89" spans="1:24" ht="16.149999999999999" customHeight="1" x14ac:dyDescent="0.2">
      <c r="A89" s="347"/>
      <c r="B89" s="346"/>
      <c r="C89" s="306">
        <f t="shared" si="2"/>
        <v>6000</v>
      </c>
      <c r="D89" s="222"/>
      <c r="E89" s="413"/>
      <c r="F89" s="413"/>
      <c r="G89" s="221"/>
      <c r="H89" s="221"/>
      <c r="I89" s="219" t="s">
        <v>105</v>
      </c>
      <c r="J89" s="413" t="s">
        <v>181</v>
      </c>
      <c r="K89" s="221">
        <v>6000</v>
      </c>
      <c r="L89" s="221"/>
      <c r="M89" s="219"/>
      <c r="N89" s="413"/>
      <c r="O89" s="221"/>
      <c r="P89" s="221"/>
      <c r="Q89" s="219"/>
      <c r="R89" s="413"/>
      <c r="S89" s="221"/>
      <c r="T89" s="221"/>
      <c r="U89" s="219"/>
      <c r="V89" s="413"/>
      <c r="W89" s="294"/>
      <c r="X89" s="221"/>
    </row>
    <row r="90" spans="1:24" ht="16.149999999999999" customHeight="1" x14ac:dyDescent="0.2">
      <c r="A90" s="347"/>
      <c r="B90" s="346"/>
      <c r="C90" s="306">
        <f t="shared" si="2"/>
        <v>0</v>
      </c>
      <c r="D90" s="222"/>
      <c r="E90" s="413"/>
      <c r="F90" s="413"/>
      <c r="G90" s="221"/>
      <c r="H90" s="221"/>
      <c r="I90" s="219"/>
      <c r="J90" s="413"/>
      <c r="K90" s="221"/>
      <c r="L90" s="221"/>
      <c r="M90" s="219"/>
      <c r="N90" s="413"/>
      <c r="O90" s="221"/>
      <c r="P90" s="221"/>
      <c r="Q90" s="219"/>
      <c r="R90" s="413"/>
      <c r="S90" s="221"/>
      <c r="T90" s="221"/>
      <c r="U90" s="219"/>
      <c r="V90" s="413"/>
      <c r="W90" s="294"/>
      <c r="X90" s="221"/>
    </row>
    <row r="91" spans="1:24" ht="16.149999999999999" customHeight="1" x14ac:dyDescent="0.2">
      <c r="A91" s="347">
        <f>A87+1</f>
        <v>45068</v>
      </c>
      <c r="B91" s="346" t="str">
        <f>IF(WEEKDAY(A91)=1,"CN","T"&amp;WEEKDAY(A91))</f>
        <v>T2</v>
      </c>
      <c r="C91" s="306">
        <f t="shared" si="2"/>
        <v>77175</v>
      </c>
      <c r="D91" s="222" t="s">
        <v>131</v>
      </c>
      <c r="E91" s="413" t="s">
        <v>191</v>
      </c>
      <c r="F91" s="413"/>
      <c r="G91" s="221">
        <v>4000</v>
      </c>
      <c r="H91" s="221">
        <v>18025</v>
      </c>
      <c r="I91" s="219" t="s">
        <v>117</v>
      </c>
      <c r="J91" s="413" t="s">
        <v>164</v>
      </c>
      <c r="K91" s="221">
        <v>19000</v>
      </c>
      <c r="L91" s="221">
        <v>15150</v>
      </c>
      <c r="M91" s="219" t="s">
        <v>199</v>
      </c>
      <c r="N91" s="413" t="s">
        <v>200</v>
      </c>
      <c r="O91" s="221">
        <v>21000</v>
      </c>
      <c r="P91" s="221"/>
      <c r="Q91" s="358" t="s">
        <v>211</v>
      </c>
      <c r="R91" s="359"/>
      <c r="S91" s="360"/>
      <c r="T91" s="221"/>
      <c r="U91" s="219" t="s">
        <v>124</v>
      </c>
      <c r="V91" s="413" t="s">
        <v>198</v>
      </c>
      <c r="W91" s="294">
        <v>44000</v>
      </c>
      <c r="X91" s="221">
        <v>44725</v>
      </c>
    </row>
    <row r="92" spans="1:24" ht="16.149999999999999" customHeight="1" x14ac:dyDescent="0.2">
      <c r="A92" s="347"/>
      <c r="B92" s="346"/>
      <c r="C92" s="306">
        <f t="shared" si="2"/>
        <v>59425</v>
      </c>
      <c r="D92" s="222" t="s">
        <v>131</v>
      </c>
      <c r="E92" s="413" t="s">
        <v>168</v>
      </c>
      <c r="F92" s="413"/>
      <c r="G92" s="221">
        <v>27000</v>
      </c>
      <c r="H92" s="221"/>
      <c r="I92" s="219" t="s">
        <v>105</v>
      </c>
      <c r="J92" s="413" t="s">
        <v>181</v>
      </c>
      <c r="K92" s="221">
        <v>19000</v>
      </c>
      <c r="L92" s="221"/>
      <c r="M92" s="219" t="s">
        <v>131</v>
      </c>
      <c r="N92" s="413"/>
      <c r="O92" s="221"/>
      <c r="P92" s="221">
        <v>13425</v>
      </c>
      <c r="Q92" s="219"/>
      <c r="R92" s="413"/>
      <c r="S92" s="221"/>
      <c r="T92" s="221"/>
      <c r="U92" s="219" t="s">
        <v>115</v>
      </c>
      <c r="V92" s="413" t="s">
        <v>216</v>
      </c>
      <c r="W92" s="294">
        <v>44000</v>
      </c>
      <c r="X92" s="221"/>
    </row>
    <row r="93" spans="1:24" ht="16.149999999999999" customHeight="1" x14ac:dyDescent="0.2">
      <c r="A93" s="347"/>
      <c r="B93" s="346"/>
      <c r="C93" s="306">
        <f t="shared" si="2"/>
        <v>0</v>
      </c>
      <c r="D93" s="222"/>
      <c r="E93" s="413"/>
      <c r="F93" s="413"/>
      <c r="G93" s="221"/>
      <c r="H93" s="221"/>
      <c r="I93" s="261"/>
      <c r="J93" s="416"/>
      <c r="K93" s="264"/>
      <c r="L93" s="264"/>
      <c r="M93" s="219"/>
      <c r="N93" s="413"/>
      <c r="O93" s="219"/>
      <c r="P93" s="219"/>
      <c r="Q93" s="219"/>
      <c r="R93" s="413"/>
      <c r="S93" s="221"/>
      <c r="T93" s="221"/>
      <c r="U93" s="219"/>
      <c r="V93" s="413"/>
      <c r="W93" s="294"/>
      <c r="X93" s="221"/>
    </row>
    <row r="94" spans="1:24" ht="16.149999999999999" customHeight="1" x14ac:dyDescent="0.2">
      <c r="A94" s="347"/>
      <c r="B94" s="346"/>
      <c r="C94" s="306">
        <f t="shared" si="2"/>
        <v>0</v>
      </c>
      <c r="D94" s="222"/>
      <c r="E94" s="413"/>
      <c r="F94" s="413"/>
      <c r="G94" s="221"/>
      <c r="H94" s="221"/>
      <c r="I94" s="261"/>
      <c r="J94" s="416"/>
      <c r="K94" s="264"/>
      <c r="L94" s="264"/>
      <c r="M94" s="219"/>
      <c r="N94" s="413"/>
      <c r="O94" s="219"/>
      <c r="P94" s="219"/>
      <c r="Q94" s="219"/>
      <c r="R94" s="413"/>
      <c r="S94" s="221"/>
      <c r="T94" s="221"/>
      <c r="U94" s="219"/>
      <c r="V94" s="413"/>
      <c r="W94" s="294"/>
      <c r="X94" s="221"/>
    </row>
    <row r="95" spans="1:24" ht="16.149999999999999" customHeight="1" x14ac:dyDescent="0.2">
      <c r="A95" s="347">
        <f>A91+1</f>
        <v>45069</v>
      </c>
      <c r="B95" s="346" t="str">
        <f>IF(WEEKDAY(A95)=1,"CN","T"&amp;WEEKDAY(A95))</f>
        <v>T3</v>
      </c>
      <c r="C95" s="306">
        <f t="shared" si="2"/>
        <v>211575</v>
      </c>
      <c r="D95" s="222" t="s">
        <v>121</v>
      </c>
      <c r="E95" s="413" t="s">
        <v>192</v>
      </c>
      <c r="F95" s="413"/>
      <c r="G95" s="221">
        <v>24000</v>
      </c>
      <c r="H95" s="221">
        <v>23350</v>
      </c>
      <c r="I95" s="219" t="s">
        <v>105</v>
      </c>
      <c r="J95" s="413" t="s">
        <v>181</v>
      </c>
      <c r="K95" s="221">
        <f>41000-K96</f>
        <v>35000</v>
      </c>
      <c r="L95" s="221">
        <v>21875</v>
      </c>
      <c r="M95" s="219" t="s">
        <v>123</v>
      </c>
      <c r="N95" s="413" t="s">
        <v>165</v>
      </c>
      <c r="O95" s="221">
        <v>41000</v>
      </c>
      <c r="P95" s="221">
        <v>28350</v>
      </c>
      <c r="Q95" s="219" t="s">
        <v>189</v>
      </c>
      <c r="R95" s="413" t="s">
        <v>188</v>
      </c>
      <c r="S95" s="221">
        <v>38000</v>
      </c>
      <c r="T95" s="221">
        <v>14900</v>
      </c>
      <c r="U95" s="219" t="s">
        <v>124</v>
      </c>
      <c r="V95" s="413" t="s">
        <v>198</v>
      </c>
      <c r="W95" s="294">
        <v>22500</v>
      </c>
      <c r="X95" s="221">
        <v>23075</v>
      </c>
    </row>
    <row r="96" spans="1:24" ht="16.149999999999999" customHeight="1" x14ac:dyDescent="0.2">
      <c r="A96" s="347"/>
      <c r="B96" s="346"/>
      <c r="C96" s="306">
        <f t="shared" si="2"/>
        <v>42575</v>
      </c>
      <c r="D96" s="222" t="s">
        <v>131</v>
      </c>
      <c r="E96" s="413"/>
      <c r="F96" s="413"/>
      <c r="G96" s="221"/>
      <c r="H96" s="221">
        <v>12100</v>
      </c>
      <c r="I96" s="219" t="s">
        <v>105</v>
      </c>
      <c r="J96" s="413" t="s">
        <v>165</v>
      </c>
      <c r="K96" s="221">
        <v>6000</v>
      </c>
      <c r="L96" s="221">
        <v>21800</v>
      </c>
      <c r="M96" s="219" t="s">
        <v>152</v>
      </c>
      <c r="N96" s="413"/>
      <c r="O96" s="221"/>
      <c r="P96" s="221">
        <v>2675</v>
      </c>
      <c r="Q96" s="219"/>
      <c r="R96" s="413"/>
      <c r="S96" s="221"/>
      <c r="T96" s="221">
        <v>18300</v>
      </c>
      <c r="U96" s="219" t="s">
        <v>124</v>
      </c>
      <c r="V96" s="413" t="s">
        <v>197</v>
      </c>
      <c r="W96" s="294">
        <f>44000-W95</f>
        <v>21500</v>
      </c>
      <c r="X96" s="221">
        <v>23075</v>
      </c>
    </row>
    <row r="97" spans="1:24" ht="16.149999999999999" customHeight="1" x14ac:dyDescent="0.2">
      <c r="A97" s="347"/>
      <c r="B97" s="346"/>
      <c r="C97" s="306">
        <f t="shared" si="2"/>
        <v>11175</v>
      </c>
      <c r="D97" s="222"/>
      <c r="E97" s="413"/>
      <c r="F97" s="413"/>
      <c r="G97" s="221"/>
      <c r="H97" s="221"/>
      <c r="I97" s="219"/>
      <c r="J97" s="413"/>
      <c r="K97" s="221"/>
      <c r="L97" s="221"/>
      <c r="M97" s="219" t="s">
        <v>117</v>
      </c>
      <c r="N97" s="413"/>
      <c r="O97" s="221"/>
      <c r="P97" s="221">
        <v>11175</v>
      </c>
      <c r="Q97" s="219"/>
      <c r="R97" s="413"/>
      <c r="S97" s="221"/>
      <c r="T97" s="221"/>
      <c r="U97" s="219"/>
      <c r="V97" s="413"/>
      <c r="W97" s="294"/>
      <c r="X97" s="221"/>
    </row>
    <row r="98" spans="1:24" ht="16.149999999999999" customHeight="1" x14ac:dyDescent="0.2">
      <c r="A98" s="347"/>
      <c r="B98" s="346"/>
      <c r="C98" s="306">
        <f t="shared" si="2"/>
        <v>0</v>
      </c>
      <c r="D98" s="222"/>
      <c r="E98" s="413"/>
      <c r="F98" s="413"/>
      <c r="G98" s="221"/>
      <c r="H98" s="221"/>
      <c r="I98" s="219"/>
      <c r="J98" s="413"/>
      <c r="K98" s="221"/>
      <c r="L98" s="221"/>
      <c r="M98" s="219"/>
      <c r="N98" s="413"/>
      <c r="O98" s="221"/>
      <c r="P98" s="221"/>
      <c r="Q98" s="219"/>
      <c r="R98" s="413"/>
      <c r="S98" s="221"/>
      <c r="T98" s="221"/>
      <c r="U98" s="219"/>
      <c r="V98" s="413"/>
      <c r="W98" s="294"/>
      <c r="X98" s="221"/>
    </row>
    <row r="99" spans="1:24" ht="16.149999999999999" customHeight="1" x14ac:dyDescent="0.2">
      <c r="A99" s="347">
        <f>A95+1</f>
        <v>45070</v>
      </c>
      <c r="B99" s="346" t="str">
        <f>IF(WEEKDAY(A99)=1,"CN","T"&amp;WEEKDAY(A99))</f>
        <v>T4</v>
      </c>
      <c r="C99" s="306">
        <f t="shared" si="2"/>
        <v>56750</v>
      </c>
      <c r="D99" s="222" t="s">
        <v>214</v>
      </c>
      <c r="E99" s="413" t="s">
        <v>168</v>
      </c>
      <c r="F99" s="413"/>
      <c r="G99" s="221">
        <v>8750</v>
      </c>
      <c r="H99" s="221"/>
      <c r="I99" s="222" t="s">
        <v>203</v>
      </c>
      <c r="J99" s="413" t="s">
        <v>217</v>
      </c>
      <c r="K99" s="221">
        <v>41000</v>
      </c>
      <c r="L99" s="221"/>
      <c r="M99" s="219" t="s">
        <v>123</v>
      </c>
      <c r="N99" s="413" t="s">
        <v>165</v>
      </c>
      <c r="O99" s="221">
        <v>4000</v>
      </c>
      <c r="P99" s="221"/>
      <c r="Q99" s="219" t="s">
        <v>189</v>
      </c>
      <c r="R99" s="413" t="s">
        <v>188</v>
      </c>
      <c r="S99" s="221">
        <v>3000</v>
      </c>
      <c r="T99" s="221"/>
      <c r="U99" s="219" t="s">
        <v>124</v>
      </c>
      <c r="V99" s="413" t="s">
        <v>197</v>
      </c>
      <c r="W99" s="294">
        <f>56000-W96</f>
        <v>34500</v>
      </c>
      <c r="X99" s="221"/>
    </row>
    <row r="100" spans="1:24" ht="16.149999999999999" customHeight="1" x14ac:dyDescent="0.2">
      <c r="A100" s="347"/>
      <c r="B100" s="346"/>
      <c r="C100" s="306">
        <f t="shared" si="2"/>
        <v>54250</v>
      </c>
      <c r="D100" s="222" t="s">
        <v>213</v>
      </c>
      <c r="E100" s="413" t="s">
        <v>168</v>
      </c>
      <c r="F100" s="413"/>
      <c r="G100" s="221">
        <v>16250</v>
      </c>
      <c r="H100" s="221"/>
      <c r="I100" s="219"/>
      <c r="J100" s="413"/>
      <c r="K100" s="221"/>
      <c r="L100" s="221"/>
      <c r="M100" s="219" t="s">
        <v>201</v>
      </c>
      <c r="N100" s="413" t="s">
        <v>165</v>
      </c>
      <c r="O100" s="221">
        <v>3000</v>
      </c>
      <c r="P100" s="221"/>
      <c r="Q100" s="219" t="s">
        <v>143</v>
      </c>
      <c r="R100" s="413" t="s">
        <v>188</v>
      </c>
      <c r="S100" s="221">
        <v>35000</v>
      </c>
      <c r="T100" s="221"/>
      <c r="U100" s="219" t="s">
        <v>124</v>
      </c>
      <c r="V100" s="413" t="s">
        <v>215</v>
      </c>
      <c r="W100" s="300">
        <f>44000-W99</f>
        <v>9500</v>
      </c>
      <c r="X100" s="205"/>
    </row>
    <row r="101" spans="1:24" ht="16.149999999999999" customHeight="1" x14ac:dyDescent="0.2">
      <c r="A101" s="347"/>
      <c r="B101" s="346"/>
      <c r="C101" s="306">
        <f t="shared" si="2"/>
        <v>47000</v>
      </c>
      <c r="D101" s="219" t="s">
        <v>143</v>
      </c>
      <c r="E101" s="413" t="s">
        <v>190</v>
      </c>
      <c r="F101" s="413"/>
      <c r="G101" s="221">
        <v>13000</v>
      </c>
      <c r="H101" s="221"/>
      <c r="I101" s="219"/>
      <c r="J101" s="413"/>
      <c r="K101" s="221"/>
      <c r="L101" s="221"/>
      <c r="M101" s="219" t="s">
        <v>177</v>
      </c>
      <c r="N101" s="413" t="s">
        <v>178</v>
      </c>
      <c r="O101" s="221">
        <v>34000</v>
      </c>
      <c r="P101" s="221"/>
      <c r="Q101" s="219"/>
      <c r="R101" s="413"/>
      <c r="S101" s="221"/>
      <c r="T101" s="221"/>
      <c r="U101" s="295"/>
      <c r="V101" s="412"/>
      <c r="W101" s="300"/>
      <c r="X101" s="205"/>
    </row>
    <row r="102" spans="1:24" ht="16.149999999999999" customHeight="1" x14ac:dyDescent="0.2">
      <c r="A102" s="347"/>
      <c r="B102" s="346"/>
      <c r="C102" s="306">
        <f t="shared" si="2"/>
        <v>0</v>
      </c>
      <c r="D102" s="222"/>
      <c r="E102" s="413"/>
      <c r="F102" s="413"/>
      <c r="G102" s="221"/>
      <c r="H102" s="221"/>
      <c r="I102" s="219"/>
      <c r="J102" s="413"/>
      <c r="K102" s="221"/>
      <c r="L102" s="221"/>
      <c r="M102" s="219"/>
      <c r="N102" s="413"/>
      <c r="O102" s="221"/>
      <c r="P102" s="221"/>
      <c r="Q102" s="219"/>
      <c r="R102" s="413"/>
      <c r="S102" s="221"/>
      <c r="T102" s="221"/>
      <c r="U102" s="295"/>
      <c r="V102" s="412"/>
      <c r="W102" s="300"/>
      <c r="X102" s="205"/>
    </row>
    <row r="103" spans="1:24" ht="16.149999999999999" customHeight="1" x14ac:dyDescent="0.2">
      <c r="A103" s="347">
        <f>A99+1</f>
        <v>45071</v>
      </c>
      <c r="B103" s="346" t="str">
        <f>IF(WEEKDAY(A103)=1,"CN","T"&amp;WEEKDAY(A103))</f>
        <v>T5</v>
      </c>
      <c r="C103" s="306">
        <f t="shared" ref="C103:C131" si="3">SUM(D103:S103)</f>
        <v>132000</v>
      </c>
      <c r="D103" s="219" t="s">
        <v>143</v>
      </c>
      <c r="E103" s="413" t="s">
        <v>190</v>
      </c>
      <c r="F103" s="413"/>
      <c r="G103" s="221">
        <v>12000</v>
      </c>
      <c r="H103" s="221"/>
      <c r="I103" s="222" t="s">
        <v>203</v>
      </c>
      <c r="J103" s="413" t="s">
        <v>217</v>
      </c>
      <c r="K103" s="221">
        <v>40000</v>
      </c>
      <c r="L103" s="221"/>
      <c r="M103" s="219" t="s">
        <v>177</v>
      </c>
      <c r="N103" s="413" t="s">
        <v>178</v>
      </c>
      <c r="O103" s="221">
        <v>42000</v>
      </c>
      <c r="P103" s="221"/>
      <c r="Q103" s="219" t="s">
        <v>143</v>
      </c>
      <c r="R103" s="413" t="s">
        <v>188</v>
      </c>
      <c r="S103" s="221">
        <v>38000</v>
      </c>
      <c r="T103" s="221"/>
      <c r="U103" s="219" t="s">
        <v>124</v>
      </c>
      <c r="V103" s="413" t="s">
        <v>215</v>
      </c>
      <c r="W103" s="294">
        <v>44000</v>
      </c>
      <c r="X103" s="221"/>
    </row>
    <row r="104" spans="1:24" ht="16.149999999999999" customHeight="1" x14ac:dyDescent="0.2">
      <c r="A104" s="347"/>
      <c r="B104" s="346"/>
      <c r="C104" s="306">
        <f t="shared" si="3"/>
        <v>24000</v>
      </c>
      <c r="D104" s="222" t="s">
        <v>104</v>
      </c>
      <c r="E104" s="413" t="s">
        <v>193</v>
      </c>
      <c r="F104" s="413"/>
      <c r="G104" s="221">
        <v>24000</v>
      </c>
      <c r="H104" s="221"/>
      <c r="I104" s="219"/>
      <c r="J104" s="413"/>
      <c r="K104" s="221"/>
      <c r="L104" s="221"/>
      <c r="M104" s="219"/>
      <c r="N104" s="413"/>
      <c r="O104" s="221"/>
      <c r="P104" s="221"/>
      <c r="Q104" s="219"/>
      <c r="R104" s="413"/>
      <c r="S104" s="221"/>
      <c r="T104" s="221"/>
      <c r="U104" s="219" t="s">
        <v>115</v>
      </c>
      <c r="V104" s="413"/>
      <c r="W104" s="294">
        <v>44000</v>
      </c>
      <c r="X104" s="221"/>
    </row>
    <row r="105" spans="1:24" ht="16.149999999999999" customHeight="1" x14ac:dyDescent="0.2">
      <c r="A105" s="347"/>
      <c r="B105" s="346"/>
      <c r="C105" s="306">
        <f t="shared" si="3"/>
        <v>0</v>
      </c>
      <c r="D105" s="222"/>
      <c r="E105" s="413"/>
      <c r="F105" s="413"/>
      <c r="G105" s="221"/>
      <c r="H105" s="221"/>
      <c r="I105" s="219"/>
      <c r="J105" s="413"/>
      <c r="K105" s="221"/>
      <c r="L105" s="221"/>
      <c r="M105" s="219"/>
      <c r="N105" s="413"/>
      <c r="O105" s="221"/>
      <c r="P105" s="221"/>
      <c r="Q105" s="219"/>
      <c r="R105" s="413"/>
      <c r="S105" s="221"/>
      <c r="T105" s="221"/>
      <c r="U105" s="219"/>
      <c r="V105" s="413"/>
      <c r="W105" s="294"/>
      <c r="X105" s="221"/>
    </row>
    <row r="106" spans="1:24" ht="16.149999999999999" customHeight="1" x14ac:dyDescent="0.2">
      <c r="A106" s="347"/>
      <c r="B106" s="346"/>
      <c r="C106" s="306">
        <f t="shared" si="3"/>
        <v>0</v>
      </c>
      <c r="D106" s="222"/>
      <c r="E106" s="413"/>
      <c r="F106" s="413"/>
      <c r="G106" s="221"/>
      <c r="H106" s="221"/>
      <c r="I106" s="219"/>
      <c r="J106" s="413"/>
      <c r="K106" s="221"/>
      <c r="L106" s="221"/>
      <c r="M106" s="219"/>
      <c r="N106" s="413"/>
      <c r="O106" s="221"/>
      <c r="P106" s="221"/>
      <c r="Q106" s="219"/>
      <c r="R106" s="413"/>
      <c r="S106" s="221"/>
      <c r="T106" s="221"/>
      <c r="U106" s="219"/>
      <c r="V106" s="413"/>
      <c r="W106" s="294"/>
      <c r="X106" s="221"/>
    </row>
    <row r="107" spans="1:24" ht="16.149999999999999" customHeight="1" x14ac:dyDescent="0.2">
      <c r="A107" s="347">
        <f>A103+1</f>
        <v>45072</v>
      </c>
      <c r="B107" s="346" t="str">
        <f>IF(WEEKDAY(A107)=1,"CN","T"&amp;WEEKDAY(A107))</f>
        <v>T6</v>
      </c>
      <c r="C107" s="306">
        <f t="shared" si="3"/>
        <v>143000</v>
      </c>
      <c r="D107" s="222" t="s">
        <v>204</v>
      </c>
      <c r="E107" s="413" t="s">
        <v>233</v>
      </c>
      <c r="F107" s="417"/>
      <c r="G107" s="304">
        <v>27000</v>
      </c>
      <c r="H107" s="221"/>
      <c r="I107" s="219" t="s">
        <v>117</v>
      </c>
      <c r="J107" s="418" t="s">
        <v>164</v>
      </c>
      <c r="K107" s="294">
        <v>42000</v>
      </c>
      <c r="L107" s="221"/>
      <c r="M107" s="219" t="s">
        <v>177</v>
      </c>
      <c r="N107" s="413" t="s">
        <v>178</v>
      </c>
      <c r="O107" s="221">
        <v>36000</v>
      </c>
      <c r="P107" s="221"/>
      <c r="Q107" s="219" t="s">
        <v>143</v>
      </c>
      <c r="R107" s="413" t="s">
        <v>188</v>
      </c>
      <c r="S107" s="221">
        <v>38000</v>
      </c>
      <c r="T107" s="221"/>
      <c r="U107" s="219" t="s">
        <v>124</v>
      </c>
      <c r="V107" s="413" t="s">
        <v>215</v>
      </c>
      <c r="W107" s="294">
        <v>44000</v>
      </c>
      <c r="X107" s="221"/>
    </row>
    <row r="108" spans="1:24" ht="16.149999999999999" customHeight="1" x14ac:dyDescent="0.2">
      <c r="A108" s="347"/>
      <c r="B108" s="346"/>
      <c r="C108" s="306">
        <f t="shared" si="3"/>
        <v>11000</v>
      </c>
      <c r="D108" s="222" t="s">
        <v>189</v>
      </c>
      <c r="E108" s="413" t="s">
        <v>190</v>
      </c>
      <c r="F108" s="413"/>
      <c r="G108" s="221">
        <v>11000</v>
      </c>
      <c r="H108" s="221"/>
      <c r="I108" s="219"/>
      <c r="J108" s="418"/>
      <c r="K108" s="294"/>
      <c r="L108" s="221"/>
      <c r="M108" s="299"/>
      <c r="N108" s="414"/>
      <c r="O108" s="259"/>
      <c r="P108" s="259"/>
      <c r="Q108" s="219"/>
      <c r="R108" s="413"/>
      <c r="S108" s="221"/>
      <c r="T108" s="221"/>
      <c r="U108" s="219"/>
      <c r="V108" s="413"/>
      <c r="W108" s="294"/>
      <c r="X108" s="221"/>
    </row>
    <row r="109" spans="1:24" ht="16.149999999999999" customHeight="1" x14ac:dyDescent="0.2">
      <c r="A109" s="347"/>
      <c r="B109" s="346"/>
      <c r="C109" s="306">
        <f t="shared" si="3"/>
        <v>5000</v>
      </c>
      <c r="D109" s="222"/>
      <c r="E109" s="413"/>
      <c r="F109" s="413"/>
      <c r="G109" s="221"/>
      <c r="H109" s="221"/>
      <c r="I109" s="219"/>
      <c r="J109" s="418"/>
      <c r="K109" s="294"/>
      <c r="L109" s="221"/>
      <c r="M109" s="299" t="s">
        <v>124</v>
      </c>
      <c r="N109" s="414" t="s">
        <v>207</v>
      </c>
      <c r="O109" s="259">
        <v>5000</v>
      </c>
      <c r="P109" s="259"/>
      <c r="Q109" s="219"/>
      <c r="R109" s="413"/>
      <c r="S109" s="221"/>
      <c r="T109" s="221"/>
      <c r="U109" s="219"/>
      <c r="V109" s="413"/>
      <c r="W109" s="294"/>
      <c r="X109" s="221"/>
    </row>
    <row r="110" spans="1:24" ht="16.149999999999999" customHeight="1" x14ac:dyDescent="0.2">
      <c r="A110" s="347"/>
      <c r="B110" s="346"/>
      <c r="C110" s="306">
        <f t="shared" si="3"/>
        <v>0</v>
      </c>
      <c r="D110" s="222"/>
      <c r="E110" s="413"/>
      <c r="F110" s="413"/>
      <c r="G110" s="221"/>
      <c r="H110" s="221"/>
      <c r="I110" s="219"/>
      <c r="J110" s="418"/>
      <c r="K110" s="294"/>
      <c r="L110" s="221"/>
      <c r="M110" s="299"/>
      <c r="N110" s="414"/>
      <c r="O110" s="259"/>
      <c r="P110" s="259"/>
      <c r="Q110" s="219"/>
      <c r="R110" s="413"/>
      <c r="S110" s="221"/>
      <c r="T110" s="221"/>
      <c r="U110" s="219"/>
      <c r="V110" s="413"/>
      <c r="W110" s="294"/>
      <c r="X110" s="221"/>
    </row>
    <row r="111" spans="1:24" ht="16.149999999999999" customHeight="1" x14ac:dyDescent="0.2">
      <c r="A111" s="347">
        <f>A107+1</f>
        <v>45073</v>
      </c>
      <c r="B111" s="346" t="str">
        <f>IF(WEEKDAY(A111)=1,"CN","T"&amp;WEEKDAY(A111))</f>
        <v>T7</v>
      </c>
      <c r="C111" s="306">
        <f t="shared" si="3"/>
        <v>89000</v>
      </c>
      <c r="D111" s="222" t="s">
        <v>189</v>
      </c>
      <c r="E111" s="413" t="s">
        <v>190</v>
      </c>
      <c r="F111" s="413"/>
      <c r="G111" s="221">
        <v>38000</v>
      </c>
      <c r="H111" s="221"/>
      <c r="I111" s="219" t="s">
        <v>105</v>
      </c>
      <c r="J111" s="418" t="s">
        <v>164</v>
      </c>
      <c r="K111" s="294">
        <v>14000</v>
      </c>
      <c r="L111" s="294"/>
      <c r="M111" s="299" t="s">
        <v>124</v>
      </c>
      <c r="N111" s="414" t="s">
        <v>207</v>
      </c>
      <c r="O111" s="259">
        <v>23000</v>
      </c>
      <c r="P111" s="259"/>
      <c r="Q111" s="219" t="s">
        <v>143</v>
      </c>
      <c r="R111" s="413" t="s">
        <v>188</v>
      </c>
      <c r="S111" s="221">
        <v>14000</v>
      </c>
      <c r="T111" s="221"/>
      <c r="U111" s="219" t="s">
        <v>124</v>
      </c>
      <c r="V111" s="413" t="s">
        <v>215</v>
      </c>
      <c r="W111" s="294">
        <v>44000</v>
      </c>
      <c r="X111" s="221"/>
    </row>
    <row r="112" spans="1:24" ht="16.149999999999999" customHeight="1" x14ac:dyDescent="0.2">
      <c r="A112" s="347"/>
      <c r="B112" s="346"/>
      <c r="C112" s="306">
        <f t="shared" si="3"/>
        <v>61000</v>
      </c>
      <c r="D112" s="222"/>
      <c r="E112" s="413"/>
      <c r="F112" s="413"/>
      <c r="G112" s="221"/>
      <c r="H112" s="221"/>
      <c r="I112" s="219" t="s">
        <v>124</v>
      </c>
      <c r="J112" s="418" t="s">
        <v>220</v>
      </c>
      <c r="K112" s="294">
        <v>27000</v>
      </c>
      <c r="L112" s="294"/>
      <c r="M112" s="299" t="s">
        <v>212</v>
      </c>
      <c r="N112" s="414" t="s">
        <v>185</v>
      </c>
      <c r="O112" s="259">
        <v>10000</v>
      </c>
      <c r="P112" s="259"/>
      <c r="Q112" s="219" t="s">
        <v>143</v>
      </c>
      <c r="R112" s="413" t="s">
        <v>190</v>
      </c>
      <c r="S112" s="221">
        <f>38000-S111</f>
        <v>24000</v>
      </c>
      <c r="T112" s="221"/>
      <c r="U112" s="219"/>
      <c r="V112" s="413"/>
      <c r="W112" s="294"/>
      <c r="X112" s="221"/>
    </row>
    <row r="113" spans="1:24" ht="16.149999999999999" customHeight="1" x14ac:dyDescent="0.2">
      <c r="A113" s="347"/>
      <c r="B113" s="346"/>
      <c r="C113" s="306">
        <f t="shared" si="3"/>
        <v>8000</v>
      </c>
      <c r="D113" s="222"/>
      <c r="E113" s="413"/>
      <c r="F113" s="413"/>
      <c r="G113" s="221"/>
      <c r="H113" s="221"/>
      <c r="I113" s="219"/>
      <c r="J113" s="418"/>
      <c r="K113" s="294"/>
      <c r="L113" s="294"/>
      <c r="M113" s="299" t="s">
        <v>105</v>
      </c>
      <c r="N113" s="419" t="s">
        <v>230</v>
      </c>
      <c r="O113" s="259">
        <v>8000</v>
      </c>
      <c r="P113" s="294"/>
      <c r="Q113" s="219"/>
      <c r="R113" s="413"/>
      <c r="S113" s="221"/>
      <c r="T113" s="221"/>
      <c r="U113" s="219"/>
      <c r="V113" s="413"/>
      <c r="W113" s="294"/>
      <c r="X113" s="221"/>
    </row>
    <row r="114" spans="1:24" ht="16.149999999999999" customHeight="1" x14ac:dyDescent="0.2">
      <c r="A114" s="347"/>
      <c r="B114" s="346"/>
      <c r="C114" s="306">
        <f t="shared" si="3"/>
        <v>0</v>
      </c>
      <c r="D114" s="222"/>
      <c r="E114" s="413"/>
      <c r="F114" s="413"/>
      <c r="G114" s="221"/>
      <c r="H114" s="221"/>
      <c r="I114" s="219"/>
      <c r="J114" s="418"/>
      <c r="K114" s="294"/>
      <c r="L114" s="294"/>
      <c r="M114" s="299"/>
      <c r="N114" s="414"/>
      <c r="O114" s="259"/>
      <c r="P114" s="221"/>
      <c r="Q114" s="219"/>
      <c r="R114" s="413"/>
      <c r="S114" s="221"/>
      <c r="T114" s="221"/>
      <c r="U114" s="219"/>
      <c r="V114" s="413"/>
      <c r="W114" s="294"/>
      <c r="X114" s="221"/>
    </row>
    <row r="115" spans="1:24" ht="16.149999999999999" customHeight="1" x14ac:dyDescent="0.2">
      <c r="A115" s="347">
        <f>A111+1</f>
        <v>45074</v>
      </c>
      <c r="B115" s="346" t="str">
        <f>IF(WEEKDAY(A115)=1,"CN","T"&amp;WEEKDAY(A115))</f>
        <v>CN</v>
      </c>
      <c r="C115" s="306">
        <f t="shared" si="3"/>
        <v>79000</v>
      </c>
      <c r="D115" s="222"/>
      <c r="E115" s="413"/>
      <c r="F115" s="417"/>
      <c r="G115" s="304"/>
      <c r="H115" s="221"/>
      <c r="I115" s="219" t="s">
        <v>124</v>
      </c>
      <c r="J115" s="418" t="s">
        <v>220</v>
      </c>
      <c r="K115" s="294">
        <v>20000</v>
      </c>
      <c r="L115" s="294"/>
      <c r="M115" s="299" t="s">
        <v>105</v>
      </c>
      <c r="N115" s="419" t="s">
        <v>230</v>
      </c>
      <c r="O115" s="259">
        <v>21000</v>
      </c>
      <c r="P115" s="221"/>
      <c r="Q115" s="219" t="s">
        <v>143</v>
      </c>
      <c r="R115" s="413" t="s">
        <v>190</v>
      </c>
      <c r="S115" s="221">
        <v>38000</v>
      </c>
      <c r="T115" s="221"/>
      <c r="U115" s="219"/>
      <c r="V115" s="413"/>
      <c r="W115" s="294"/>
      <c r="X115" s="221"/>
    </row>
    <row r="116" spans="1:24" ht="16.149999999999999" customHeight="1" x14ac:dyDescent="0.2">
      <c r="A116" s="347"/>
      <c r="B116" s="346"/>
      <c r="C116" s="306">
        <f t="shared" si="3"/>
        <v>0</v>
      </c>
      <c r="D116" s="222"/>
      <c r="E116" s="413"/>
      <c r="F116" s="417"/>
      <c r="G116" s="304"/>
      <c r="H116" s="324"/>
      <c r="I116" s="219"/>
      <c r="J116" s="418"/>
      <c r="K116" s="294"/>
      <c r="L116" s="293"/>
      <c r="M116" s="299"/>
      <c r="N116" s="419"/>
      <c r="O116" s="259"/>
      <c r="P116" s="221"/>
      <c r="Q116" s="219"/>
      <c r="R116" s="413"/>
      <c r="S116" s="221"/>
      <c r="T116" s="221"/>
      <c r="U116" s="219"/>
      <c r="V116" s="413"/>
      <c r="W116" s="294"/>
      <c r="X116" s="221"/>
    </row>
    <row r="117" spans="1:24" ht="16.149999999999999" customHeight="1" x14ac:dyDescent="0.2">
      <c r="A117" s="347"/>
      <c r="B117" s="346"/>
      <c r="C117" s="306">
        <f t="shared" si="3"/>
        <v>0</v>
      </c>
      <c r="D117" s="222"/>
      <c r="E117" s="413"/>
      <c r="F117" s="413"/>
      <c r="G117" s="221"/>
      <c r="H117" s="221"/>
      <c r="I117" s="219"/>
      <c r="J117" s="418"/>
      <c r="K117" s="221"/>
      <c r="L117" s="294"/>
      <c r="M117" s="299"/>
      <c r="N117" s="414"/>
      <c r="O117" s="259"/>
      <c r="P117" s="221"/>
      <c r="Q117" s="219"/>
      <c r="R117" s="413"/>
      <c r="S117" s="221"/>
      <c r="T117" s="221"/>
      <c r="U117" s="219"/>
      <c r="V117" s="413"/>
      <c r="W117" s="294"/>
      <c r="X117" s="221"/>
    </row>
    <row r="118" spans="1:24" ht="16.149999999999999" customHeight="1" x14ac:dyDescent="0.2">
      <c r="A118" s="347"/>
      <c r="B118" s="346"/>
      <c r="C118" s="306">
        <f t="shared" si="3"/>
        <v>0</v>
      </c>
      <c r="D118" s="222"/>
      <c r="E118" s="413"/>
      <c r="F118" s="413"/>
      <c r="G118" s="221"/>
      <c r="H118" s="221"/>
      <c r="I118" s="284"/>
      <c r="J118" s="420"/>
      <c r="K118" s="287"/>
      <c r="L118" s="294"/>
      <c r="M118" s="299"/>
      <c r="N118" s="414"/>
      <c r="O118" s="259"/>
      <c r="P118" s="221"/>
      <c r="Q118" s="219"/>
      <c r="R118" s="413"/>
      <c r="S118" s="221"/>
      <c r="T118" s="221"/>
      <c r="U118" s="219"/>
      <c r="V118" s="413"/>
      <c r="W118" s="294"/>
      <c r="X118" s="221"/>
    </row>
    <row r="119" spans="1:24" ht="16.149999999999999" customHeight="1" x14ac:dyDescent="0.2">
      <c r="A119" s="347">
        <f>A115+1</f>
        <v>45075</v>
      </c>
      <c r="B119" s="346" t="str">
        <f>IF(WEEKDAY(A119)=1,"CN","T"&amp;WEEKDAY(A119))</f>
        <v>T2</v>
      </c>
      <c r="C119" s="306">
        <f t="shared" si="3"/>
        <v>120000</v>
      </c>
      <c r="D119" s="222" t="s">
        <v>189</v>
      </c>
      <c r="E119" s="413" t="s">
        <v>190</v>
      </c>
      <c r="F119" s="413"/>
      <c r="G119" s="221">
        <v>38000</v>
      </c>
      <c r="H119" s="221"/>
      <c r="I119" s="219" t="s">
        <v>124</v>
      </c>
      <c r="J119" s="418" t="s">
        <v>220</v>
      </c>
      <c r="K119" s="287">
        <v>41000</v>
      </c>
      <c r="L119" s="294"/>
      <c r="M119" s="299" t="s">
        <v>105</v>
      </c>
      <c r="N119" s="419" t="s">
        <v>230</v>
      </c>
      <c r="O119" s="259">
        <v>41000</v>
      </c>
      <c r="P119" s="221"/>
      <c r="Q119" s="219" t="s">
        <v>116</v>
      </c>
      <c r="R119" s="413"/>
      <c r="S119" s="221"/>
      <c r="T119" s="221"/>
      <c r="U119" s="219" t="s">
        <v>124</v>
      </c>
      <c r="V119" s="413" t="s">
        <v>215</v>
      </c>
      <c r="W119" s="294">
        <v>44000</v>
      </c>
      <c r="X119" s="221"/>
    </row>
    <row r="120" spans="1:24" ht="16.149999999999999" customHeight="1" x14ac:dyDescent="0.2">
      <c r="A120" s="347"/>
      <c r="B120" s="346"/>
      <c r="C120" s="306">
        <f t="shared" si="3"/>
        <v>0</v>
      </c>
      <c r="D120" s="222"/>
      <c r="E120" s="413"/>
      <c r="F120" s="413"/>
      <c r="G120" s="221"/>
      <c r="H120" s="221"/>
      <c r="I120" s="219"/>
      <c r="J120" s="418"/>
      <c r="K120" s="287"/>
      <c r="L120" s="294"/>
      <c r="M120" s="299"/>
      <c r="N120" s="419"/>
      <c r="O120" s="259"/>
      <c r="P120" s="221"/>
      <c r="Q120" s="219"/>
      <c r="R120" s="413"/>
      <c r="S120" s="221"/>
      <c r="T120" s="221"/>
      <c r="U120" s="219"/>
      <c r="V120" s="413"/>
      <c r="W120" s="294"/>
      <c r="X120" s="221"/>
    </row>
    <row r="121" spans="1:24" ht="16.149999999999999" customHeight="1" x14ac:dyDescent="0.2">
      <c r="A121" s="347"/>
      <c r="B121" s="346"/>
      <c r="C121" s="306">
        <f t="shared" si="3"/>
        <v>0</v>
      </c>
      <c r="D121" s="222"/>
      <c r="E121" s="413"/>
      <c r="F121" s="413"/>
      <c r="G121" s="221"/>
      <c r="H121" s="221"/>
      <c r="I121" s="219"/>
      <c r="J121" s="418"/>
      <c r="K121" s="287"/>
      <c r="L121" s="294"/>
      <c r="M121" s="299"/>
      <c r="N121" s="414"/>
      <c r="O121" s="259"/>
      <c r="P121" s="221"/>
      <c r="Q121" s="219"/>
      <c r="R121" s="413"/>
      <c r="S121" s="221"/>
      <c r="T121" s="221"/>
      <c r="U121" s="219"/>
      <c r="V121" s="413"/>
      <c r="W121" s="294"/>
      <c r="X121" s="221"/>
    </row>
    <row r="122" spans="1:24" ht="16.149999999999999" customHeight="1" x14ac:dyDescent="0.2">
      <c r="A122" s="347"/>
      <c r="B122" s="346"/>
      <c r="C122" s="306">
        <f t="shared" si="3"/>
        <v>0</v>
      </c>
      <c r="D122" s="222"/>
      <c r="E122" s="413"/>
      <c r="F122" s="413"/>
      <c r="G122" s="221"/>
      <c r="H122" s="221"/>
      <c r="I122" s="261"/>
      <c r="J122" s="418"/>
      <c r="K122" s="264"/>
      <c r="L122" s="294"/>
      <c r="M122" s="299"/>
      <c r="N122" s="414"/>
      <c r="O122" s="259"/>
      <c r="P122" s="221"/>
      <c r="Q122" s="219"/>
      <c r="R122" s="413"/>
      <c r="S122" s="221"/>
      <c r="T122" s="221"/>
      <c r="U122" s="219"/>
      <c r="V122" s="413"/>
      <c r="W122" s="294"/>
      <c r="X122" s="221"/>
    </row>
    <row r="123" spans="1:24" ht="16.149999999999999" customHeight="1" x14ac:dyDescent="0.2">
      <c r="A123" s="347">
        <f>A119+1</f>
        <v>45076</v>
      </c>
      <c r="B123" s="346" t="str">
        <f>IF(WEEKDAY(A123)=1,"CN","T"&amp;WEEKDAY(A123))</f>
        <v>T3</v>
      </c>
      <c r="C123" s="306">
        <f t="shared" si="3"/>
        <v>139000</v>
      </c>
      <c r="D123" s="222" t="s">
        <v>189</v>
      </c>
      <c r="E123" s="413" t="s">
        <v>190</v>
      </c>
      <c r="F123" s="413"/>
      <c r="G123" s="221">
        <v>38000</v>
      </c>
      <c r="H123" s="221"/>
      <c r="I123" s="219" t="s">
        <v>124</v>
      </c>
      <c r="J123" s="418" t="s">
        <v>220</v>
      </c>
      <c r="K123" s="294">
        <v>22000</v>
      </c>
      <c r="L123" s="294"/>
      <c r="M123" s="299" t="s">
        <v>105</v>
      </c>
      <c r="N123" s="419" t="s">
        <v>230</v>
      </c>
      <c r="O123" s="259">
        <v>41000</v>
      </c>
      <c r="P123" s="221"/>
      <c r="Q123" s="219" t="s">
        <v>143</v>
      </c>
      <c r="R123" s="413" t="s">
        <v>190</v>
      </c>
      <c r="S123" s="221">
        <v>38000</v>
      </c>
      <c r="T123" s="221"/>
      <c r="U123" s="219" t="s">
        <v>124</v>
      </c>
      <c r="V123" s="413" t="s">
        <v>215</v>
      </c>
      <c r="W123" s="294">
        <v>44000</v>
      </c>
      <c r="X123" s="221"/>
    </row>
    <row r="124" spans="1:24" ht="16.149999999999999" customHeight="1" x14ac:dyDescent="0.2">
      <c r="A124" s="347"/>
      <c r="B124" s="346"/>
      <c r="C124" s="306">
        <f t="shared" si="3"/>
        <v>19000</v>
      </c>
      <c r="D124" s="222"/>
      <c r="E124" s="413"/>
      <c r="F124" s="413"/>
      <c r="G124" s="221"/>
      <c r="H124" s="221"/>
      <c r="I124" s="219" t="s">
        <v>117</v>
      </c>
      <c r="J124" s="413" t="s">
        <v>164</v>
      </c>
      <c r="K124" s="264">
        <v>19000</v>
      </c>
      <c r="L124" s="294"/>
      <c r="M124" s="299"/>
      <c r="N124" s="419"/>
      <c r="O124" s="259"/>
      <c r="P124" s="221"/>
      <c r="Q124" s="219"/>
      <c r="R124" s="413"/>
      <c r="S124" s="221"/>
      <c r="T124" s="221"/>
      <c r="U124" s="219"/>
      <c r="V124" s="413"/>
      <c r="W124" s="294"/>
      <c r="X124" s="221"/>
    </row>
    <row r="125" spans="1:24" ht="16.149999999999999" customHeight="1" x14ac:dyDescent="0.2">
      <c r="A125" s="347"/>
      <c r="B125" s="346"/>
      <c r="C125" s="306">
        <f t="shared" si="3"/>
        <v>0</v>
      </c>
      <c r="D125" s="222"/>
      <c r="E125" s="413"/>
      <c r="F125" s="413"/>
      <c r="G125" s="221"/>
      <c r="H125" s="221"/>
      <c r="I125" s="219"/>
      <c r="J125" s="418"/>
      <c r="K125" s="221"/>
      <c r="L125" s="294"/>
      <c r="M125" s="299"/>
      <c r="N125" s="414"/>
      <c r="O125" s="259"/>
      <c r="P125" s="221"/>
      <c r="Q125" s="219"/>
      <c r="R125" s="413"/>
      <c r="S125" s="221"/>
      <c r="T125" s="221"/>
      <c r="U125" s="219"/>
      <c r="V125" s="413"/>
      <c r="W125" s="294"/>
      <c r="X125" s="221"/>
    </row>
    <row r="126" spans="1:24" ht="16.149999999999999" customHeight="1" x14ac:dyDescent="0.2">
      <c r="A126" s="347"/>
      <c r="B126" s="346"/>
      <c r="C126" s="306">
        <f t="shared" si="3"/>
        <v>0</v>
      </c>
      <c r="D126" s="222"/>
      <c r="E126" s="413"/>
      <c r="F126" s="413"/>
      <c r="G126" s="221"/>
      <c r="H126" s="221"/>
      <c r="I126" s="219"/>
      <c r="J126" s="418"/>
      <c r="K126" s="221"/>
      <c r="L126" s="294"/>
      <c r="M126" s="299"/>
      <c r="N126" s="414"/>
      <c r="O126" s="259"/>
      <c r="P126" s="221"/>
      <c r="Q126" s="219"/>
      <c r="R126" s="413"/>
      <c r="S126" s="221"/>
      <c r="T126" s="221"/>
      <c r="U126" s="219"/>
      <c r="V126" s="413"/>
      <c r="W126" s="294"/>
      <c r="X126" s="221"/>
    </row>
    <row r="127" spans="1:24" ht="16.149999999999999" customHeight="1" x14ac:dyDescent="0.2">
      <c r="A127" s="347">
        <f>A123+1</f>
        <v>45077</v>
      </c>
      <c r="B127" s="346" t="str">
        <f>IF(WEEKDAY(A127)=1,"CN","T"&amp;WEEKDAY(A127))</f>
        <v>T4</v>
      </c>
      <c r="C127" s="306">
        <f t="shared" si="3"/>
        <v>135000</v>
      </c>
      <c r="D127" s="219" t="s">
        <v>234</v>
      </c>
      <c r="E127" s="413" t="s">
        <v>235</v>
      </c>
      <c r="F127" s="413"/>
      <c r="G127" s="221">
        <v>28000</v>
      </c>
      <c r="H127" s="221"/>
      <c r="I127" s="219" t="s">
        <v>117</v>
      </c>
      <c r="J127" s="413" t="s">
        <v>164</v>
      </c>
      <c r="K127" s="294">
        <v>41000</v>
      </c>
      <c r="L127" s="301"/>
      <c r="M127" s="299" t="s">
        <v>105</v>
      </c>
      <c r="N127" s="419" t="s">
        <v>230</v>
      </c>
      <c r="O127" s="259">
        <v>41000</v>
      </c>
      <c r="P127" s="221"/>
      <c r="Q127" s="219" t="s">
        <v>143</v>
      </c>
      <c r="R127" s="413" t="s">
        <v>190</v>
      </c>
      <c r="S127" s="221">
        <v>25000</v>
      </c>
      <c r="T127" s="221"/>
      <c r="U127" s="219" t="s">
        <v>124</v>
      </c>
      <c r="V127" s="413" t="s">
        <v>215</v>
      </c>
      <c r="W127" s="294">
        <v>44000</v>
      </c>
      <c r="X127" s="221"/>
    </row>
    <row r="128" spans="1:24" ht="16.149999999999999" customHeight="1" x14ac:dyDescent="0.2">
      <c r="A128" s="347"/>
      <c r="B128" s="346"/>
      <c r="C128" s="306">
        <f t="shared" si="3"/>
        <v>10000</v>
      </c>
      <c r="D128" s="219" t="s">
        <v>121</v>
      </c>
      <c r="E128" s="413"/>
      <c r="F128" s="414"/>
      <c r="G128" s="259">
        <v>10000</v>
      </c>
      <c r="H128" s="259"/>
      <c r="I128" s="219"/>
      <c r="J128" s="418"/>
      <c r="K128" s="221"/>
      <c r="L128" s="301"/>
      <c r="M128" s="299"/>
      <c r="N128" s="419"/>
      <c r="O128" s="259"/>
      <c r="P128" s="221"/>
      <c r="Q128" s="219"/>
      <c r="R128" s="413"/>
      <c r="S128" s="221"/>
      <c r="T128" s="221"/>
      <c r="U128" s="219"/>
      <c r="V128" s="413"/>
      <c r="W128" s="294"/>
      <c r="X128" s="221"/>
    </row>
    <row r="129" spans="1:24" ht="16.149999999999999" customHeight="1" x14ac:dyDescent="0.2">
      <c r="A129" s="347"/>
      <c r="B129" s="346"/>
      <c r="C129" s="306">
        <f t="shared" si="3"/>
        <v>0</v>
      </c>
      <c r="D129" s="278"/>
      <c r="E129" s="414"/>
      <c r="F129" s="414"/>
      <c r="G129" s="259"/>
      <c r="H129" s="259"/>
      <c r="I129" s="219"/>
      <c r="J129" s="418"/>
      <c r="K129" s="221"/>
      <c r="L129" s="294"/>
      <c r="M129" s="299"/>
      <c r="N129" s="414"/>
      <c r="O129" s="259"/>
      <c r="P129" s="221"/>
      <c r="Q129" s="219"/>
      <c r="R129" s="413"/>
      <c r="S129" s="221"/>
      <c r="T129" s="221"/>
      <c r="U129" s="219"/>
      <c r="V129" s="413"/>
      <c r="W129" s="294"/>
      <c r="X129" s="221"/>
    </row>
    <row r="130" spans="1:24" ht="16.149999999999999" customHeight="1" x14ac:dyDescent="0.2">
      <c r="A130" s="347"/>
      <c r="B130" s="346"/>
      <c r="C130" s="306">
        <f t="shared" si="3"/>
        <v>0</v>
      </c>
      <c r="D130" s="278"/>
      <c r="E130" s="414"/>
      <c r="F130" s="414"/>
      <c r="G130" s="259"/>
      <c r="H130" s="259"/>
      <c r="I130" s="219"/>
      <c r="J130" s="418"/>
      <c r="K130" s="221"/>
      <c r="L130" s="294"/>
      <c r="M130" s="299"/>
      <c r="N130" s="414"/>
      <c r="O130" s="259"/>
      <c r="P130" s="221"/>
      <c r="Q130" s="219"/>
      <c r="R130" s="413"/>
      <c r="S130" s="221"/>
      <c r="T130" s="221"/>
      <c r="U130" s="219"/>
      <c r="V130" s="413"/>
      <c r="W130" s="294"/>
      <c r="X130" s="221"/>
    </row>
    <row r="131" spans="1:24" ht="16.149999999999999" customHeight="1" x14ac:dyDescent="0.2">
      <c r="A131" s="421">
        <f>A127+1</f>
        <v>45078</v>
      </c>
      <c r="B131" s="346" t="str">
        <f>IF(WEEKDAY(A131)=1,"CN","T"&amp;WEEKDAY(A131))</f>
        <v>T5</v>
      </c>
      <c r="C131" s="306">
        <f t="shared" si="3"/>
        <v>96000</v>
      </c>
      <c r="D131" s="219" t="s">
        <v>121</v>
      </c>
      <c r="E131" s="413"/>
      <c r="F131" s="422"/>
      <c r="G131" s="221">
        <v>14000</v>
      </c>
      <c r="H131" s="259"/>
      <c r="I131" s="219" t="s">
        <v>117</v>
      </c>
      <c r="J131" s="413" t="s">
        <v>164</v>
      </c>
      <c r="K131" s="221">
        <v>41000</v>
      </c>
      <c r="L131" s="294"/>
      <c r="M131" s="299" t="s">
        <v>105</v>
      </c>
      <c r="N131" s="419" t="s">
        <v>230</v>
      </c>
      <c r="O131" s="259">
        <v>41000</v>
      </c>
      <c r="P131" s="221"/>
      <c r="Q131" s="219"/>
      <c r="R131" s="413"/>
      <c r="S131" s="221"/>
      <c r="T131" s="221"/>
      <c r="U131" s="219" t="s">
        <v>124</v>
      </c>
      <c r="V131" s="413" t="s">
        <v>215</v>
      </c>
      <c r="W131" s="294">
        <v>44000</v>
      </c>
      <c r="X131" s="221"/>
    </row>
    <row r="132" spans="1:24" ht="16.149999999999999" customHeight="1" x14ac:dyDescent="0.2">
      <c r="A132" s="421"/>
      <c r="B132" s="346"/>
      <c r="C132" s="306">
        <f t="shared" ref="C132:C151" si="4">SUM(D132:W132)</f>
        <v>65000</v>
      </c>
      <c r="D132" s="219" t="s">
        <v>104</v>
      </c>
      <c r="E132" s="413" t="s">
        <v>193</v>
      </c>
      <c r="F132" s="413"/>
      <c r="G132" s="221">
        <v>24000</v>
      </c>
      <c r="H132" s="259"/>
      <c r="I132" s="219"/>
      <c r="J132" s="418"/>
      <c r="K132" s="294"/>
      <c r="L132" s="294"/>
      <c r="M132" s="299"/>
      <c r="N132" s="419"/>
      <c r="O132" s="259"/>
      <c r="P132" s="221"/>
      <c r="Q132" s="219" t="s">
        <v>203</v>
      </c>
      <c r="R132" s="413" t="s">
        <v>231</v>
      </c>
      <c r="S132" s="221">
        <f>41000-S131</f>
        <v>41000</v>
      </c>
      <c r="T132" s="221"/>
      <c r="U132" s="219"/>
      <c r="V132" s="413"/>
      <c r="W132" s="294"/>
      <c r="X132" s="221"/>
    </row>
    <row r="133" spans="1:24" ht="16.149999999999999" customHeight="1" x14ac:dyDescent="0.2">
      <c r="A133" s="421"/>
      <c r="B133" s="346"/>
      <c r="C133" s="306">
        <f t="shared" si="4"/>
        <v>0</v>
      </c>
      <c r="D133" s="259"/>
      <c r="E133" s="259"/>
      <c r="F133" s="259"/>
      <c r="G133" s="259"/>
      <c r="H133" s="259"/>
      <c r="I133" s="219"/>
      <c r="J133" s="418"/>
      <c r="K133" s="294"/>
      <c r="L133" s="294"/>
      <c r="M133" s="299"/>
      <c r="N133" s="414"/>
      <c r="O133" s="259"/>
      <c r="P133" s="221"/>
      <c r="Q133" s="219"/>
      <c r="R133" s="413"/>
      <c r="S133" s="221"/>
      <c r="T133" s="221"/>
      <c r="U133" s="219"/>
      <c r="V133" s="413"/>
      <c r="W133" s="294"/>
      <c r="X133" s="221"/>
    </row>
    <row r="134" spans="1:24" ht="16.149999999999999" customHeight="1" x14ac:dyDescent="0.2">
      <c r="A134" s="421"/>
      <c r="B134" s="346"/>
      <c r="C134" s="306">
        <f t="shared" si="4"/>
        <v>0</v>
      </c>
      <c r="D134" s="278"/>
      <c r="E134" s="414"/>
      <c r="F134" s="414"/>
      <c r="G134" s="259"/>
      <c r="H134" s="259"/>
      <c r="I134" s="219"/>
      <c r="J134" s="418"/>
      <c r="K134" s="294"/>
      <c r="L134" s="294"/>
      <c r="M134" s="299"/>
      <c r="N134" s="414"/>
      <c r="O134" s="259"/>
      <c r="P134" s="221"/>
      <c r="Q134" s="219"/>
      <c r="R134" s="413"/>
      <c r="S134" s="221"/>
      <c r="T134" s="221"/>
      <c r="U134" s="219"/>
      <c r="V134" s="413"/>
      <c r="W134" s="294"/>
      <c r="X134" s="221"/>
    </row>
    <row r="135" spans="1:24" x14ac:dyDescent="0.2">
      <c r="A135" s="421">
        <f>A131+1</f>
        <v>45079</v>
      </c>
      <c r="B135" s="346" t="str">
        <f>IF(WEEKDAY(A135)=1,"CN","T"&amp;WEEKDAY(A135))</f>
        <v>T6</v>
      </c>
      <c r="C135" s="306">
        <f t="shared" si="4"/>
        <v>120500</v>
      </c>
      <c r="D135" s="299" t="s">
        <v>125</v>
      </c>
      <c r="E135" s="414"/>
      <c r="F135" s="301"/>
      <c r="G135" s="259">
        <v>38000</v>
      </c>
      <c r="H135" s="259"/>
      <c r="I135" s="219"/>
      <c r="J135" s="413"/>
      <c r="K135" s="221"/>
      <c r="L135" s="294"/>
      <c r="M135" s="299" t="s">
        <v>105</v>
      </c>
      <c r="N135" s="419" t="s">
        <v>230</v>
      </c>
      <c r="O135" s="259">
        <v>23000</v>
      </c>
      <c r="P135" s="221"/>
      <c r="Q135" s="219" t="s">
        <v>203</v>
      </c>
      <c r="R135" s="413" t="s">
        <v>231</v>
      </c>
      <c r="S135" s="221">
        <v>41000</v>
      </c>
      <c r="T135" s="221"/>
      <c r="U135" s="219" t="s">
        <v>124</v>
      </c>
      <c r="V135" s="413" t="s">
        <v>215</v>
      </c>
      <c r="W135" s="294">
        <v>18500</v>
      </c>
      <c r="X135" s="221"/>
    </row>
    <row r="136" spans="1:24" x14ac:dyDescent="0.2">
      <c r="A136" s="421"/>
      <c r="B136" s="346"/>
      <c r="C136" s="306">
        <f t="shared" si="4"/>
        <v>29000</v>
      </c>
      <c r="D136" s="299"/>
      <c r="E136" s="414"/>
      <c r="F136" s="301"/>
      <c r="G136" s="259"/>
      <c r="H136" s="259"/>
      <c r="I136" s="219" t="s">
        <v>117</v>
      </c>
      <c r="J136" s="413" t="s">
        <v>164</v>
      </c>
      <c r="K136" s="264">
        <v>11000</v>
      </c>
      <c r="L136" s="294"/>
      <c r="M136" s="299" t="s">
        <v>115</v>
      </c>
      <c r="N136" s="414" t="s">
        <v>216</v>
      </c>
      <c r="O136" s="259">
        <v>18000</v>
      </c>
      <c r="P136" s="221"/>
      <c r="Q136" s="219"/>
      <c r="R136" s="413"/>
      <c r="S136" s="221"/>
      <c r="T136" s="221"/>
      <c r="U136" s="219"/>
      <c r="V136" s="413"/>
      <c r="W136" s="294"/>
      <c r="X136" s="221"/>
    </row>
    <row r="137" spans="1:24" x14ac:dyDescent="0.2">
      <c r="A137" s="421"/>
      <c r="B137" s="346"/>
      <c r="C137" s="306">
        <f t="shared" si="4"/>
        <v>30000</v>
      </c>
      <c r="D137" s="278"/>
      <c r="E137" s="414"/>
      <c r="F137" s="414"/>
      <c r="G137" s="259"/>
      <c r="H137" s="259"/>
      <c r="I137" s="219" t="s">
        <v>124</v>
      </c>
      <c r="J137" s="413" t="s">
        <v>218</v>
      </c>
      <c r="K137" s="221">
        <v>30000</v>
      </c>
      <c r="L137" s="294"/>
      <c r="M137" s="299"/>
      <c r="N137" s="414"/>
      <c r="O137" s="259"/>
      <c r="P137" s="221"/>
      <c r="Q137" s="219"/>
      <c r="R137" s="413"/>
      <c r="S137" s="221"/>
      <c r="T137" s="221"/>
      <c r="U137" s="295"/>
      <c r="V137" s="423"/>
      <c r="W137" s="300"/>
      <c r="X137" s="205"/>
    </row>
    <row r="138" spans="1:24" x14ac:dyDescent="0.2">
      <c r="A138" s="421"/>
      <c r="B138" s="346"/>
      <c r="C138" s="306">
        <f t="shared" si="4"/>
        <v>0</v>
      </c>
      <c r="D138" s="278"/>
      <c r="E138" s="414"/>
      <c r="F138" s="414"/>
      <c r="G138" s="259"/>
      <c r="H138" s="259"/>
      <c r="I138" s="219"/>
      <c r="J138" s="418"/>
      <c r="K138" s="221"/>
      <c r="L138" s="294"/>
      <c r="M138" s="299"/>
      <c r="N138" s="414"/>
      <c r="O138" s="259"/>
      <c r="P138" s="221"/>
      <c r="Q138" s="219"/>
      <c r="R138" s="413"/>
      <c r="S138" s="221"/>
      <c r="T138" s="221"/>
      <c r="U138" s="295"/>
      <c r="V138" s="423"/>
      <c r="W138" s="300"/>
      <c r="X138" s="205"/>
    </row>
    <row r="139" spans="1:24" x14ac:dyDescent="0.2">
      <c r="A139" s="421">
        <f>A135+1</f>
        <v>45080</v>
      </c>
      <c r="B139" s="346" t="str">
        <f>IF(WEEKDAY(A139)=1,"CN","T"&amp;WEEKDAY(A139))</f>
        <v>T7</v>
      </c>
      <c r="C139" s="306">
        <f t="shared" si="4"/>
        <v>161000</v>
      </c>
      <c r="D139" s="299" t="s">
        <v>125</v>
      </c>
      <c r="E139" s="414"/>
      <c r="F139" s="301"/>
      <c r="G139" s="259">
        <v>38000</v>
      </c>
      <c r="H139" s="259"/>
      <c r="I139" s="219" t="s">
        <v>124</v>
      </c>
      <c r="J139" s="413" t="s">
        <v>218</v>
      </c>
      <c r="K139" s="294">
        <v>41000</v>
      </c>
      <c r="L139" s="221"/>
      <c r="M139" s="299" t="s">
        <v>115</v>
      </c>
      <c r="N139" s="414" t="s">
        <v>216</v>
      </c>
      <c r="O139" s="259">
        <v>41000</v>
      </c>
      <c r="P139" s="221"/>
      <c r="Q139" s="219" t="s">
        <v>203</v>
      </c>
      <c r="R139" s="413" t="s">
        <v>231</v>
      </c>
      <c r="S139" s="221">
        <v>41000</v>
      </c>
      <c r="T139" s="221"/>
      <c r="U139" s="295"/>
      <c r="V139" s="423"/>
      <c r="W139" s="300"/>
      <c r="X139" s="205"/>
    </row>
    <row r="140" spans="1:24" x14ac:dyDescent="0.2">
      <c r="A140" s="421"/>
      <c r="B140" s="346"/>
      <c r="C140" s="306">
        <f t="shared" si="4"/>
        <v>0</v>
      </c>
      <c r="D140" s="299"/>
      <c r="E140" s="414"/>
      <c r="F140" s="301"/>
      <c r="G140" s="259"/>
      <c r="H140" s="259"/>
      <c r="I140" s="219"/>
      <c r="J140" s="418"/>
      <c r="K140" s="221"/>
      <c r="L140" s="287"/>
      <c r="M140" s="299"/>
      <c r="N140" s="414"/>
      <c r="O140" s="259"/>
      <c r="P140" s="221"/>
      <c r="Q140" s="219"/>
      <c r="R140" s="413"/>
      <c r="S140" s="221"/>
      <c r="T140" s="221"/>
      <c r="U140" s="295"/>
      <c r="V140" s="412"/>
      <c r="W140" s="300"/>
      <c r="X140" s="205"/>
    </row>
    <row r="141" spans="1:24" x14ac:dyDescent="0.2">
      <c r="A141" s="421"/>
      <c r="B141" s="346"/>
      <c r="C141" s="306">
        <f t="shared" si="4"/>
        <v>0</v>
      </c>
      <c r="D141" s="278"/>
      <c r="E141" s="414"/>
      <c r="F141" s="414"/>
      <c r="G141" s="259"/>
      <c r="H141" s="259"/>
      <c r="I141" s="219"/>
      <c r="J141" s="418"/>
      <c r="K141" s="221"/>
      <c r="L141" s="287"/>
      <c r="M141" s="299"/>
      <c r="N141" s="414"/>
      <c r="O141" s="259"/>
      <c r="P141" s="221"/>
      <c r="Q141" s="219"/>
      <c r="R141" s="413"/>
      <c r="S141" s="221"/>
      <c r="T141" s="221"/>
      <c r="U141" s="295"/>
      <c r="V141" s="412"/>
      <c r="W141" s="300"/>
      <c r="X141" s="205"/>
    </row>
    <row r="142" spans="1:24" x14ac:dyDescent="0.2">
      <c r="A142" s="421"/>
      <c r="B142" s="346"/>
      <c r="C142" s="306">
        <f t="shared" si="4"/>
        <v>0</v>
      </c>
      <c r="D142" s="278"/>
      <c r="E142" s="414"/>
      <c r="F142" s="414"/>
      <c r="G142" s="259"/>
      <c r="H142" s="259"/>
      <c r="I142" s="219"/>
      <c r="J142" s="413"/>
      <c r="K142" s="294"/>
      <c r="L142" s="287"/>
      <c r="M142" s="299"/>
      <c r="N142" s="414"/>
      <c r="O142" s="259"/>
      <c r="P142" s="221"/>
      <c r="Q142" s="219"/>
      <c r="R142" s="413"/>
      <c r="S142" s="221"/>
      <c r="T142" s="221"/>
      <c r="U142" s="295"/>
      <c r="V142" s="412"/>
      <c r="W142" s="300"/>
      <c r="X142" s="205"/>
    </row>
    <row r="143" spans="1:24" x14ac:dyDescent="0.2">
      <c r="A143" s="421">
        <f>A139+1</f>
        <v>45081</v>
      </c>
      <c r="B143" s="346" t="str">
        <f>IF(WEEKDAY(A143)=1,"CN","T"&amp;WEEKDAY(A143))</f>
        <v>CN</v>
      </c>
      <c r="C143" s="306">
        <f t="shared" si="4"/>
        <v>24000</v>
      </c>
      <c r="D143" s="278"/>
      <c r="E143" s="414"/>
      <c r="F143" s="414"/>
      <c r="G143" s="259"/>
      <c r="H143" s="259"/>
      <c r="I143" s="219"/>
      <c r="J143" s="418"/>
      <c r="K143" s="221"/>
      <c r="L143" s="287"/>
      <c r="M143" s="299"/>
      <c r="N143" s="414"/>
      <c r="O143" s="259"/>
      <c r="P143" s="221"/>
      <c r="Q143" s="219" t="s">
        <v>203</v>
      </c>
      <c r="R143" s="413" t="s">
        <v>231</v>
      </c>
      <c r="S143" s="221">
        <v>24000</v>
      </c>
      <c r="T143" s="221"/>
      <c r="U143" s="295"/>
      <c r="V143" s="412"/>
      <c r="W143" s="300"/>
      <c r="X143" s="205"/>
    </row>
    <row r="144" spans="1:24" x14ac:dyDescent="0.2">
      <c r="A144" s="421"/>
      <c r="B144" s="346"/>
      <c r="C144" s="306">
        <f t="shared" si="4"/>
        <v>17000</v>
      </c>
      <c r="D144" s="299"/>
      <c r="E144" s="414"/>
      <c r="F144" s="414"/>
      <c r="G144" s="259"/>
      <c r="H144" s="259"/>
      <c r="I144" s="219"/>
      <c r="J144" s="418"/>
      <c r="K144" s="221"/>
      <c r="L144" s="264"/>
      <c r="M144" s="299"/>
      <c r="N144" s="414"/>
      <c r="O144" s="259"/>
      <c r="P144" s="221"/>
      <c r="Q144" s="219" t="s">
        <v>115</v>
      </c>
      <c r="R144" s="418" t="s">
        <v>223</v>
      </c>
      <c r="S144" s="221">
        <v>17000</v>
      </c>
      <c r="T144" s="221"/>
      <c r="U144" s="295"/>
      <c r="V144" s="412"/>
      <c r="W144" s="300"/>
      <c r="X144" s="205"/>
    </row>
    <row r="145" spans="1:28" x14ac:dyDescent="0.2">
      <c r="A145" s="421"/>
      <c r="B145" s="346"/>
      <c r="C145" s="306">
        <f t="shared" si="4"/>
        <v>0</v>
      </c>
      <c r="D145" s="299"/>
      <c r="E145" s="414"/>
      <c r="F145" s="414"/>
      <c r="G145" s="259"/>
      <c r="H145" s="259"/>
      <c r="I145" s="219"/>
      <c r="J145" s="418"/>
      <c r="K145" s="221"/>
      <c r="L145" s="264"/>
      <c r="M145" s="299"/>
      <c r="N145" s="414"/>
      <c r="O145" s="259"/>
      <c r="P145" s="221"/>
      <c r="Q145" s="219"/>
      <c r="R145" s="418"/>
      <c r="S145" s="221"/>
      <c r="T145" s="221"/>
      <c r="U145" s="295"/>
      <c r="V145" s="412"/>
      <c r="W145" s="300"/>
      <c r="X145" s="205"/>
    </row>
    <row r="146" spans="1:28" x14ac:dyDescent="0.2">
      <c r="A146" s="421"/>
      <c r="B146" s="346"/>
      <c r="C146" s="306">
        <f t="shared" si="4"/>
        <v>0</v>
      </c>
      <c r="D146" s="299"/>
      <c r="E146" s="414"/>
      <c r="F146" s="414"/>
      <c r="G146" s="259"/>
      <c r="H146" s="259"/>
      <c r="I146" s="219"/>
      <c r="J146" s="413"/>
      <c r="K146" s="221"/>
      <c r="L146" s="264"/>
      <c r="M146" s="299"/>
      <c r="N146" s="414"/>
      <c r="O146" s="259"/>
      <c r="P146" s="221"/>
      <c r="Q146" s="219"/>
      <c r="R146" s="418"/>
      <c r="S146" s="221"/>
      <c r="T146" s="221"/>
      <c r="U146" s="295"/>
      <c r="V146" s="412"/>
      <c r="W146" s="300"/>
      <c r="X146" s="205"/>
    </row>
    <row r="147" spans="1:28" x14ac:dyDescent="0.2">
      <c r="A147" s="421">
        <f>A143+1</f>
        <v>45082</v>
      </c>
      <c r="B147" s="346" t="str">
        <f>IF(WEEKDAY(A147)=1,"CN","T"&amp;WEEKDAY(A147))</f>
        <v>T2</v>
      </c>
      <c r="C147" s="306">
        <f t="shared" si="4"/>
        <v>118000</v>
      </c>
      <c r="D147" s="299" t="s">
        <v>125</v>
      </c>
      <c r="E147" s="414"/>
      <c r="F147" s="301"/>
      <c r="G147" s="259">
        <v>38000</v>
      </c>
      <c r="H147" s="259"/>
      <c r="I147" s="219" t="s">
        <v>124</v>
      </c>
      <c r="J147" s="413" t="s">
        <v>218</v>
      </c>
      <c r="K147" s="221">
        <v>39000</v>
      </c>
      <c r="L147" s="221"/>
      <c r="M147" s="299" t="s">
        <v>115</v>
      </c>
      <c r="N147" s="414" t="s">
        <v>216</v>
      </c>
      <c r="O147" s="259">
        <v>41000</v>
      </c>
      <c r="P147" s="221"/>
      <c r="Q147" s="219" t="s">
        <v>116</v>
      </c>
      <c r="R147" s="418"/>
      <c r="S147" s="221"/>
      <c r="T147" s="221"/>
      <c r="U147" s="299"/>
      <c r="V147" s="414"/>
      <c r="W147" s="301"/>
      <c r="X147" s="259"/>
    </row>
    <row r="148" spans="1:28" x14ac:dyDescent="0.2">
      <c r="A148" s="421"/>
      <c r="B148" s="346"/>
      <c r="C148" s="306">
        <f t="shared" si="4"/>
        <v>0</v>
      </c>
      <c r="D148" s="299"/>
      <c r="E148" s="414"/>
      <c r="F148" s="414"/>
      <c r="G148" s="259"/>
      <c r="H148" s="259"/>
      <c r="I148" s="219"/>
      <c r="J148" s="413"/>
      <c r="K148" s="221"/>
      <c r="L148" s="221"/>
      <c r="M148" s="299"/>
      <c r="N148" s="414"/>
      <c r="O148" s="259"/>
      <c r="P148" s="221"/>
      <c r="Q148" s="219"/>
      <c r="R148" s="418"/>
      <c r="S148" s="221"/>
      <c r="T148" s="221"/>
      <c r="U148" s="299"/>
      <c r="V148" s="414"/>
      <c r="W148" s="300"/>
      <c r="X148" s="205"/>
    </row>
    <row r="149" spans="1:28" x14ac:dyDescent="0.2">
      <c r="A149" s="421"/>
      <c r="B149" s="346"/>
      <c r="C149" s="306">
        <f t="shared" si="4"/>
        <v>0</v>
      </c>
      <c r="D149" s="299"/>
      <c r="E149" s="414"/>
      <c r="F149" s="414"/>
      <c r="G149" s="259"/>
      <c r="H149" s="259"/>
      <c r="I149" s="219"/>
      <c r="J149" s="418"/>
      <c r="K149" s="294"/>
      <c r="L149" s="221"/>
      <c r="M149" s="299"/>
      <c r="N149" s="414"/>
      <c r="O149" s="259"/>
      <c r="P149" s="221"/>
      <c r="Q149" s="219"/>
      <c r="R149" s="418"/>
      <c r="S149" s="221"/>
      <c r="T149" s="221"/>
      <c r="U149" s="295"/>
      <c r="V149" s="412"/>
      <c r="W149" s="300"/>
      <c r="X149" s="205"/>
    </row>
    <row r="150" spans="1:28" x14ac:dyDescent="0.2">
      <c r="A150" s="421"/>
      <c r="B150" s="346"/>
      <c r="C150" s="306">
        <f t="shared" si="4"/>
        <v>0</v>
      </c>
      <c r="D150" s="299"/>
      <c r="E150" s="414"/>
      <c r="F150" s="414"/>
      <c r="G150" s="259"/>
      <c r="H150" s="259"/>
      <c r="I150" s="219"/>
      <c r="J150" s="413"/>
      <c r="K150" s="221"/>
      <c r="L150" s="221"/>
      <c r="M150" s="299"/>
      <c r="N150" s="414"/>
      <c r="O150" s="259"/>
      <c r="P150" s="221"/>
      <c r="Q150" s="219"/>
      <c r="R150" s="418"/>
      <c r="S150" s="221"/>
      <c r="T150" s="221"/>
      <c r="U150" s="295"/>
      <c r="V150" s="412"/>
      <c r="W150" s="300"/>
      <c r="X150" s="205"/>
    </row>
    <row r="151" spans="1:28" x14ac:dyDescent="0.2">
      <c r="A151" s="421">
        <f>A147+1</f>
        <v>45083</v>
      </c>
      <c r="B151" s="346" t="str">
        <f>IF(WEEKDAY(A151)=1,"CN","T"&amp;WEEKDAY(A151))</f>
        <v>T3</v>
      </c>
      <c r="C151" s="306">
        <f t="shared" si="4"/>
        <v>84000</v>
      </c>
      <c r="D151" s="299"/>
      <c r="E151" s="414"/>
      <c r="F151" s="414"/>
      <c r="G151" s="259"/>
      <c r="H151" s="259"/>
      <c r="I151" s="394" t="s">
        <v>105</v>
      </c>
      <c r="J151" s="424" t="s">
        <v>185</v>
      </c>
      <c r="K151" s="395">
        <v>2000</v>
      </c>
      <c r="L151" s="396"/>
      <c r="M151" s="299" t="s">
        <v>115</v>
      </c>
      <c r="N151" s="414" t="s">
        <v>216</v>
      </c>
      <c r="O151" s="259">
        <v>41000</v>
      </c>
      <c r="P151" s="221"/>
      <c r="Q151" s="219" t="s">
        <v>115</v>
      </c>
      <c r="R151" s="418" t="s">
        <v>223</v>
      </c>
      <c r="S151" s="221">
        <v>41000</v>
      </c>
      <c r="T151" s="221"/>
      <c r="U151" s="299"/>
      <c r="V151" s="414"/>
      <c r="W151" s="301"/>
      <c r="X151" s="259"/>
    </row>
    <row r="152" spans="1:28" x14ac:dyDescent="0.2">
      <c r="A152" s="421"/>
      <c r="B152" s="346"/>
      <c r="C152" s="306">
        <f t="shared" ref="C152:C215" si="5">SUM(D152:S152)</f>
        <v>3000</v>
      </c>
      <c r="D152" s="299"/>
      <c r="E152" s="414"/>
      <c r="F152" s="414"/>
      <c r="G152" s="259"/>
      <c r="H152" s="259"/>
      <c r="I152" s="394" t="s">
        <v>105</v>
      </c>
      <c r="J152" s="424" t="s">
        <v>183</v>
      </c>
      <c r="K152" s="396">
        <v>3000</v>
      </c>
      <c r="L152" s="396"/>
      <c r="M152" s="299"/>
      <c r="N152" s="414"/>
      <c r="O152" s="259"/>
      <c r="P152" s="221"/>
      <c r="Q152" s="219"/>
      <c r="R152" s="418"/>
      <c r="S152" s="221"/>
      <c r="T152" s="221"/>
      <c r="U152" s="295"/>
      <c r="V152" s="412"/>
      <c r="W152" s="300"/>
      <c r="X152" s="205"/>
      <c r="Y152" s="310"/>
      <c r="Z152" s="425"/>
      <c r="AA152" s="426"/>
      <c r="AB152" s="311"/>
    </row>
    <row r="153" spans="1:28" x14ac:dyDescent="0.2">
      <c r="A153" s="421"/>
      <c r="B153" s="346"/>
      <c r="C153" s="306">
        <f t="shared" si="5"/>
        <v>30000</v>
      </c>
      <c r="D153" s="299"/>
      <c r="E153" s="414"/>
      <c r="F153" s="414"/>
      <c r="G153" s="259"/>
      <c r="H153" s="259"/>
      <c r="I153" s="219" t="s">
        <v>105</v>
      </c>
      <c r="J153" s="413" t="s">
        <v>184</v>
      </c>
      <c r="K153" s="221">
        <v>30000</v>
      </c>
      <c r="L153" s="221"/>
      <c r="M153" s="299"/>
      <c r="N153" s="414"/>
      <c r="O153" s="259"/>
      <c r="P153" s="221"/>
      <c r="Q153" s="219"/>
      <c r="R153" s="418"/>
      <c r="S153" s="221"/>
      <c r="T153" s="221"/>
      <c r="U153" s="295"/>
      <c r="V153" s="412"/>
      <c r="W153" s="300"/>
      <c r="X153" s="205"/>
      <c r="Y153" s="310"/>
      <c r="Z153" s="425"/>
      <c r="AA153" s="426"/>
      <c r="AB153" s="311"/>
    </row>
    <row r="154" spans="1:28" x14ac:dyDescent="0.2">
      <c r="A154" s="421"/>
      <c r="B154" s="346"/>
      <c r="C154" s="306">
        <f t="shared" si="5"/>
        <v>6000</v>
      </c>
      <c r="D154" s="299"/>
      <c r="E154" s="414"/>
      <c r="F154" s="414"/>
      <c r="G154" s="259"/>
      <c r="H154" s="259"/>
      <c r="I154" s="219" t="s">
        <v>105</v>
      </c>
      <c r="J154" s="413" t="s">
        <v>164</v>
      </c>
      <c r="K154" s="308">
        <v>6000</v>
      </c>
      <c r="L154" s="221"/>
      <c r="M154" s="299"/>
      <c r="N154" s="414"/>
      <c r="O154" s="259"/>
      <c r="P154" s="221"/>
      <c r="Q154" s="219"/>
      <c r="R154" s="418"/>
      <c r="S154" s="221"/>
      <c r="T154" s="221"/>
      <c r="U154" s="295"/>
      <c r="V154" s="412"/>
      <c r="W154" s="300"/>
      <c r="X154" s="205"/>
      <c r="Y154" s="310"/>
      <c r="Z154" s="425"/>
      <c r="AA154" s="426"/>
      <c r="AB154" s="311"/>
    </row>
    <row r="155" spans="1:28" x14ac:dyDescent="0.2">
      <c r="A155" s="421">
        <f>A151+1</f>
        <v>45084</v>
      </c>
      <c r="B155" s="346" t="str">
        <f>IF(WEEKDAY(A155)=1,"CN","T"&amp;WEEKDAY(A155))</f>
        <v>T4</v>
      </c>
      <c r="C155" s="306">
        <f t="shared" si="5"/>
        <v>151000</v>
      </c>
      <c r="D155" s="278" t="s">
        <v>124</v>
      </c>
      <c r="E155" s="414" t="s">
        <v>236</v>
      </c>
      <c r="F155" s="414"/>
      <c r="G155" s="259">
        <v>38000</v>
      </c>
      <c r="H155" s="259"/>
      <c r="I155" s="219" t="s">
        <v>105</v>
      </c>
      <c r="J155" s="413" t="s">
        <v>164</v>
      </c>
      <c r="K155" s="221">
        <v>31000</v>
      </c>
      <c r="L155" s="221"/>
      <c r="M155" s="299" t="s">
        <v>115</v>
      </c>
      <c r="N155" s="414" t="s">
        <v>216</v>
      </c>
      <c r="O155" s="259">
        <v>41000</v>
      </c>
      <c r="P155" s="221"/>
      <c r="Q155" s="219" t="s">
        <v>115</v>
      </c>
      <c r="R155" s="418" t="s">
        <v>223</v>
      </c>
      <c r="S155" s="221">
        <f>41000-S154</f>
        <v>41000</v>
      </c>
      <c r="T155" s="221"/>
      <c r="U155" s="299"/>
      <c r="V155" s="414"/>
      <c r="W155" s="301"/>
      <c r="X155" s="259"/>
      <c r="Y155" s="310"/>
      <c r="Z155" s="425"/>
      <c r="AA155" s="426"/>
      <c r="AB155" s="311"/>
    </row>
    <row r="156" spans="1:28" x14ac:dyDescent="0.2">
      <c r="A156" s="421"/>
      <c r="B156" s="346"/>
      <c r="C156" s="306">
        <f t="shared" si="5"/>
        <v>10000</v>
      </c>
      <c r="D156" s="299"/>
      <c r="E156" s="414"/>
      <c r="F156" s="414"/>
      <c r="G156" s="259"/>
      <c r="H156" s="259"/>
      <c r="I156" s="394" t="s">
        <v>105</v>
      </c>
      <c r="J156" s="412" t="s">
        <v>103</v>
      </c>
      <c r="K156" s="396">
        <v>10000</v>
      </c>
      <c r="L156" s="396"/>
      <c r="M156" s="299"/>
      <c r="N156" s="414"/>
      <c r="O156" s="259"/>
      <c r="P156" s="221"/>
      <c r="Q156" s="219"/>
      <c r="R156" s="418"/>
      <c r="S156" s="221"/>
      <c r="T156" s="221"/>
      <c r="U156" s="299"/>
      <c r="V156" s="414"/>
      <c r="W156" s="301"/>
      <c r="X156" s="259"/>
    </row>
    <row r="157" spans="1:28" x14ac:dyDescent="0.2">
      <c r="A157" s="421"/>
      <c r="B157" s="346"/>
      <c r="C157" s="306">
        <f t="shared" si="5"/>
        <v>0</v>
      </c>
      <c r="D157" s="278"/>
      <c r="E157" s="414"/>
      <c r="F157" s="414"/>
      <c r="G157" s="259"/>
      <c r="H157" s="259"/>
      <c r="I157" s="394"/>
      <c r="J157" s="412"/>
      <c r="K157" s="396"/>
      <c r="L157" s="396"/>
      <c r="M157" s="299"/>
      <c r="N157" s="414"/>
      <c r="O157" s="259"/>
      <c r="P157" s="221"/>
      <c r="Q157" s="219"/>
      <c r="R157" s="418"/>
      <c r="S157" s="221"/>
      <c r="T157" s="221"/>
      <c r="U157" s="295"/>
      <c r="V157" s="412"/>
      <c r="W157" s="300"/>
      <c r="X157" s="205"/>
    </row>
    <row r="158" spans="1:28" x14ac:dyDescent="0.2">
      <c r="A158" s="421"/>
      <c r="B158" s="346"/>
      <c r="C158" s="306">
        <f t="shared" si="5"/>
        <v>0</v>
      </c>
      <c r="D158" s="278"/>
      <c r="E158" s="414"/>
      <c r="F158" s="414"/>
      <c r="G158" s="259"/>
      <c r="H158" s="259"/>
      <c r="I158" s="394"/>
      <c r="J158" s="424"/>
      <c r="K158" s="396"/>
      <c r="L158" s="396"/>
      <c r="M158" s="299"/>
      <c r="N158" s="414"/>
      <c r="O158" s="259"/>
      <c r="P158" s="221"/>
      <c r="Q158" s="219"/>
      <c r="R158" s="418"/>
      <c r="S158" s="221"/>
      <c r="T158" s="221"/>
      <c r="U158" s="295"/>
      <c r="V158" s="412"/>
      <c r="W158" s="300"/>
      <c r="X158" s="205"/>
    </row>
    <row r="159" spans="1:28" x14ac:dyDescent="0.2">
      <c r="A159" s="421">
        <f>A155+1</f>
        <v>45085</v>
      </c>
      <c r="B159" s="346" t="str">
        <f>IF(WEEKDAY(A159)=1,"CN","T"&amp;WEEKDAY(A159))</f>
        <v>T5</v>
      </c>
      <c r="C159" s="306">
        <f t="shared" si="5"/>
        <v>86000</v>
      </c>
      <c r="D159" s="278" t="s">
        <v>124</v>
      </c>
      <c r="E159" s="414" t="s">
        <v>236</v>
      </c>
      <c r="F159" s="427"/>
      <c r="G159" s="259">
        <v>6000</v>
      </c>
      <c r="H159" s="259"/>
      <c r="I159" s="394" t="s">
        <v>105</v>
      </c>
      <c r="J159" s="412" t="s">
        <v>183</v>
      </c>
      <c r="K159" s="396">
        <v>3000</v>
      </c>
      <c r="L159" s="396"/>
      <c r="M159" s="299" t="s">
        <v>115</v>
      </c>
      <c r="N159" s="414" t="s">
        <v>216</v>
      </c>
      <c r="O159" s="259">
        <v>41000</v>
      </c>
      <c r="P159" s="221"/>
      <c r="Q159" s="219" t="s">
        <v>115</v>
      </c>
      <c r="R159" s="418" t="s">
        <v>223</v>
      </c>
      <c r="S159" s="221">
        <v>36000</v>
      </c>
      <c r="T159" s="221"/>
      <c r="U159" s="299"/>
      <c r="V159" s="414"/>
      <c r="W159" s="301"/>
      <c r="X159" s="259"/>
    </row>
    <row r="160" spans="1:28" x14ac:dyDescent="0.2">
      <c r="A160" s="421"/>
      <c r="B160" s="346"/>
      <c r="C160" s="306">
        <f t="shared" si="5"/>
        <v>54000</v>
      </c>
      <c r="D160" s="299" t="s">
        <v>121</v>
      </c>
      <c r="E160" s="414"/>
      <c r="F160" s="427"/>
      <c r="G160" s="301">
        <v>24000</v>
      </c>
      <c r="H160" s="299"/>
      <c r="I160" s="394" t="s">
        <v>105</v>
      </c>
      <c r="J160" s="412" t="s">
        <v>165</v>
      </c>
      <c r="K160" s="396">
        <v>10000</v>
      </c>
      <c r="L160" s="396"/>
      <c r="M160" s="219" t="s">
        <v>115</v>
      </c>
      <c r="N160" s="413" t="s">
        <v>164</v>
      </c>
      <c r="O160" s="221">
        <v>20000</v>
      </c>
      <c r="P160" s="221"/>
      <c r="Q160" s="219"/>
      <c r="R160" s="418"/>
      <c r="S160" s="221"/>
      <c r="T160" s="221"/>
      <c r="U160" s="299"/>
      <c r="V160" s="414"/>
      <c r="W160" s="300"/>
      <c r="X160" s="205"/>
    </row>
    <row r="161" spans="1:24" x14ac:dyDescent="0.2">
      <c r="A161" s="421"/>
      <c r="B161" s="346"/>
      <c r="C161" s="306">
        <f t="shared" si="5"/>
        <v>36000</v>
      </c>
      <c r="D161" s="299" t="s">
        <v>104</v>
      </c>
      <c r="E161" s="414"/>
      <c r="F161" s="427"/>
      <c r="G161" s="301">
        <v>8000</v>
      </c>
      <c r="H161" s="299"/>
      <c r="I161" s="219" t="s">
        <v>124</v>
      </c>
      <c r="J161" s="413" t="s">
        <v>221</v>
      </c>
      <c r="K161" s="335">
        <v>28000</v>
      </c>
      <c r="L161" s="221"/>
      <c r="M161" s="219"/>
      <c r="N161" s="413"/>
      <c r="O161" s="221"/>
      <c r="P161" s="221"/>
      <c r="Q161" s="219"/>
      <c r="R161" s="418"/>
      <c r="S161" s="221"/>
      <c r="T161" s="221"/>
      <c r="U161" s="295"/>
      <c r="V161" s="412"/>
      <c r="W161" s="300"/>
      <c r="X161" s="205"/>
    </row>
    <row r="162" spans="1:24" x14ac:dyDescent="0.2">
      <c r="A162" s="421"/>
      <c r="B162" s="346"/>
      <c r="C162" s="306">
        <f t="shared" si="5"/>
        <v>0</v>
      </c>
      <c r="D162" s="299"/>
      <c r="E162" s="414"/>
      <c r="F162" s="427"/>
      <c r="G162" s="301"/>
      <c r="H162" s="299"/>
      <c r="I162" s="221"/>
      <c r="J162" s="221"/>
      <c r="K162" s="221"/>
      <c r="L162" s="221"/>
      <c r="M162" s="219"/>
      <c r="N162" s="413"/>
      <c r="O162" s="221"/>
      <c r="P162" s="221"/>
      <c r="Q162" s="219"/>
      <c r="R162" s="418"/>
      <c r="S162" s="221"/>
      <c r="T162" s="221"/>
      <c r="U162" s="295"/>
      <c r="V162" s="412"/>
      <c r="W162" s="300"/>
      <c r="X162" s="205"/>
    </row>
    <row r="163" spans="1:24" x14ac:dyDescent="0.2">
      <c r="A163" s="421">
        <f>A159+1</f>
        <v>45086</v>
      </c>
      <c r="B163" s="346" t="str">
        <f>IF(WEEKDAY(A163)=1,"CN","T"&amp;WEEKDAY(A163))</f>
        <v>T6</v>
      </c>
      <c r="C163" s="306">
        <f t="shared" si="5"/>
        <v>139000</v>
      </c>
      <c r="D163" s="299" t="s">
        <v>104</v>
      </c>
      <c r="E163" s="414"/>
      <c r="F163" s="427"/>
      <c r="G163" s="301">
        <v>16000</v>
      </c>
      <c r="H163" s="299"/>
      <c r="I163" s="219" t="s">
        <v>124</v>
      </c>
      <c r="J163" s="413" t="s">
        <v>221</v>
      </c>
      <c r="K163" s="221">
        <v>41000</v>
      </c>
      <c r="L163" s="221"/>
      <c r="M163" s="219" t="s">
        <v>115</v>
      </c>
      <c r="N163" s="413" t="s">
        <v>164</v>
      </c>
      <c r="O163" s="221">
        <v>41000</v>
      </c>
      <c r="P163" s="221"/>
      <c r="Q163" s="219" t="s">
        <v>115</v>
      </c>
      <c r="R163" s="418" t="s">
        <v>227</v>
      </c>
      <c r="S163" s="221">
        <v>41000</v>
      </c>
      <c r="T163" s="221"/>
      <c r="U163" s="299"/>
      <c r="V163" s="414"/>
      <c r="W163" s="301"/>
      <c r="X163" s="259"/>
    </row>
    <row r="164" spans="1:24" x14ac:dyDescent="0.2">
      <c r="A164" s="421"/>
      <c r="B164" s="346"/>
      <c r="C164" s="306">
        <f t="shared" si="5"/>
        <v>0</v>
      </c>
      <c r="D164" s="299"/>
      <c r="E164" s="414"/>
      <c r="F164" s="427"/>
      <c r="G164" s="301"/>
      <c r="H164" s="299"/>
      <c r="I164" s="219"/>
      <c r="J164" s="418"/>
      <c r="K164" s="221"/>
      <c r="L164" s="221"/>
      <c r="M164" s="219"/>
      <c r="N164" s="413"/>
      <c r="O164" s="221"/>
      <c r="P164" s="221"/>
      <c r="Q164" s="219"/>
      <c r="R164" s="418"/>
      <c r="S164" s="221"/>
      <c r="T164" s="221"/>
      <c r="U164" s="295"/>
      <c r="V164" s="412"/>
      <c r="W164" s="300"/>
      <c r="X164" s="205"/>
    </row>
    <row r="165" spans="1:24" x14ac:dyDescent="0.2">
      <c r="A165" s="421"/>
      <c r="B165" s="346"/>
      <c r="C165" s="306">
        <f t="shared" si="5"/>
        <v>0</v>
      </c>
      <c r="D165" s="299"/>
      <c r="E165" s="414"/>
      <c r="F165" s="427"/>
      <c r="G165" s="301"/>
      <c r="H165" s="299"/>
      <c r="I165" s="219"/>
      <c r="J165" s="418"/>
      <c r="K165" s="221"/>
      <c r="L165" s="221"/>
      <c r="M165" s="219"/>
      <c r="N165" s="413"/>
      <c r="O165" s="221"/>
      <c r="P165" s="221"/>
      <c r="Q165" s="219"/>
      <c r="R165" s="418"/>
      <c r="S165" s="221"/>
      <c r="T165" s="221"/>
      <c r="U165" s="295"/>
      <c r="V165" s="412"/>
      <c r="W165" s="300"/>
      <c r="X165" s="205"/>
    </row>
    <row r="166" spans="1:24" x14ac:dyDescent="0.2">
      <c r="A166" s="421"/>
      <c r="B166" s="346"/>
      <c r="C166" s="306">
        <f t="shared" si="5"/>
        <v>0</v>
      </c>
      <c r="D166" s="299"/>
      <c r="E166" s="414"/>
      <c r="F166" s="427"/>
      <c r="G166" s="301"/>
      <c r="H166" s="299"/>
      <c r="I166" s="219"/>
      <c r="J166" s="418"/>
      <c r="K166" s="221"/>
      <c r="L166" s="221"/>
      <c r="M166" s="219"/>
      <c r="N166" s="413"/>
      <c r="O166" s="221"/>
      <c r="P166" s="221"/>
      <c r="Q166" s="219"/>
      <c r="R166" s="418"/>
      <c r="S166" s="221"/>
      <c r="T166" s="221"/>
      <c r="U166" s="295"/>
      <c r="V166" s="412"/>
      <c r="W166" s="300"/>
      <c r="X166" s="205"/>
    </row>
    <row r="167" spans="1:24" x14ac:dyDescent="0.2">
      <c r="A167" s="421">
        <f>A163+1</f>
        <v>45087</v>
      </c>
      <c r="B167" s="346" t="str">
        <f>IF(WEEKDAY(A167)=1,"CN","T"&amp;WEEKDAY(A167))</f>
        <v>T7</v>
      </c>
      <c r="C167" s="306">
        <f t="shared" si="5"/>
        <v>105000</v>
      </c>
      <c r="D167" s="299"/>
      <c r="E167" s="414"/>
      <c r="F167" s="427"/>
      <c r="G167" s="301"/>
      <c r="H167" s="299"/>
      <c r="I167" s="219" t="s">
        <v>124</v>
      </c>
      <c r="J167" s="413" t="s">
        <v>221</v>
      </c>
      <c r="K167" s="221">
        <v>41000</v>
      </c>
      <c r="L167" s="221"/>
      <c r="M167" s="219" t="s">
        <v>115</v>
      </c>
      <c r="N167" s="413" t="s">
        <v>164</v>
      </c>
      <c r="O167" s="221">
        <v>23000</v>
      </c>
      <c r="P167" s="221"/>
      <c r="Q167" s="219" t="s">
        <v>115</v>
      </c>
      <c r="R167" s="418" t="s">
        <v>227</v>
      </c>
      <c r="S167" s="221">
        <v>41000</v>
      </c>
      <c r="T167" s="221"/>
      <c r="U167" s="299"/>
      <c r="V167" s="414"/>
      <c r="W167" s="301"/>
      <c r="X167" s="259"/>
    </row>
    <row r="168" spans="1:24" x14ac:dyDescent="0.2">
      <c r="A168" s="421"/>
      <c r="B168" s="346"/>
      <c r="C168" s="306">
        <f t="shared" si="5"/>
        <v>18000</v>
      </c>
      <c r="D168" s="299"/>
      <c r="E168" s="414"/>
      <c r="F168" s="427"/>
      <c r="G168" s="301"/>
      <c r="H168" s="299"/>
      <c r="I168" s="299"/>
      <c r="J168" s="419"/>
      <c r="K168" s="259"/>
      <c r="L168" s="259"/>
      <c r="M168" s="299" t="s">
        <v>115</v>
      </c>
      <c r="N168" s="414" t="s">
        <v>216</v>
      </c>
      <c r="O168" s="259">
        <v>18000</v>
      </c>
      <c r="P168" s="221"/>
      <c r="Q168" s="219"/>
      <c r="R168" s="418"/>
      <c r="S168" s="221"/>
      <c r="T168" s="221"/>
      <c r="U168" s="299"/>
      <c r="V168" s="414"/>
      <c r="W168" s="300"/>
      <c r="X168" s="205"/>
    </row>
    <row r="169" spans="1:24" x14ac:dyDescent="0.2">
      <c r="A169" s="421"/>
      <c r="B169" s="346"/>
      <c r="C169" s="306">
        <f t="shared" si="5"/>
        <v>0</v>
      </c>
      <c r="D169" s="299"/>
      <c r="E169" s="414"/>
      <c r="F169" s="427"/>
      <c r="G169" s="301"/>
      <c r="H169" s="299"/>
      <c r="I169" s="299"/>
      <c r="J169" s="419"/>
      <c r="K169" s="259"/>
      <c r="L169" s="259"/>
      <c r="M169" s="299"/>
      <c r="N169" s="414"/>
      <c r="O169" s="259"/>
      <c r="P169" s="221"/>
      <c r="Q169" s="219"/>
      <c r="R169" s="418"/>
      <c r="S169" s="221"/>
      <c r="T169" s="221"/>
      <c r="U169" s="295"/>
      <c r="V169" s="412"/>
      <c r="W169" s="300"/>
      <c r="X169" s="205"/>
    </row>
    <row r="170" spans="1:24" x14ac:dyDescent="0.2">
      <c r="A170" s="421"/>
      <c r="B170" s="346"/>
      <c r="C170" s="306">
        <f t="shared" si="5"/>
        <v>0</v>
      </c>
      <c r="D170" s="299"/>
      <c r="E170" s="414"/>
      <c r="F170" s="427"/>
      <c r="G170" s="301"/>
      <c r="H170" s="299"/>
      <c r="I170" s="299"/>
      <c r="J170" s="414"/>
      <c r="K170" s="259"/>
      <c r="L170" s="259"/>
      <c r="M170" s="299"/>
      <c r="N170" s="414"/>
      <c r="O170" s="259"/>
      <c r="P170" s="221"/>
      <c r="Q170" s="219"/>
      <c r="R170" s="418"/>
      <c r="S170" s="221"/>
      <c r="T170" s="221"/>
      <c r="U170" s="295"/>
      <c r="V170" s="412"/>
      <c r="W170" s="300"/>
      <c r="X170" s="205"/>
    </row>
    <row r="171" spans="1:24" x14ac:dyDescent="0.2">
      <c r="A171" s="421">
        <f>A167+1</f>
        <v>45088</v>
      </c>
      <c r="B171" s="346" t="str">
        <f>IF(WEEKDAY(A171)=1,"CN","T"&amp;WEEKDAY(A171))</f>
        <v>CN</v>
      </c>
      <c r="C171" s="306">
        <f t="shared" si="5"/>
        <v>41000</v>
      </c>
      <c r="D171" s="299"/>
      <c r="E171" s="414"/>
      <c r="F171" s="427"/>
      <c r="G171" s="301"/>
      <c r="H171" s="299"/>
      <c r="I171" s="299"/>
      <c r="J171" s="414"/>
      <c r="K171" s="259"/>
      <c r="L171" s="259"/>
      <c r="M171" s="299"/>
      <c r="N171" s="414"/>
      <c r="O171" s="259"/>
      <c r="P171" s="221"/>
      <c r="Q171" s="219" t="s">
        <v>115</v>
      </c>
      <c r="R171" s="418" t="s">
        <v>227</v>
      </c>
      <c r="S171" s="221">
        <v>41000</v>
      </c>
      <c r="T171" s="221"/>
      <c r="U171" s="295"/>
      <c r="V171" s="412"/>
      <c r="W171" s="300"/>
      <c r="X171" s="205"/>
    </row>
    <row r="172" spans="1:24" x14ac:dyDescent="0.2">
      <c r="A172" s="421"/>
      <c r="B172" s="346"/>
      <c r="C172" s="306">
        <f t="shared" si="5"/>
        <v>0</v>
      </c>
      <c r="D172" s="299"/>
      <c r="E172" s="414"/>
      <c r="F172" s="427"/>
      <c r="G172" s="301"/>
      <c r="H172" s="299"/>
      <c r="I172" s="299"/>
      <c r="J172" s="414"/>
      <c r="K172" s="259"/>
      <c r="L172" s="259"/>
      <c r="M172" s="299"/>
      <c r="N172" s="414"/>
      <c r="O172" s="259"/>
      <c r="P172" s="221"/>
      <c r="Q172" s="219"/>
      <c r="R172" s="418"/>
      <c r="S172" s="221"/>
      <c r="T172" s="221"/>
      <c r="U172" s="295"/>
      <c r="V172" s="412"/>
      <c r="W172" s="300"/>
      <c r="X172" s="205"/>
    </row>
    <row r="173" spans="1:24" x14ac:dyDescent="0.2">
      <c r="A173" s="421"/>
      <c r="B173" s="346"/>
      <c r="C173" s="306">
        <f t="shared" si="5"/>
        <v>0</v>
      </c>
      <c r="D173" s="299"/>
      <c r="E173" s="414"/>
      <c r="F173" s="427"/>
      <c r="G173" s="301"/>
      <c r="H173" s="299"/>
      <c r="I173" s="299"/>
      <c r="J173" s="414"/>
      <c r="K173" s="259"/>
      <c r="L173" s="259"/>
      <c r="M173" s="299"/>
      <c r="N173" s="414"/>
      <c r="O173" s="259"/>
      <c r="P173" s="221"/>
      <c r="Q173" s="219"/>
      <c r="R173" s="418"/>
      <c r="S173" s="221"/>
      <c r="T173" s="221"/>
      <c r="U173" s="295"/>
      <c r="V173" s="412"/>
      <c r="W173" s="300"/>
      <c r="X173" s="205"/>
    </row>
    <row r="174" spans="1:24" x14ac:dyDescent="0.2">
      <c r="A174" s="421"/>
      <c r="B174" s="346"/>
      <c r="C174" s="306">
        <f t="shared" si="5"/>
        <v>0</v>
      </c>
      <c r="D174" s="299"/>
      <c r="E174" s="414"/>
      <c r="F174" s="427"/>
      <c r="G174" s="301"/>
      <c r="H174" s="299"/>
      <c r="I174" s="299"/>
      <c r="J174" s="414"/>
      <c r="K174" s="259"/>
      <c r="L174" s="259"/>
      <c r="M174" s="299"/>
      <c r="N174" s="414"/>
      <c r="O174" s="259"/>
      <c r="P174" s="221"/>
      <c r="Q174" s="219"/>
      <c r="R174" s="418"/>
      <c r="S174" s="221"/>
      <c r="T174" s="221"/>
      <c r="U174" s="295"/>
      <c r="V174" s="412"/>
      <c r="W174" s="300"/>
      <c r="X174" s="205"/>
    </row>
    <row r="175" spans="1:24" x14ac:dyDescent="0.2">
      <c r="A175" s="421">
        <f>A171+1</f>
        <v>45089</v>
      </c>
      <c r="B175" s="346" t="str">
        <f>IF(WEEKDAY(A175)=1,"CN","T"&amp;WEEKDAY(A175))</f>
        <v>T2</v>
      </c>
      <c r="C175" s="306">
        <f t="shared" si="5"/>
        <v>70000</v>
      </c>
      <c r="D175" s="299"/>
      <c r="E175" s="414"/>
      <c r="F175" s="427"/>
      <c r="G175" s="301"/>
      <c r="H175" s="299"/>
      <c r="I175" s="299" t="s">
        <v>105</v>
      </c>
      <c r="J175" s="419" t="s">
        <v>181</v>
      </c>
      <c r="K175" s="301">
        <v>41000</v>
      </c>
      <c r="L175" s="259"/>
      <c r="M175" s="299" t="s">
        <v>115</v>
      </c>
      <c r="N175" s="414" t="s">
        <v>216</v>
      </c>
      <c r="O175" s="259">
        <v>29000</v>
      </c>
      <c r="P175" s="221"/>
      <c r="Q175" s="219" t="s">
        <v>116</v>
      </c>
      <c r="R175" s="418"/>
      <c r="S175" s="221"/>
      <c r="T175" s="221"/>
      <c r="U175" s="299"/>
      <c r="V175" s="414"/>
      <c r="W175" s="301"/>
      <c r="X175" s="259"/>
    </row>
    <row r="176" spans="1:24" x14ac:dyDescent="0.2">
      <c r="A176" s="421"/>
      <c r="B176" s="346"/>
      <c r="C176" s="306">
        <f t="shared" si="5"/>
        <v>12000</v>
      </c>
      <c r="D176" s="299"/>
      <c r="E176" s="414"/>
      <c r="F176" s="427"/>
      <c r="G176" s="301"/>
      <c r="H176" s="299"/>
      <c r="I176" s="299"/>
      <c r="J176" s="419"/>
      <c r="K176" s="301"/>
      <c r="L176" s="259"/>
      <c r="M176" s="299" t="s">
        <v>115</v>
      </c>
      <c r="N176" s="414" t="s">
        <v>223</v>
      </c>
      <c r="O176" s="259">
        <v>12000</v>
      </c>
      <c r="P176" s="221"/>
      <c r="Q176" s="219"/>
      <c r="R176" s="418"/>
      <c r="S176" s="221"/>
      <c r="T176" s="221"/>
      <c r="U176" s="295"/>
      <c r="V176" s="412"/>
      <c r="W176" s="300"/>
      <c r="X176" s="205"/>
    </row>
    <row r="177" spans="1:24" x14ac:dyDescent="0.2">
      <c r="A177" s="421"/>
      <c r="B177" s="346"/>
      <c r="C177" s="306">
        <f t="shared" si="5"/>
        <v>0</v>
      </c>
      <c r="D177" s="299"/>
      <c r="E177" s="414"/>
      <c r="F177" s="427"/>
      <c r="G177" s="301"/>
      <c r="H177" s="299"/>
      <c r="I177" s="299"/>
      <c r="J177" s="419"/>
      <c r="K177" s="301"/>
      <c r="L177" s="259"/>
      <c r="M177" s="299"/>
      <c r="N177" s="414"/>
      <c r="O177" s="259"/>
      <c r="P177" s="221"/>
      <c r="Q177" s="219"/>
      <c r="R177" s="418"/>
      <c r="S177" s="221"/>
      <c r="T177" s="221"/>
      <c r="U177" s="295"/>
      <c r="V177" s="412"/>
      <c r="W177" s="300"/>
      <c r="X177" s="205"/>
    </row>
    <row r="178" spans="1:24" x14ac:dyDescent="0.2">
      <c r="A178" s="421"/>
      <c r="B178" s="346"/>
      <c r="C178" s="306">
        <f t="shared" si="5"/>
        <v>0</v>
      </c>
      <c r="D178" s="299"/>
      <c r="E178" s="414"/>
      <c r="F178" s="427"/>
      <c r="G178" s="301"/>
      <c r="H178" s="299"/>
      <c r="I178" s="299"/>
      <c r="J178" s="419"/>
      <c r="K178" s="301"/>
      <c r="L178" s="259"/>
      <c r="M178" s="299"/>
      <c r="N178" s="414"/>
      <c r="O178" s="259"/>
      <c r="P178" s="221"/>
      <c r="Q178" s="219"/>
      <c r="R178" s="418"/>
      <c r="S178" s="221"/>
      <c r="T178" s="221"/>
      <c r="U178" s="295"/>
      <c r="V178" s="412"/>
      <c r="W178" s="300"/>
      <c r="X178" s="205"/>
    </row>
    <row r="179" spans="1:24" x14ac:dyDescent="0.2">
      <c r="A179" s="421">
        <f>A175+1</f>
        <v>45090</v>
      </c>
      <c r="B179" s="346" t="str">
        <f>IF(WEEKDAY(A179)=1,"CN","T"&amp;WEEKDAY(A179))</f>
        <v>T3</v>
      </c>
      <c r="C179" s="306">
        <f t="shared" si="5"/>
        <v>123000</v>
      </c>
      <c r="D179" s="299"/>
      <c r="E179" s="414"/>
      <c r="F179" s="427"/>
      <c r="G179" s="301"/>
      <c r="H179" s="299"/>
      <c r="I179" s="299" t="s">
        <v>105</v>
      </c>
      <c r="J179" s="419" t="s">
        <v>181</v>
      </c>
      <c r="K179" s="301">
        <v>41000</v>
      </c>
      <c r="L179" s="259"/>
      <c r="M179" s="299" t="s">
        <v>115</v>
      </c>
      <c r="N179" s="414" t="s">
        <v>223</v>
      </c>
      <c r="O179" s="259">
        <v>41000</v>
      </c>
      <c r="P179" s="221"/>
      <c r="Q179" s="219" t="s">
        <v>115</v>
      </c>
      <c r="R179" s="418" t="s">
        <v>227</v>
      </c>
      <c r="S179" s="221">
        <v>41000</v>
      </c>
      <c r="T179" s="221"/>
      <c r="U179" s="299"/>
      <c r="V179" s="414"/>
      <c r="W179" s="301"/>
      <c r="X179" s="259"/>
    </row>
    <row r="180" spans="1:24" x14ac:dyDescent="0.2">
      <c r="A180" s="421"/>
      <c r="B180" s="346"/>
      <c r="C180" s="306">
        <f t="shared" si="5"/>
        <v>0</v>
      </c>
      <c r="D180" s="299"/>
      <c r="E180" s="414"/>
      <c r="F180" s="427"/>
      <c r="G180" s="301"/>
      <c r="H180" s="299"/>
      <c r="I180" s="299"/>
      <c r="J180" s="419"/>
      <c r="K180" s="301"/>
      <c r="L180" s="259"/>
      <c r="M180" s="299"/>
      <c r="N180" s="414"/>
      <c r="O180" s="259"/>
      <c r="P180" s="221"/>
      <c r="Q180" s="219"/>
      <c r="R180" s="418"/>
      <c r="S180" s="221"/>
      <c r="T180" s="221"/>
      <c r="U180" s="295"/>
      <c r="V180" s="412"/>
      <c r="W180" s="300"/>
      <c r="X180" s="205"/>
    </row>
    <row r="181" spans="1:24" x14ac:dyDescent="0.2">
      <c r="A181" s="421"/>
      <c r="B181" s="346"/>
      <c r="C181" s="306">
        <f t="shared" si="5"/>
        <v>0</v>
      </c>
      <c r="D181" s="299"/>
      <c r="E181" s="414"/>
      <c r="F181" s="427"/>
      <c r="G181" s="301"/>
      <c r="H181" s="299"/>
      <c r="I181" s="299"/>
      <c r="J181" s="419"/>
      <c r="K181" s="301"/>
      <c r="L181" s="259"/>
      <c r="M181" s="299"/>
      <c r="N181" s="414"/>
      <c r="O181" s="259"/>
      <c r="P181" s="221"/>
      <c r="Q181" s="219"/>
      <c r="R181" s="418"/>
      <c r="S181" s="221"/>
      <c r="T181" s="221"/>
      <c r="U181" s="295"/>
      <c r="V181" s="412"/>
      <c r="W181" s="300"/>
      <c r="X181" s="205"/>
    </row>
    <row r="182" spans="1:24" x14ac:dyDescent="0.2">
      <c r="A182" s="421"/>
      <c r="B182" s="346"/>
      <c r="C182" s="306">
        <f t="shared" si="5"/>
        <v>0</v>
      </c>
      <c r="D182" s="299"/>
      <c r="E182" s="414"/>
      <c r="F182" s="427"/>
      <c r="G182" s="301"/>
      <c r="H182" s="299"/>
      <c r="I182" s="299"/>
      <c r="J182" s="419"/>
      <c r="K182" s="301"/>
      <c r="L182" s="259"/>
      <c r="M182" s="299"/>
      <c r="N182" s="414"/>
      <c r="O182" s="259"/>
      <c r="P182" s="221"/>
      <c r="Q182" s="219"/>
      <c r="R182" s="418"/>
      <c r="S182" s="221"/>
      <c r="T182" s="221"/>
      <c r="U182" s="295"/>
      <c r="V182" s="412"/>
      <c r="W182" s="300"/>
      <c r="X182" s="205"/>
    </row>
    <row r="183" spans="1:24" x14ac:dyDescent="0.2">
      <c r="A183" s="421">
        <f>A179+1</f>
        <v>45091</v>
      </c>
      <c r="B183" s="346" t="str">
        <f>IF(WEEKDAY(A183)=1,"CN","T"&amp;WEEKDAY(A183))</f>
        <v>T4</v>
      </c>
      <c r="C183" s="306">
        <f t="shared" si="5"/>
        <v>102000</v>
      </c>
      <c r="D183" s="299"/>
      <c r="E183" s="414"/>
      <c r="F183" s="427"/>
      <c r="G183" s="301"/>
      <c r="H183" s="299"/>
      <c r="I183" s="299" t="s">
        <v>105</v>
      </c>
      <c r="J183" s="419" t="s">
        <v>181</v>
      </c>
      <c r="K183" s="301">
        <v>20000</v>
      </c>
      <c r="L183" s="259"/>
      <c r="M183" s="299" t="s">
        <v>115</v>
      </c>
      <c r="N183" s="414" t="s">
        <v>223</v>
      </c>
      <c r="O183" s="259">
        <v>41000</v>
      </c>
      <c r="P183" s="221"/>
      <c r="Q183" s="219" t="s">
        <v>115</v>
      </c>
      <c r="R183" s="418" t="s">
        <v>227</v>
      </c>
      <c r="S183" s="221">
        <v>41000</v>
      </c>
      <c r="T183" s="221"/>
      <c r="U183" s="295"/>
      <c r="V183" s="412"/>
      <c r="W183" s="300"/>
      <c r="X183" s="205"/>
    </row>
    <row r="184" spans="1:24" x14ac:dyDescent="0.2">
      <c r="A184" s="421"/>
      <c r="B184" s="346"/>
      <c r="C184" s="306">
        <f t="shared" si="5"/>
        <v>21000</v>
      </c>
      <c r="D184" s="299"/>
      <c r="E184" s="414"/>
      <c r="F184" s="427"/>
      <c r="G184" s="301"/>
      <c r="H184" s="299"/>
      <c r="I184" s="299" t="s">
        <v>105</v>
      </c>
      <c r="J184" s="419" t="s">
        <v>180</v>
      </c>
      <c r="K184" s="397">
        <v>21000</v>
      </c>
      <c r="L184" s="259"/>
      <c r="M184" s="299"/>
      <c r="N184" s="414"/>
      <c r="O184" s="259"/>
      <c r="P184" s="221"/>
      <c r="Q184" s="219"/>
      <c r="R184" s="418"/>
      <c r="S184" s="221"/>
      <c r="T184" s="221"/>
      <c r="U184" s="295"/>
      <c r="V184" s="412"/>
      <c r="W184" s="300"/>
      <c r="X184" s="205"/>
    </row>
    <row r="185" spans="1:24" x14ac:dyDescent="0.2">
      <c r="A185" s="421"/>
      <c r="B185" s="346"/>
      <c r="C185" s="306">
        <f t="shared" si="5"/>
        <v>0</v>
      </c>
      <c r="D185" s="299"/>
      <c r="E185" s="414"/>
      <c r="F185" s="427"/>
      <c r="G185" s="301"/>
      <c r="H185" s="299"/>
      <c r="I185" s="299"/>
      <c r="J185" s="419"/>
      <c r="K185" s="397"/>
      <c r="L185" s="259"/>
      <c r="M185" s="299"/>
      <c r="N185" s="414"/>
      <c r="O185" s="259"/>
      <c r="P185" s="221"/>
      <c r="Q185" s="219"/>
      <c r="R185" s="418"/>
      <c r="S185" s="221"/>
      <c r="T185" s="221"/>
      <c r="U185" s="295"/>
      <c r="V185" s="412"/>
      <c r="W185" s="300"/>
      <c r="X185" s="205"/>
    </row>
    <row r="186" spans="1:24" x14ac:dyDescent="0.2">
      <c r="A186" s="421"/>
      <c r="B186" s="346"/>
      <c r="C186" s="306">
        <f t="shared" si="5"/>
        <v>0</v>
      </c>
      <c r="D186" s="299"/>
      <c r="E186" s="414"/>
      <c r="F186" s="427"/>
      <c r="G186" s="301"/>
      <c r="H186" s="299"/>
      <c r="I186" s="299"/>
      <c r="J186" s="419"/>
      <c r="K186" s="397"/>
      <c r="L186" s="259"/>
      <c r="M186" s="299"/>
      <c r="N186" s="414"/>
      <c r="O186" s="259"/>
      <c r="P186" s="221"/>
      <c r="Q186" s="219"/>
      <c r="R186" s="418"/>
      <c r="S186" s="221"/>
      <c r="T186" s="221"/>
      <c r="U186" s="295"/>
      <c r="V186" s="412"/>
      <c r="W186" s="300"/>
      <c r="X186" s="205"/>
    </row>
    <row r="187" spans="1:24" x14ac:dyDescent="0.2">
      <c r="A187" s="421">
        <f>A183+1</f>
        <v>45092</v>
      </c>
      <c r="B187" s="346" t="str">
        <f>IF(WEEKDAY(A187)=1,"CN","T"&amp;WEEKDAY(A187))</f>
        <v>T5</v>
      </c>
      <c r="C187" s="306">
        <f t="shared" si="5"/>
        <v>52000</v>
      </c>
      <c r="D187" s="299"/>
      <c r="E187" s="414"/>
      <c r="F187" s="427"/>
      <c r="G187" s="301"/>
      <c r="H187" s="299"/>
      <c r="I187" s="398"/>
      <c r="J187" s="419"/>
      <c r="K187" s="399"/>
      <c r="L187" s="259"/>
      <c r="M187" s="299" t="s">
        <v>115</v>
      </c>
      <c r="N187" s="414" t="s">
        <v>223</v>
      </c>
      <c r="O187" s="259">
        <v>41000</v>
      </c>
      <c r="P187" s="221"/>
      <c r="Q187" s="219" t="s">
        <v>115</v>
      </c>
      <c r="R187" s="418" t="s">
        <v>227</v>
      </c>
      <c r="S187" s="221">
        <v>11000</v>
      </c>
      <c r="T187" s="221"/>
      <c r="U187" s="295"/>
      <c r="V187" s="412"/>
      <c r="W187" s="300"/>
      <c r="X187" s="205"/>
    </row>
    <row r="188" spans="1:24" x14ac:dyDescent="0.2">
      <c r="A188" s="421"/>
      <c r="B188" s="346"/>
      <c r="C188" s="306">
        <f t="shared" si="5"/>
        <v>71000</v>
      </c>
      <c r="D188" s="299"/>
      <c r="E188" s="414"/>
      <c r="F188" s="427"/>
      <c r="G188" s="301"/>
      <c r="H188" s="299"/>
      <c r="I188" s="299" t="s">
        <v>105</v>
      </c>
      <c r="J188" s="419" t="s">
        <v>180</v>
      </c>
      <c r="K188" s="301">
        <v>41000</v>
      </c>
      <c r="L188" s="259"/>
      <c r="M188" s="299"/>
      <c r="N188" s="414"/>
      <c r="O188" s="259"/>
      <c r="P188" s="221"/>
      <c r="Q188" s="299" t="s">
        <v>137</v>
      </c>
      <c r="R188" s="414" t="s">
        <v>194</v>
      </c>
      <c r="S188" s="259">
        <v>30000</v>
      </c>
      <c r="T188" s="259"/>
      <c r="U188" s="295"/>
      <c r="V188" s="412"/>
      <c r="W188" s="300"/>
      <c r="X188" s="205"/>
    </row>
    <row r="189" spans="1:24" x14ac:dyDescent="0.2">
      <c r="A189" s="421"/>
      <c r="B189" s="346"/>
      <c r="C189" s="306">
        <f t="shared" si="5"/>
        <v>0</v>
      </c>
      <c r="D189" s="299"/>
      <c r="E189" s="414"/>
      <c r="F189" s="427"/>
      <c r="G189" s="301"/>
      <c r="H189" s="299"/>
      <c r="I189" s="299"/>
      <c r="J189" s="299"/>
      <c r="K189" s="299"/>
      <c r="L189" s="259"/>
      <c r="M189" s="299"/>
      <c r="N189" s="414"/>
      <c r="O189" s="259"/>
      <c r="P189" s="221"/>
      <c r="Q189" s="299"/>
      <c r="R189" s="414"/>
      <c r="S189" s="259"/>
      <c r="T189" s="259"/>
      <c r="U189" s="295"/>
      <c r="V189" s="412"/>
      <c r="W189" s="300"/>
      <c r="X189" s="205"/>
    </row>
    <row r="190" spans="1:24" x14ac:dyDescent="0.2">
      <c r="A190" s="421"/>
      <c r="B190" s="346"/>
      <c r="C190" s="306">
        <f t="shared" si="5"/>
        <v>0</v>
      </c>
      <c r="D190" s="299"/>
      <c r="E190" s="414"/>
      <c r="F190" s="427"/>
      <c r="G190" s="301"/>
      <c r="H190" s="299"/>
      <c r="I190" s="299"/>
      <c r="J190" s="299"/>
      <c r="K190" s="299"/>
      <c r="L190" s="259"/>
      <c r="M190" s="299"/>
      <c r="N190" s="414"/>
      <c r="O190" s="259"/>
      <c r="P190" s="221"/>
      <c r="Q190" s="299"/>
      <c r="R190" s="414"/>
      <c r="S190" s="259"/>
      <c r="T190" s="259"/>
      <c r="U190" s="295"/>
      <c r="V190" s="412"/>
      <c r="W190" s="300"/>
      <c r="X190" s="205"/>
    </row>
    <row r="191" spans="1:24" x14ac:dyDescent="0.2">
      <c r="A191" s="421">
        <f>A187+1</f>
        <v>45093</v>
      </c>
      <c r="B191" s="346" t="str">
        <f>IF(WEEKDAY(A191)=1,"CN","T"&amp;WEEKDAY(A191))</f>
        <v>T6</v>
      </c>
      <c r="C191" s="306">
        <f t="shared" si="5"/>
        <v>72000</v>
      </c>
      <c r="D191" s="299"/>
      <c r="E191" s="414"/>
      <c r="F191" s="427"/>
      <c r="G191" s="301"/>
      <c r="H191" s="299"/>
      <c r="I191" s="299" t="s">
        <v>105</v>
      </c>
      <c r="J191" s="419" t="s">
        <v>180</v>
      </c>
      <c r="K191" s="259">
        <v>19000</v>
      </c>
      <c r="L191" s="259"/>
      <c r="M191" s="299" t="s">
        <v>115</v>
      </c>
      <c r="N191" s="414" t="s">
        <v>223</v>
      </c>
      <c r="O191" s="259">
        <v>27000</v>
      </c>
      <c r="P191" s="221"/>
      <c r="Q191" s="299" t="s">
        <v>137</v>
      </c>
      <c r="R191" s="414" t="s">
        <v>194</v>
      </c>
      <c r="S191" s="259">
        <v>26000</v>
      </c>
      <c r="T191" s="259"/>
      <c r="U191" s="295"/>
      <c r="V191" s="412"/>
      <c r="W191" s="300"/>
      <c r="X191" s="205"/>
    </row>
    <row r="192" spans="1:24" x14ac:dyDescent="0.2">
      <c r="A192" s="421"/>
      <c r="B192" s="346"/>
      <c r="C192" s="306">
        <f t="shared" si="5"/>
        <v>36000</v>
      </c>
      <c r="D192" s="299"/>
      <c r="E192" s="414"/>
      <c r="F192" s="427"/>
      <c r="G192" s="301"/>
      <c r="H192" s="299"/>
      <c r="I192" s="219" t="s">
        <v>124</v>
      </c>
      <c r="J192" s="413" t="s">
        <v>219</v>
      </c>
      <c r="K192" s="205">
        <v>22000</v>
      </c>
      <c r="L192" s="221"/>
      <c r="M192" s="299" t="s">
        <v>115</v>
      </c>
      <c r="N192" s="414" t="s">
        <v>226</v>
      </c>
      <c r="O192" s="259">
        <v>14000</v>
      </c>
      <c r="P192" s="221"/>
      <c r="Q192" s="299"/>
      <c r="R192" s="414"/>
      <c r="S192" s="259"/>
      <c r="T192" s="259"/>
      <c r="U192" s="295"/>
      <c r="V192" s="412"/>
      <c r="W192" s="300"/>
      <c r="X192" s="205"/>
    </row>
    <row r="193" spans="1:24" x14ac:dyDescent="0.2">
      <c r="A193" s="421"/>
      <c r="B193" s="346"/>
      <c r="C193" s="306">
        <f t="shared" si="5"/>
        <v>0</v>
      </c>
      <c r="D193" s="299"/>
      <c r="E193" s="414"/>
      <c r="F193" s="427"/>
      <c r="G193" s="301"/>
      <c r="H193" s="299"/>
      <c r="I193" s="219"/>
      <c r="J193" s="413"/>
      <c r="K193" s="413"/>
      <c r="L193" s="221"/>
      <c r="M193" s="299"/>
      <c r="N193" s="414"/>
      <c r="O193" s="259"/>
      <c r="P193" s="221"/>
      <c r="Q193" s="299"/>
      <c r="R193" s="414"/>
      <c r="S193" s="259"/>
      <c r="T193" s="259"/>
      <c r="U193" s="295"/>
      <c r="V193" s="412"/>
      <c r="W193" s="300"/>
      <c r="X193" s="205"/>
    </row>
    <row r="194" spans="1:24" x14ac:dyDescent="0.2">
      <c r="A194" s="421"/>
      <c r="B194" s="346"/>
      <c r="C194" s="306">
        <f t="shared" si="5"/>
        <v>0</v>
      </c>
      <c r="D194" s="299"/>
      <c r="E194" s="414"/>
      <c r="F194" s="427"/>
      <c r="G194" s="301"/>
      <c r="H194" s="299"/>
      <c r="I194" s="222"/>
      <c r="J194" s="413"/>
      <c r="K194" s="413"/>
      <c r="L194" s="221"/>
      <c r="M194" s="299"/>
      <c r="N194" s="414"/>
      <c r="O194" s="259"/>
      <c r="P194" s="221"/>
      <c r="Q194" s="299"/>
      <c r="R194" s="414"/>
      <c r="S194" s="259"/>
      <c r="T194" s="259"/>
      <c r="U194" s="295"/>
      <c r="V194" s="412"/>
      <c r="W194" s="300"/>
      <c r="X194" s="205"/>
    </row>
    <row r="195" spans="1:24" x14ac:dyDescent="0.2">
      <c r="A195" s="421">
        <f>A191+1</f>
        <v>45094</v>
      </c>
      <c r="B195" s="346" t="str">
        <f>IF(WEEKDAY(A195)=1,"CN","T"&amp;WEEKDAY(A195))</f>
        <v>T7</v>
      </c>
      <c r="C195" s="306">
        <f t="shared" si="5"/>
        <v>41000</v>
      </c>
      <c r="D195" s="299"/>
      <c r="E195" s="414"/>
      <c r="F195" s="427"/>
      <c r="G195" s="301"/>
      <c r="H195" s="299"/>
      <c r="I195" s="222"/>
      <c r="J195" s="413"/>
      <c r="K195" s="413"/>
      <c r="L195" s="221"/>
      <c r="M195" s="299" t="s">
        <v>115</v>
      </c>
      <c r="N195" s="414" t="s">
        <v>226</v>
      </c>
      <c r="O195" s="259">
        <v>41000</v>
      </c>
      <c r="P195" s="221"/>
      <c r="Q195" s="299"/>
      <c r="R195" s="414"/>
      <c r="S195" s="259"/>
      <c r="T195" s="259"/>
      <c r="U195" s="295"/>
      <c r="V195" s="412"/>
      <c r="W195" s="300"/>
      <c r="X195" s="205"/>
    </row>
    <row r="196" spans="1:24" x14ac:dyDescent="0.2">
      <c r="A196" s="421"/>
      <c r="B196" s="346"/>
      <c r="C196" s="306">
        <f t="shared" si="5"/>
        <v>41000</v>
      </c>
      <c r="D196" s="299"/>
      <c r="E196" s="414"/>
      <c r="F196" s="427"/>
      <c r="G196" s="301"/>
      <c r="H196" s="299"/>
      <c r="I196" s="219" t="s">
        <v>124</v>
      </c>
      <c r="J196" s="413" t="s">
        <v>219</v>
      </c>
      <c r="K196" s="221">
        <v>41000</v>
      </c>
      <c r="L196" s="221"/>
      <c r="M196" s="299"/>
      <c r="N196" s="414"/>
      <c r="O196" s="259"/>
      <c r="P196" s="221"/>
      <c r="Q196" s="299"/>
      <c r="R196" s="414"/>
      <c r="S196" s="259"/>
      <c r="T196" s="259"/>
      <c r="U196" s="295"/>
      <c r="V196" s="412"/>
      <c r="W196" s="300"/>
      <c r="X196" s="205"/>
    </row>
    <row r="197" spans="1:24" x14ac:dyDescent="0.2">
      <c r="A197" s="421"/>
      <c r="B197" s="346"/>
      <c r="C197" s="306">
        <f t="shared" si="5"/>
        <v>0</v>
      </c>
      <c r="D197" s="299"/>
      <c r="E197" s="414"/>
      <c r="F197" s="427"/>
      <c r="G197" s="301"/>
      <c r="H197" s="299"/>
      <c r="I197" s="219"/>
      <c r="J197" s="413"/>
      <c r="K197" s="422"/>
      <c r="L197" s="221"/>
      <c r="M197" s="299"/>
      <c r="N197" s="414"/>
      <c r="O197" s="259"/>
      <c r="P197" s="221"/>
      <c r="Q197" s="299"/>
      <c r="R197" s="414"/>
      <c r="S197" s="259"/>
      <c r="T197" s="259"/>
      <c r="U197" s="295"/>
      <c r="V197" s="412"/>
      <c r="W197" s="300"/>
      <c r="X197" s="205"/>
    </row>
    <row r="198" spans="1:24" x14ac:dyDescent="0.2">
      <c r="A198" s="421"/>
      <c r="B198" s="346"/>
      <c r="C198" s="306">
        <f t="shared" si="5"/>
        <v>0</v>
      </c>
      <c r="D198" s="299"/>
      <c r="E198" s="414"/>
      <c r="F198" s="427"/>
      <c r="G198" s="301"/>
      <c r="H198" s="299"/>
      <c r="I198" s="222"/>
      <c r="J198" s="413"/>
      <c r="K198" s="413"/>
      <c r="L198" s="221"/>
      <c r="M198" s="299"/>
      <c r="N198" s="414"/>
      <c r="O198" s="259"/>
      <c r="P198" s="221"/>
      <c r="Q198" s="299"/>
      <c r="R198" s="414"/>
      <c r="S198" s="259"/>
      <c r="T198" s="259"/>
      <c r="U198" s="295"/>
      <c r="V198" s="412"/>
      <c r="W198" s="300"/>
      <c r="X198" s="205"/>
    </row>
    <row r="199" spans="1:24" x14ac:dyDescent="0.2">
      <c r="A199" s="421">
        <f>A195+1</f>
        <v>45095</v>
      </c>
      <c r="B199" s="346" t="str">
        <f>IF(WEEKDAY(A199)=1,"CN","T"&amp;WEEKDAY(A199))</f>
        <v>CN</v>
      </c>
      <c r="C199" s="306">
        <f t="shared" si="5"/>
        <v>0</v>
      </c>
      <c r="D199" s="299"/>
      <c r="E199" s="414"/>
      <c r="F199" s="427"/>
      <c r="G199" s="301"/>
      <c r="H199" s="299"/>
      <c r="I199" s="222"/>
      <c r="J199" s="413"/>
      <c r="K199" s="413"/>
      <c r="L199" s="221"/>
      <c r="M199" s="299"/>
      <c r="N199" s="414"/>
      <c r="O199" s="259"/>
      <c r="P199" s="259"/>
      <c r="Q199" s="299"/>
      <c r="R199" s="414"/>
      <c r="S199" s="259"/>
      <c r="T199" s="259"/>
      <c r="U199" s="295"/>
      <c r="V199" s="412"/>
      <c r="W199" s="300"/>
      <c r="X199" s="205"/>
    </row>
    <row r="200" spans="1:24" x14ac:dyDescent="0.2">
      <c r="A200" s="421"/>
      <c r="B200" s="346"/>
      <c r="C200" s="306">
        <f t="shared" si="5"/>
        <v>0</v>
      </c>
      <c r="D200" s="299"/>
      <c r="E200" s="414"/>
      <c r="F200" s="301"/>
      <c r="G200" s="259"/>
      <c r="H200" s="259"/>
      <c r="I200" s="219"/>
      <c r="J200" s="413"/>
      <c r="K200" s="221"/>
      <c r="L200" s="221"/>
      <c r="M200" s="299"/>
      <c r="N200" s="414"/>
      <c r="O200" s="259"/>
      <c r="P200" s="259"/>
      <c r="Q200" s="296"/>
      <c r="R200" s="412"/>
      <c r="S200" s="214"/>
      <c r="T200" s="214"/>
      <c r="U200" s="295"/>
      <c r="V200" s="412"/>
      <c r="W200" s="300"/>
      <c r="X200" s="205"/>
    </row>
    <row r="201" spans="1:24" x14ac:dyDescent="0.2">
      <c r="A201" s="421"/>
      <c r="B201" s="346"/>
      <c r="C201" s="306">
        <f t="shared" si="5"/>
        <v>0</v>
      </c>
      <c r="D201" s="299"/>
      <c r="E201" s="414"/>
      <c r="F201" s="301"/>
      <c r="G201" s="259"/>
      <c r="H201" s="259"/>
      <c r="I201" s="219"/>
      <c r="J201" s="413"/>
      <c r="K201" s="221"/>
      <c r="L201" s="221"/>
      <c r="M201" s="299"/>
      <c r="N201" s="414"/>
      <c r="O201" s="259"/>
      <c r="P201" s="259"/>
      <c r="Q201" s="296"/>
      <c r="R201" s="412"/>
      <c r="S201" s="214"/>
      <c r="T201" s="214"/>
      <c r="U201" s="295"/>
      <c r="V201" s="412"/>
      <c r="W201" s="300"/>
      <c r="X201" s="205"/>
    </row>
    <row r="202" spans="1:24" x14ac:dyDescent="0.2">
      <c r="A202" s="421"/>
      <c r="B202" s="346"/>
      <c r="C202" s="306">
        <f t="shared" si="5"/>
        <v>0</v>
      </c>
      <c r="D202" s="299"/>
      <c r="E202" s="414"/>
      <c r="F202" s="301"/>
      <c r="G202" s="259"/>
      <c r="H202" s="259"/>
      <c r="I202" s="219"/>
      <c r="J202" s="413"/>
      <c r="K202" s="221"/>
      <c r="L202" s="221"/>
      <c r="M202" s="299"/>
      <c r="N202" s="414"/>
      <c r="O202" s="259"/>
      <c r="P202" s="259"/>
      <c r="Q202" s="296"/>
      <c r="R202" s="412"/>
      <c r="S202" s="214"/>
      <c r="T202" s="214"/>
      <c r="U202" s="295"/>
      <c r="V202" s="412"/>
      <c r="W202" s="300"/>
      <c r="X202" s="205"/>
    </row>
    <row r="203" spans="1:24" x14ac:dyDescent="0.2">
      <c r="A203" s="421">
        <f>A199+1</f>
        <v>45096</v>
      </c>
      <c r="B203" s="346" t="str">
        <f>IF(WEEKDAY(A203)=1,"CN","T"&amp;WEEKDAY(A203))</f>
        <v>T2</v>
      </c>
      <c r="C203" s="306">
        <f t="shared" si="5"/>
        <v>82000</v>
      </c>
      <c r="D203" s="299"/>
      <c r="E203" s="414"/>
      <c r="F203" s="301"/>
      <c r="G203" s="259"/>
      <c r="H203" s="259"/>
      <c r="I203" s="219" t="s">
        <v>124</v>
      </c>
      <c r="J203" s="413" t="s">
        <v>219</v>
      </c>
      <c r="K203" s="221">
        <v>41000</v>
      </c>
      <c r="L203" s="221"/>
      <c r="M203" s="299" t="s">
        <v>115</v>
      </c>
      <c r="N203" s="414" t="s">
        <v>226</v>
      </c>
      <c r="O203" s="259">
        <v>41000</v>
      </c>
      <c r="P203" s="221"/>
      <c r="Q203" s="219"/>
      <c r="R203" s="413"/>
      <c r="S203" s="221"/>
      <c r="T203" s="221"/>
      <c r="U203" s="295"/>
      <c r="V203" s="412"/>
      <c r="W203" s="300"/>
      <c r="X203" s="205"/>
    </row>
    <row r="204" spans="1:24" x14ac:dyDescent="0.2">
      <c r="A204" s="421"/>
      <c r="B204" s="346"/>
      <c r="C204" s="306">
        <f t="shared" si="5"/>
        <v>0</v>
      </c>
      <c r="D204" s="299"/>
      <c r="E204" s="414"/>
      <c r="F204" s="301"/>
      <c r="G204" s="259"/>
      <c r="H204" s="259"/>
      <c r="I204" s="219"/>
      <c r="J204" s="413"/>
      <c r="K204" s="221"/>
      <c r="L204" s="221"/>
      <c r="M204" s="299"/>
      <c r="N204" s="414"/>
      <c r="O204" s="259"/>
      <c r="P204" s="221"/>
      <c r="Q204" s="219"/>
      <c r="R204" s="413" t="s">
        <v>116</v>
      </c>
      <c r="S204" s="221"/>
      <c r="T204" s="221"/>
      <c r="U204" s="295"/>
      <c r="V204" s="412"/>
      <c r="W204" s="300"/>
      <c r="X204" s="205"/>
    </row>
    <row r="205" spans="1:24" x14ac:dyDescent="0.2">
      <c r="A205" s="421"/>
      <c r="B205" s="346"/>
      <c r="C205" s="306">
        <f t="shared" si="5"/>
        <v>0</v>
      </c>
      <c r="D205" s="299"/>
      <c r="E205" s="414"/>
      <c r="F205" s="301"/>
      <c r="G205" s="259"/>
      <c r="H205" s="259"/>
      <c r="I205" s="219"/>
      <c r="J205" s="413"/>
      <c r="K205" s="221"/>
      <c r="L205" s="221"/>
      <c r="M205" s="299"/>
      <c r="N205" s="414"/>
      <c r="O205" s="259"/>
      <c r="P205" s="221"/>
      <c r="Q205" s="219"/>
      <c r="R205" s="413"/>
      <c r="S205" s="221"/>
      <c r="T205" s="221"/>
      <c r="U205" s="295"/>
      <c r="V205" s="412"/>
      <c r="W205" s="300"/>
      <c r="X205" s="205"/>
    </row>
    <row r="206" spans="1:24" x14ac:dyDescent="0.2">
      <c r="A206" s="421"/>
      <c r="B206" s="346"/>
      <c r="C206" s="306">
        <f t="shared" si="5"/>
        <v>0</v>
      </c>
      <c r="D206" s="299"/>
      <c r="E206" s="414"/>
      <c r="F206" s="301"/>
      <c r="G206" s="259"/>
      <c r="H206" s="259"/>
      <c r="I206" s="219"/>
      <c r="J206" s="413"/>
      <c r="K206" s="221"/>
      <c r="L206" s="221"/>
      <c r="M206" s="299"/>
      <c r="N206" s="414"/>
      <c r="O206" s="259"/>
      <c r="P206" s="221"/>
      <c r="Q206" s="219"/>
      <c r="R206" s="413"/>
      <c r="S206" s="221"/>
      <c r="T206" s="221"/>
      <c r="U206" s="295"/>
      <c r="V206" s="412"/>
      <c r="W206" s="300"/>
      <c r="X206" s="205"/>
    </row>
    <row r="207" spans="1:24" x14ac:dyDescent="0.2">
      <c r="A207" s="421">
        <f>A203+1</f>
        <v>45097</v>
      </c>
      <c r="B207" s="346" t="str">
        <f>IF(WEEKDAY(A207)=1,"CN","T"&amp;WEEKDAY(A207))</f>
        <v>T3</v>
      </c>
      <c r="C207" s="306">
        <f t="shared" si="5"/>
        <v>91000</v>
      </c>
      <c r="D207" s="299"/>
      <c r="E207" s="414"/>
      <c r="F207" s="301"/>
      <c r="G207" s="259"/>
      <c r="H207" s="259"/>
      <c r="I207" s="219" t="s">
        <v>124</v>
      </c>
      <c r="J207" s="413" t="s">
        <v>219</v>
      </c>
      <c r="K207" s="221">
        <v>6000</v>
      </c>
      <c r="L207" s="221"/>
      <c r="M207" s="299" t="s">
        <v>115</v>
      </c>
      <c r="N207" s="414" t="s">
        <v>226</v>
      </c>
      <c r="O207" s="259">
        <v>41000</v>
      </c>
      <c r="P207" s="221"/>
      <c r="Q207" s="219" t="s">
        <v>124</v>
      </c>
      <c r="R207" s="413" t="s">
        <v>222</v>
      </c>
      <c r="S207" s="294">
        <v>44000</v>
      </c>
      <c r="T207" s="221"/>
      <c r="U207" s="295"/>
      <c r="V207" s="412"/>
      <c r="W207" s="300"/>
      <c r="X207" s="205"/>
    </row>
    <row r="208" spans="1:24" x14ac:dyDescent="0.2">
      <c r="A208" s="421"/>
      <c r="B208" s="346"/>
      <c r="C208" s="306">
        <f t="shared" si="5"/>
        <v>35000</v>
      </c>
      <c r="D208" s="299"/>
      <c r="E208" s="414"/>
      <c r="F208" s="301"/>
      <c r="G208" s="259"/>
      <c r="H208" s="259"/>
      <c r="I208" s="299" t="s">
        <v>105</v>
      </c>
      <c r="J208" s="419" t="s">
        <v>228</v>
      </c>
      <c r="K208" s="259">
        <v>35000</v>
      </c>
      <c r="L208" s="259"/>
      <c r="M208" s="299"/>
      <c r="N208" s="414"/>
      <c r="O208" s="259"/>
      <c r="P208" s="221"/>
      <c r="Q208" s="219"/>
      <c r="R208" s="413"/>
      <c r="S208" s="294"/>
      <c r="T208" s="221"/>
      <c r="U208" s="295"/>
      <c r="V208" s="412"/>
      <c r="W208" s="300"/>
      <c r="X208" s="205"/>
    </row>
    <row r="209" spans="1:24" x14ac:dyDescent="0.2">
      <c r="A209" s="421"/>
      <c r="B209" s="346"/>
      <c r="C209" s="306">
        <f t="shared" si="5"/>
        <v>0</v>
      </c>
      <c r="D209" s="299"/>
      <c r="E209" s="414"/>
      <c r="F209" s="301"/>
      <c r="G209" s="259"/>
      <c r="H209" s="259"/>
      <c r="I209" s="299"/>
      <c r="J209" s="414"/>
      <c r="K209" s="259"/>
      <c r="L209" s="259"/>
      <c r="M209" s="299"/>
      <c r="N209" s="414"/>
      <c r="O209" s="259"/>
      <c r="P209" s="221"/>
      <c r="Q209" s="219"/>
      <c r="R209" s="413"/>
      <c r="S209" s="294"/>
      <c r="T209" s="221"/>
      <c r="U209" s="295"/>
      <c r="V209" s="412"/>
      <c r="W209" s="300"/>
      <c r="X209" s="205"/>
    </row>
    <row r="210" spans="1:24" x14ac:dyDescent="0.2">
      <c r="A210" s="421"/>
      <c r="B210" s="346"/>
      <c r="C210" s="306">
        <f t="shared" si="5"/>
        <v>0</v>
      </c>
      <c r="D210" s="299"/>
      <c r="E210" s="414"/>
      <c r="F210" s="301"/>
      <c r="G210" s="259"/>
      <c r="H210" s="259"/>
      <c r="I210" s="299"/>
      <c r="J210" s="414"/>
      <c r="K210" s="259"/>
      <c r="L210" s="259"/>
      <c r="M210" s="299"/>
      <c r="N210" s="414"/>
      <c r="O210" s="259"/>
      <c r="P210" s="221"/>
      <c r="Q210" s="219"/>
      <c r="R210" s="413"/>
      <c r="S210" s="294"/>
      <c r="T210" s="221"/>
      <c r="U210" s="295"/>
      <c r="V210" s="412"/>
      <c r="W210" s="300"/>
      <c r="X210" s="205"/>
    </row>
    <row r="211" spans="1:24" x14ac:dyDescent="0.2">
      <c r="A211" s="421">
        <f>A207+1</f>
        <v>45098</v>
      </c>
      <c r="B211" s="346" t="str">
        <f>IF(WEEKDAY(A211)=1,"CN","T"&amp;WEEKDAY(A211))</f>
        <v>T4</v>
      </c>
      <c r="C211" s="306">
        <f t="shared" si="5"/>
        <v>110000</v>
      </c>
      <c r="D211" s="299"/>
      <c r="E211" s="414"/>
      <c r="F211" s="301"/>
      <c r="G211" s="259"/>
      <c r="H211" s="259"/>
      <c r="I211" s="299" t="s">
        <v>105</v>
      </c>
      <c r="J211" s="419" t="s">
        <v>228</v>
      </c>
      <c r="K211" s="259">
        <v>41000</v>
      </c>
      <c r="L211" s="259"/>
      <c r="M211" s="299" t="s">
        <v>115</v>
      </c>
      <c r="N211" s="414" t="s">
        <v>226</v>
      </c>
      <c r="O211" s="259">
        <v>25000</v>
      </c>
      <c r="P211" s="221"/>
      <c r="Q211" s="219" t="s">
        <v>124</v>
      </c>
      <c r="R211" s="413" t="s">
        <v>222</v>
      </c>
      <c r="S211" s="294">
        <v>44000</v>
      </c>
      <c r="T211" s="221"/>
      <c r="U211" s="295"/>
      <c r="V211" s="412"/>
      <c r="W211" s="300"/>
      <c r="X211" s="205"/>
    </row>
    <row r="212" spans="1:24" x14ac:dyDescent="0.2">
      <c r="A212" s="421"/>
      <c r="B212" s="346"/>
      <c r="C212" s="306">
        <f t="shared" si="5"/>
        <v>16000</v>
      </c>
      <c r="D212" s="299"/>
      <c r="E212" s="414"/>
      <c r="F212" s="301"/>
      <c r="G212" s="259"/>
      <c r="H212" s="259"/>
      <c r="I212" s="299"/>
      <c r="J212" s="414"/>
      <c r="K212" s="259"/>
      <c r="L212" s="259"/>
      <c r="M212" s="299" t="s">
        <v>115</v>
      </c>
      <c r="N212" s="414" t="s">
        <v>232</v>
      </c>
      <c r="O212" s="259">
        <v>16000</v>
      </c>
      <c r="P212" s="221"/>
      <c r="Q212" s="219"/>
      <c r="R212" s="413"/>
      <c r="S212" s="294"/>
      <c r="T212" s="221"/>
      <c r="U212" s="295"/>
      <c r="V212" s="412"/>
      <c r="W212" s="300"/>
      <c r="X212" s="205"/>
    </row>
    <row r="213" spans="1:24" x14ac:dyDescent="0.2">
      <c r="A213" s="421"/>
      <c r="B213" s="346"/>
      <c r="C213" s="306">
        <f t="shared" si="5"/>
        <v>0</v>
      </c>
      <c r="D213" s="299"/>
      <c r="E213" s="414"/>
      <c r="F213" s="301"/>
      <c r="G213" s="259"/>
      <c r="H213" s="259"/>
      <c r="I213" s="299"/>
      <c r="J213" s="414"/>
      <c r="K213" s="259"/>
      <c r="L213" s="259"/>
      <c r="M213" s="299"/>
      <c r="N213" s="414"/>
      <c r="O213" s="259"/>
      <c r="P213" s="221"/>
      <c r="Q213" s="219"/>
      <c r="R213" s="413"/>
      <c r="S213" s="294"/>
      <c r="T213" s="221"/>
      <c r="U213" s="295"/>
      <c r="V213" s="412"/>
      <c r="W213" s="300"/>
      <c r="X213" s="205"/>
    </row>
    <row r="214" spans="1:24" x14ac:dyDescent="0.2">
      <c r="A214" s="421"/>
      <c r="B214" s="346"/>
      <c r="C214" s="306">
        <f t="shared" si="5"/>
        <v>0</v>
      </c>
      <c r="D214" s="299"/>
      <c r="E214" s="414"/>
      <c r="F214" s="301"/>
      <c r="G214" s="259"/>
      <c r="H214" s="259"/>
      <c r="I214" s="299"/>
      <c r="J214" s="414"/>
      <c r="K214" s="259"/>
      <c r="L214" s="259"/>
      <c r="M214" s="299"/>
      <c r="N214" s="414"/>
      <c r="O214" s="259"/>
      <c r="P214" s="221"/>
      <c r="Q214" s="219"/>
      <c r="R214" s="413"/>
      <c r="S214" s="294"/>
      <c r="T214" s="221"/>
      <c r="U214" s="295"/>
      <c r="V214" s="412"/>
      <c r="W214" s="300"/>
      <c r="X214" s="205"/>
    </row>
    <row r="215" spans="1:24" x14ac:dyDescent="0.2">
      <c r="A215" s="421">
        <f>A211+1</f>
        <v>45099</v>
      </c>
      <c r="B215" s="346" t="str">
        <f>IF(WEEKDAY(A215)=1,"CN","T"&amp;WEEKDAY(A215))</f>
        <v>T5</v>
      </c>
      <c r="C215" s="306">
        <f t="shared" si="5"/>
        <v>104000</v>
      </c>
      <c r="D215" s="299"/>
      <c r="E215" s="414"/>
      <c r="F215" s="301"/>
      <c r="G215" s="259"/>
      <c r="H215" s="259"/>
      <c r="I215" s="299" t="s">
        <v>105</v>
      </c>
      <c r="J215" s="419" t="s">
        <v>228</v>
      </c>
      <c r="K215" s="259">
        <v>41000</v>
      </c>
      <c r="L215" s="259"/>
      <c r="M215" s="299" t="s">
        <v>115</v>
      </c>
      <c r="N215" s="414" t="s">
        <v>232</v>
      </c>
      <c r="O215" s="259">
        <v>41000</v>
      </c>
      <c r="P215" s="221"/>
      <c r="Q215" s="219" t="s">
        <v>124</v>
      </c>
      <c r="R215" s="413" t="s">
        <v>222</v>
      </c>
      <c r="S215" s="294">
        <v>22000</v>
      </c>
      <c r="T215" s="221"/>
      <c r="U215" s="295"/>
      <c r="V215" s="412"/>
      <c r="W215" s="300"/>
      <c r="X215" s="205"/>
    </row>
    <row r="216" spans="1:24" x14ac:dyDescent="0.2">
      <c r="A216" s="421"/>
      <c r="B216" s="346"/>
      <c r="C216" s="306">
        <f t="shared" ref="C216:C279" si="6">SUM(D216:S216)</f>
        <v>19000</v>
      </c>
      <c r="D216" s="299"/>
      <c r="E216" s="414"/>
      <c r="F216" s="301"/>
      <c r="G216" s="259"/>
      <c r="H216" s="259"/>
      <c r="I216" s="299"/>
      <c r="J216" s="414"/>
      <c r="K216" s="259"/>
      <c r="L216" s="259"/>
      <c r="M216" s="299"/>
      <c r="N216" s="414"/>
      <c r="O216" s="259"/>
      <c r="P216" s="221"/>
      <c r="Q216" s="299" t="s">
        <v>137</v>
      </c>
      <c r="R216" s="414" t="s">
        <v>194</v>
      </c>
      <c r="S216" s="259">
        <v>19000</v>
      </c>
      <c r="T216" s="259"/>
      <c r="U216" s="295"/>
      <c r="V216" s="412"/>
      <c r="W216" s="300"/>
      <c r="X216" s="205"/>
    </row>
    <row r="217" spans="1:24" x14ac:dyDescent="0.2">
      <c r="A217" s="421"/>
      <c r="B217" s="346"/>
      <c r="C217" s="306">
        <f t="shared" si="6"/>
        <v>0</v>
      </c>
      <c r="D217" s="299"/>
      <c r="E217" s="414"/>
      <c r="F217" s="301"/>
      <c r="G217" s="259"/>
      <c r="H217" s="259"/>
      <c r="I217" s="299"/>
      <c r="J217" s="414"/>
      <c r="K217" s="259"/>
      <c r="L217" s="259"/>
      <c r="M217" s="299"/>
      <c r="N217" s="414"/>
      <c r="O217" s="259"/>
      <c r="P217" s="221"/>
      <c r="Q217" s="299"/>
      <c r="R217" s="414"/>
      <c r="S217" s="301"/>
      <c r="T217" s="259"/>
      <c r="U217" s="295"/>
      <c r="V217" s="412"/>
      <c r="W217" s="300"/>
      <c r="X217" s="205"/>
    </row>
    <row r="218" spans="1:24" x14ac:dyDescent="0.2">
      <c r="A218" s="421"/>
      <c r="B218" s="346"/>
      <c r="C218" s="306">
        <f t="shared" si="6"/>
        <v>0</v>
      </c>
      <c r="D218" s="299"/>
      <c r="E218" s="414"/>
      <c r="F218" s="301"/>
      <c r="G218" s="259"/>
      <c r="H218" s="259"/>
      <c r="I218" s="299"/>
      <c r="J218" s="414"/>
      <c r="K218" s="259"/>
      <c r="L218" s="259"/>
      <c r="M218" s="299"/>
      <c r="N218" s="414"/>
      <c r="O218" s="259"/>
      <c r="P218" s="221"/>
      <c r="Q218" s="299"/>
      <c r="R218" s="414"/>
      <c r="S218" s="301"/>
      <c r="T218" s="259"/>
      <c r="U218" s="295"/>
      <c r="V218" s="412"/>
      <c r="W218" s="300"/>
      <c r="X218" s="205"/>
    </row>
    <row r="219" spans="1:24" x14ac:dyDescent="0.2">
      <c r="A219" s="421">
        <f>A215+1</f>
        <v>45100</v>
      </c>
      <c r="B219" s="346" t="str">
        <f>IF(WEEKDAY(A219)=1,"CN","T"&amp;WEEKDAY(A219))</f>
        <v>T6</v>
      </c>
      <c r="C219" s="306">
        <f t="shared" si="6"/>
        <v>119000</v>
      </c>
      <c r="D219" s="299"/>
      <c r="E219" s="414"/>
      <c r="F219" s="301"/>
      <c r="G219" s="259"/>
      <c r="H219" s="259"/>
      <c r="I219" s="219" t="s">
        <v>124</v>
      </c>
      <c r="J219" s="413" t="s">
        <v>222</v>
      </c>
      <c r="K219" s="205">
        <v>41000</v>
      </c>
      <c r="L219" s="221"/>
      <c r="M219" s="299" t="s">
        <v>115</v>
      </c>
      <c r="N219" s="414" t="s">
        <v>232</v>
      </c>
      <c r="O219" s="259">
        <v>41000</v>
      </c>
      <c r="P219" s="221"/>
      <c r="Q219" s="299" t="s">
        <v>137</v>
      </c>
      <c r="R219" s="414" t="s">
        <v>194</v>
      </c>
      <c r="S219" s="301">
        <v>37000</v>
      </c>
      <c r="T219" s="259"/>
      <c r="U219" s="295"/>
      <c r="V219" s="412"/>
      <c r="W219" s="300"/>
      <c r="X219" s="205"/>
    </row>
    <row r="220" spans="1:24" x14ac:dyDescent="0.2">
      <c r="A220" s="421"/>
      <c r="B220" s="346"/>
      <c r="C220" s="306">
        <f t="shared" si="6"/>
        <v>0</v>
      </c>
      <c r="D220" s="299"/>
      <c r="E220" s="414"/>
      <c r="F220" s="301"/>
      <c r="G220" s="259"/>
      <c r="H220" s="259"/>
      <c r="I220" s="219"/>
      <c r="J220" s="413"/>
      <c r="K220" s="413"/>
      <c r="L220" s="221"/>
      <c r="M220" s="299"/>
      <c r="N220" s="414"/>
      <c r="O220" s="259"/>
      <c r="P220" s="221"/>
      <c r="Q220" s="299"/>
      <c r="R220" s="414"/>
      <c r="S220" s="301"/>
      <c r="T220" s="259"/>
      <c r="U220" s="295"/>
      <c r="V220" s="412"/>
      <c r="W220" s="300"/>
      <c r="X220" s="205"/>
    </row>
    <row r="221" spans="1:24" x14ac:dyDescent="0.2">
      <c r="A221" s="421"/>
      <c r="B221" s="346"/>
      <c r="C221" s="306">
        <f t="shared" si="6"/>
        <v>0</v>
      </c>
      <c r="D221" s="299"/>
      <c r="E221" s="414"/>
      <c r="F221" s="301"/>
      <c r="G221" s="259"/>
      <c r="H221" s="259"/>
      <c r="I221" s="222"/>
      <c r="J221" s="413"/>
      <c r="K221" s="413"/>
      <c r="L221" s="221"/>
      <c r="M221" s="299"/>
      <c r="N221" s="414"/>
      <c r="O221" s="259"/>
      <c r="P221" s="221"/>
      <c r="Q221" s="295"/>
      <c r="R221" s="412"/>
      <c r="S221" s="300"/>
      <c r="T221" s="205"/>
      <c r="U221" s="295"/>
      <c r="V221" s="412"/>
      <c r="W221" s="300"/>
      <c r="X221" s="205"/>
    </row>
    <row r="222" spans="1:24" x14ac:dyDescent="0.2">
      <c r="A222" s="421"/>
      <c r="B222" s="346"/>
      <c r="C222" s="306">
        <f t="shared" si="6"/>
        <v>0</v>
      </c>
      <c r="D222" s="299"/>
      <c r="E222" s="414"/>
      <c r="F222" s="301"/>
      <c r="G222" s="259"/>
      <c r="H222" s="259"/>
      <c r="I222" s="222"/>
      <c r="J222" s="413"/>
      <c r="K222" s="413"/>
      <c r="L222" s="221"/>
      <c r="M222" s="299"/>
      <c r="N222" s="414"/>
      <c r="O222" s="259"/>
      <c r="P222" s="221"/>
      <c r="Q222" s="295"/>
      <c r="R222" s="412"/>
      <c r="S222" s="300"/>
      <c r="T222" s="205"/>
      <c r="U222" s="295"/>
      <c r="V222" s="412"/>
      <c r="W222" s="300"/>
      <c r="X222" s="205"/>
    </row>
    <row r="223" spans="1:24" x14ac:dyDescent="0.2">
      <c r="A223" s="421">
        <f>A219+1</f>
        <v>45101</v>
      </c>
      <c r="B223" s="346" t="str">
        <f>IF(WEEKDAY(A223)=1,"CN","T"&amp;WEEKDAY(A223))</f>
        <v>T7</v>
      </c>
      <c r="C223" s="306">
        <f t="shared" si="6"/>
        <v>82000</v>
      </c>
      <c r="D223" s="299"/>
      <c r="E223" s="414"/>
      <c r="F223" s="301"/>
      <c r="G223" s="259"/>
      <c r="H223" s="259"/>
      <c r="I223" s="219" t="s">
        <v>124</v>
      </c>
      <c r="J223" s="413" t="s">
        <v>222</v>
      </c>
      <c r="K223" s="205">
        <v>41000</v>
      </c>
      <c r="L223" s="221"/>
      <c r="M223" s="299" t="s">
        <v>115</v>
      </c>
      <c r="N223" s="414" t="s">
        <v>232</v>
      </c>
      <c r="O223" s="259">
        <v>41000</v>
      </c>
      <c r="P223" s="221"/>
      <c r="Q223" s="299"/>
      <c r="R223" s="414"/>
      <c r="S223" s="301"/>
      <c r="T223" s="259"/>
      <c r="U223" s="295"/>
      <c r="V223" s="412"/>
      <c r="W223" s="300"/>
      <c r="X223" s="205"/>
    </row>
    <row r="224" spans="1:24" x14ac:dyDescent="0.2">
      <c r="A224" s="421"/>
      <c r="B224" s="346"/>
      <c r="C224" s="306">
        <f t="shared" si="6"/>
        <v>0</v>
      </c>
      <c r="D224" s="299"/>
      <c r="E224" s="414"/>
      <c r="F224" s="301"/>
      <c r="G224" s="259"/>
      <c r="H224" s="259"/>
      <c r="I224" s="219"/>
      <c r="J224" s="413"/>
      <c r="K224" s="422"/>
      <c r="L224" s="221"/>
      <c r="M224" s="299"/>
      <c r="N224" s="414"/>
      <c r="O224" s="259"/>
      <c r="P224" s="221"/>
      <c r="Q224" s="295"/>
      <c r="R224" s="412"/>
      <c r="S224" s="300"/>
      <c r="T224" s="205"/>
      <c r="U224" s="295"/>
      <c r="V224" s="412"/>
      <c r="W224" s="300"/>
      <c r="X224" s="205"/>
    </row>
    <row r="225" spans="1:24" x14ac:dyDescent="0.2">
      <c r="A225" s="421"/>
      <c r="B225" s="346"/>
      <c r="C225" s="306">
        <f t="shared" si="6"/>
        <v>0</v>
      </c>
      <c r="D225" s="299"/>
      <c r="E225" s="414"/>
      <c r="F225" s="301"/>
      <c r="G225" s="259"/>
      <c r="H225" s="259"/>
      <c r="I225" s="222"/>
      <c r="J225" s="413"/>
      <c r="K225" s="413"/>
      <c r="L225" s="221"/>
      <c r="M225" s="299"/>
      <c r="N225" s="414"/>
      <c r="O225" s="259"/>
      <c r="P225" s="221"/>
      <c r="Q225" s="295"/>
      <c r="R225" s="412"/>
      <c r="S225" s="300"/>
      <c r="T225" s="205"/>
      <c r="U225" s="295"/>
      <c r="V225" s="412"/>
      <c r="W225" s="300"/>
      <c r="X225" s="205"/>
    </row>
    <row r="226" spans="1:24" x14ac:dyDescent="0.2">
      <c r="A226" s="421"/>
      <c r="B226" s="346"/>
      <c r="C226" s="306">
        <f t="shared" si="6"/>
        <v>0</v>
      </c>
      <c r="D226" s="299"/>
      <c r="E226" s="414"/>
      <c r="F226" s="301"/>
      <c r="G226" s="259"/>
      <c r="H226" s="259"/>
      <c r="I226" s="222"/>
      <c r="J226" s="413"/>
      <c r="K226" s="413"/>
      <c r="L226" s="221"/>
      <c r="M226" s="299"/>
      <c r="N226" s="414"/>
      <c r="O226" s="259"/>
      <c r="P226" s="221"/>
      <c r="Q226" s="295"/>
      <c r="R226" s="412"/>
      <c r="S226" s="300"/>
      <c r="T226" s="205"/>
      <c r="U226" s="295"/>
      <c r="V226" s="412"/>
      <c r="W226" s="300"/>
      <c r="X226" s="205"/>
    </row>
    <row r="227" spans="1:24" x14ac:dyDescent="0.2">
      <c r="A227" s="421">
        <f>A223+1</f>
        <v>45102</v>
      </c>
      <c r="B227" s="346" t="str">
        <f>IF(WEEKDAY(A227)=1,"CN","T"&amp;WEEKDAY(A227))</f>
        <v>CN</v>
      </c>
      <c r="C227" s="306">
        <f t="shared" si="6"/>
        <v>0</v>
      </c>
      <c r="D227" s="299"/>
      <c r="E227" s="414"/>
      <c r="F227" s="301"/>
      <c r="G227" s="259"/>
      <c r="H227" s="259"/>
      <c r="I227" s="219"/>
      <c r="J227" s="413"/>
      <c r="K227" s="205"/>
      <c r="L227" s="221"/>
      <c r="M227" s="299"/>
      <c r="N227" s="414"/>
      <c r="O227" s="259"/>
      <c r="P227" s="221"/>
      <c r="Q227" s="299"/>
      <c r="R227" s="414"/>
      <c r="S227" s="301"/>
      <c r="T227" s="259"/>
      <c r="U227" s="295"/>
      <c r="V227" s="412"/>
      <c r="W227" s="300"/>
      <c r="X227" s="205"/>
    </row>
    <row r="228" spans="1:24" x14ac:dyDescent="0.2">
      <c r="A228" s="421"/>
      <c r="B228" s="346"/>
      <c r="C228" s="306">
        <f t="shared" si="6"/>
        <v>0</v>
      </c>
      <c r="D228" s="299"/>
      <c r="E228" s="414"/>
      <c r="F228" s="301"/>
      <c r="G228" s="259"/>
      <c r="H228" s="259"/>
      <c r="I228" s="219"/>
      <c r="J228" s="413"/>
      <c r="K228" s="221"/>
      <c r="L228" s="221"/>
      <c r="M228" s="299"/>
      <c r="N228" s="414"/>
      <c r="O228" s="259"/>
      <c r="P228" s="221"/>
      <c r="Q228" s="299"/>
      <c r="R228" s="414"/>
      <c r="S228" s="300"/>
      <c r="T228" s="205"/>
      <c r="U228" s="295"/>
      <c r="V228" s="412"/>
      <c r="W228" s="300"/>
      <c r="X228" s="205"/>
    </row>
    <row r="229" spans="1:24" x14ac:dyDescent="0.2">
      <c r="A229" s="421"/>
      <c r="B229" s="346"/>
      <c r="C229" s="306">
        <f t="shared" si="6"/>
        <v>0</v>
      </c>
      <c r="D229" s="299"/>
      <c r="E229" s="414"/>
      <c r="F229" s="301"/>
      <c r="G229" s="259"/>
      <c r="H229" s="259"/>
      <c r="I229" s="219"/>
      <c r="J229" s="413"/>
      <c r="K229" s="221"/>
      <c r="L229" s="221"/>
      <c r="M229" s="299"/>
      <c r="N229" s="414"/>
      <c r="O229" s="259"/>
      <c r="P229" s="221"/>
      <c r="Q229" s="295"/>
      <c r="R229" s="412"/>
      <c r="S229" s="300"/>
      <c r="T229" s="205"/>
      <c r="U229" s="295"/>
      <c r="V229" s="412"/>
      <c r="W229" s="300"/>
      <c r="X229" s="205"/>
    </row>
    <row r="230" spans="1:24" x14ac:dyDescent="0.2">
      <c r="A230" s="421"/>
      <c r="B230" s="346"/>
      <c r="C230" s="306">
        <f t="shared" si="6"/>
        <v>0</v>
      </c>
      <c r="D230" s="299"/>
      <c r="E230" s="414"/>
      <c r="F230" s="301"/>
      <c r="G230" s="259"/>
      <c r="H230" s="259"/>
      <c r="I230" s="219"/>
      <c r="J230" s="413"/>
      <c r="K230" s="221"/>
      <c r="L230" s="221"/>
      <c r="M230" s="299"/>
      <c r="N230" s="414"/>
      <c r="O230" s="259"/>
      <c r="P230" s="221"/>
      <c r="Q230" s="295"/>
      <c r="R230" s="412"/>
      <c r="S230" s="300"/>
      <c r="T230" s="205"/>
      <c r="U230" s="295"/>
      <c r="V230" s="412"/>
      <c r="W230" s="300"/>
      <c r="X230" s="205"/>
    </row>
    <row r="231" spans="1:24" x14ac:dyDescent="0.2">
      <c r="A231" s="421">
        <f>A227+1</f>
        <v>45103</v>
      </c>
      <c r="B231" s="346" t="str">
        <f>IF(WEEKDAY(A231)=1,"CN","T"&amp;WEEKDAY(A231))</f>
        <v>T2</v>
      </c>
      <c r="C231" s="306">
        <f t="shared" si="6"/>
        <v>69000</v>
      </c>
      <c r="D231" s="299"/>
      <c r="E231" s="414"/>
      <c r="F231" s="301"/>
      <c r="G231" s="259"/>
      <c r="H231" s="259"/>
      <c r="I231" s="219" t="s">
        <v>124</v>
      </c>
      <c r="J231" s="413" t="s">
        <v>222</v>
      </c>
      <c r="K231" s="205">
        <v>28000</v>
      </c>
      <c r="L231" s="221"/>
      <c r="M231" s="299" t="s">
        <v>115</v>
      </c>
      <c r="N231" s="414" t="s">
        <v>232</v>
      </c>
      <c r="O231" s="259">
        <v>41000</v>
      </c>
      <c r="P231" s="221"/>
      <c r="Q231" s="295"/>
      <c r="R231" s="412"/>
      <c r="S231" s="300"/>
      <c r="T231" s="205"/>
      <c r="U231" s="295"/>
      <c r="V231" s="412"/>
      <c r="W231" s="300"/>
      <c r="X231" s="205"/>
    </row>
    <row r="232" spans="1:24" x14ac:dyDescent="0.2">
      <c r="A232" s="421"/>
      <c r="B232" s="346"/>
      <c r="C232" s="306">
        <f t="shared" si="6"/>
        <v>13000</v>
      </c>
      <c r="D232" s="299"/>
      <c r="E232" s="414"/>
      <c r="F232" s="301"/>
      <c r="G232" s="259"/>
      <c r="H232" s="259"/>
      <c r="I232" s="299" t="s">
        <v>105</v>
      </c>
      <c r="J232" s="419" t="s">
        <v>228</v>
      </c>
      <c r="K232" s="259">
        <v>13000</v>
      </c>
      <c r="L232" s="259"/>
      <c r="M232" s="299"/>
      <c r="N232" s="414"/>
      <c r="O232" s="259"/>
      <c r="P232" s="221"/>
      <c r="Q232" s="295"/>
      <c r="R232" s="412"/>
      <c r="S232" s="300"/>
      <c r="T232" s="205"/>
      <c r="U232" s="295"/>
      <c r="V232" s="412"/>
      <c r="W232" s="300"/>
      <c r="X232" s="205"/>
    </row>
    <row r="233" spans="1:24" x14ac:dyDescent="0.2">
      <c r="A233" s="421"/>
      <c r="B233" s="346"/>
      <c r="C233" s="306">
        <f t="shared" si="6"/>
        <v>0</v>
      </c>
      <c r="D233" s="299"/>
      <c r="E233" s="414"/>
      <c r="F233" s="301"/>
      <c r="G233" s="259"/>
      <c r="H233" s="259"/>
      <c r="I233" s="299"/>
      <c r="J233" s="414"/>
      <c r="K233" s="259"/>
      <c r="L233" s="259"/>
      <c r="M233" s="299"/>
      <c r="N233" s="414"/>
      <c r="O233" s="259"/>
      <c r="P233" s="221"/>
      <c r="Q233" s="295"/>
      <c r="R233" s="412"/>
      <c r="S233" s="300"/>
      <c r="T233" s="205"/>
      <c r="U233" s="295"/>
      <c r="V233" s="412"/>
      <c r="W233" s="300"/>
      <c r="X233" s="205"/>
    </row>
    <row r="234" spans="1:24" x14ac:dyDescent="0.2">
      <c r="A234" s="421"/>
      <c r="B234" s="346"/>
      <c r="C234" s="306">
        <f t="shared" si="6"/>
        <v>0</v>
      </c>
      <c r="D234" s="299"/>
      <c r="E234" s="414"/>
      <c r="F234" s="301"/>
      <c r="G234" s="259"/>
      <c r="H234" s="259"/>
      <c r="I234" s="299"/>
      <c r="J234" s="414"/>
      <c r="K234" s="259"/>
      <c r="L234" s="259"/>
      <c r="M234" s="299"/>
      <c r="N234" s="414"/>
      <c r="O234" s="259"/>
      <c r="P234" s="221"/>
      <c r="Q234" s="295"/>
      <c r="R234" s="412"/>
      <c r="S234" s="300"/>
      <c r="T234" s="205"/>
      <c r="U234" s="295"/>
      <c r="V234" s="412"/>
      <c r="W234" s="300"/>
      <c r="X234" s="205"/>
    </row>
    <row r="235" spans="1:24" x14ac:dyDescent="0.2">
      <c r="A235" s="421">
        <f>A231+1</f>
        <v>45104</v>
      </c>
      <c r="B235" s="346" t="str">
        <f>IF(WEEKDAY(A235)=1,"CN","T"&amp;WEEKDAY(A235))</f>
        <v>T3</v>
      </c>
      <c r="C235" s="306">
        <f t="shared" si="6"/>
        <v>82000</v>
      </c>
      <c r="D235" s="299"/>
      <c r="E235" s="414"/>
      <c r="F235" s="301"/>
      <c r="G235" s="259"/>
      <c r="H235" s="259"/>
      <c r="I235" s="299" t="s">
        <v>105</v>
      </c>
      <c r="J235" s="419" t="s">
        <v>228</v>
      </c>
      <c r="K235" s="259">
        <v>41000</v>
      </c>
      <c r="L235" s="259"/>
      <c r="M235" s="299" t="s">
        <v>115</v>
      </c>
      <c r="N235" s="414" t="s">
        <v>232</v>
      </c>
      <c r="O235" s="259">
        <v>41000</v>
      </c>
      <c r="P235" s="221"/>
      <c r="Q235" s="299"/>
      <c r="R235" s="414"/>
      <c r="S235" s="301"/>
      <c r="T235" s="259"/>
      <c r="U235" s="295"/>
      <c r="V235" s="412"/>
      <c r="W235" s="300"/>
      <c r="X235" s="205"/>
    </row>
    <row r="236" spans="1:24" x14ac:dyDescent="0.2">
      <c r="A236" s="421"/>
      <c r="B236" s="346"/>
      <c r="C236" s="306">
        <f t="shared" si="6"/>
        <v>0</v>
      </c>
      <c r="D236" s="299"/>
      <c r="E236" s="414"/>
      <c r="F236" s="301"/>
      <c r="G236" s="259"/>
      <c r="H236" s="259"/>
      <c r="I236" s="299"/>
      <c r="J236" s="414"/>
      <c r="K236" s="259"/>
      <c r="L236" s="259"/>
      <c r="M236" s="299"/>
      <c r="N236" s="414"/>
      <c r="O236" s="259"/>
      <c r="P236" s="221"/>
      <c r="Q236" s="296"/>
      <c r="R236" s="412"/>
      <c r="S236" s="214"/>
      <c r="T236" s="214"/>
      <c r="U236" s="295"/>
      <c r="V236" s="412"/>
      <c r="W236" s="300"/>
      <c r="X236" s="205"/>
    </row>
    <row r="237" spans="1:24" x14ac:dyDescent="0.2">
      <c r="A237" s="421"/>
      <c r="B237" s="346"/>
      <c r="C237" s="306">
        <f t="shared" si="6"/>
        <v>0</v>
      </c>
      <c r="D237" s="299"/>
      <c r="E237" s="414"/>
      <c r="F237" s="301"/>
      <c r="G237" s="259"/>
      <c r="H237" s="259"/>
      <c r="I237" s="299"/>
      <c r="J237" s="414"/>
      <c r="K237" s="259"/>
      <c r="L237" s="259"/>
      <c r="M237" s="299"/>
      <c r="N237" s="414"/>
      <c r="O237" s="259"/>
      <c r="P237" s="221"/>
      <c r="Q237" s="296"/>
      <c r="R237" s="412"/>
      <c r="S237" s="214"/>
      <c r="T237" s="214"/>
      <c r="U237" s="295"/>
      <c r="V237" s="412"/>
      <c r="W237" s="300"/>
      <c r="X237" s="205"/>
    </row>
    <row r="238" spans="1:24" x14ac:dyDescent="0.2">
      <c r="A238" s="421"/>
      <c r="B238" s="346"/>
      <c r="C238" s="306">
        <f t="shared" si="6"/>
        <v>0</v>
      </c>
      <c r="D238" s="299"/>
      <c r="E238" s="414"/>
      <c r="F238" s="301"/>
      <c r="G238" s="259"/>
      <c r="H238" s="259"/>
      <c r="I238" s="299"/>
      <c r="J238" s="414"/>
      <c r="K238" s="259"/>
      <c r="L238" s="259"/>
      <c r="M238" s="299"/>
      <c r="N238" s="414"/>
      <c r="O238" s="259"/>
      <c r="P238" s="221"/>
      <c r="Q238" s="296"/>
      <c r="R238" s="412"/>
      <c r="S238" s="214"/>
      <c r="T238" s="214"/>
      <c r="U238" s="295"/>
      <c r="V238" s="412"/>
      <c r="W238" s="300"/>
      <c r="X238" s="205"/>
    </row>
    <row r="239" spans="1:24" x14ac:dyDescent="0.2">
      <c r="A239" s="421">
        <f>A235+1</f>
        <v>45105</v>
      </c>
      <c r="B239" s="346" t="str">
        <f>IF(WEEKDAY(A239)=1,"CN","T"&amp;WEEKDAY(A239))</f>
        <v>T4</v>
      </c>
      <c r="C239" s="306">
        <f t="shared" si="6"/>
        <v>82000</v>
      </c>
      <c r="D239" s="299"/>
      <c r="E239" s="414"/>
      <c r="F239" s="301"/>
      <c r="G239" s="259"/>
      <c r="H239" s="259"/>
      <c r="I239" s="299" t="s">
        <v>105</v>
      </c>
      <c r="J239" s="419" t="s">
        <v>228</v>
      </c>
      <c r="K239" s="259">
        <v>41000</v>
      </c>
      <c r="L239" s="259"/>
      <c r="M239" s="299" t="s">
        <v>115</v>
      </c>
      <c r="N239" s="414" t="s">
        <v>232</v>
      </c>
      <c r="O239" s="259">
        <v>41000</v>
      </c>
      <c r="P239" s="221"/>
      <c r="Q239" s="299"/>
      <c r="R239" s="414"/>
      <c r="S239" s="301"/>
      <c r="T239" s="259"/>
      <c r="U239" s="295"/>
      <c r="V239" s="412"/>
      <c r="W239" s="300"/>
      <c r="X239" s="205"/>
    </row>
    <row r="240" spans="1:24" x14ac:dyDescent="0.2">
      <c r="A240" s="421"/>
      <c r="B240" s="346"/>
      <c r="C240" s="306">
        <f t="shared" si="6"/>
        <v>0</v>
      </c>
      <c r="D240" s="299"/>
      <c r="E240" s="414"/>
      <c r="F240" s="301"/>
      <c r="G240" s="259"/>
      <c r="H240" s="259"/>
      <c r="I240" s="299"/>
      <c r="J240" s="414"/>
      <c r="K240" s="259"/>
      <c r="L240" s="259"/>
      <c r="M240" s="299"/>
      <c r="N240" s="414"/>
      <c r="O240" s="259"/>
      <c r="P240" s="221"/>
      <c r="Q240" s="296"/>
      <c r="R240" s="412"/>
      <c r="S240" s="214"/>
      <c r="T240" s="214"/>
      <c r="U240" s="295"/>
      <c r="V240" s="412"/>
      <c r="W240" s="300"/>
      <c r="X240" s="205"/>
    </row>
    <row r="241" spans="1:24" x14ac:dyDescent="0.2">
      <c r="A241" s="421"/>
      <c r="B241" s="346"/>
      <c r="C241" s="306">
        <f t="shared" si="6"/>
        <v>0</v>
      </c>
      <c r="D241" s="299"/>
      <c r="E241" s="414"/>
      <c r="F241" s="301"/>
      <c r="G241" s="259"/>
      <c r="H241" s="259"/>
      <c r="I241" s="299"/>
      <c r="J241" s="414"/>
      <c r="K241" s="259"/>
      <c r="L241" s="259"/>
      <c r="M241" s="299"/>
      <c r="N241" s="414"/>
      <c r="O241" s="259"/>
      <c r="P241" s="221"/>
      <c r="Q241" s="296"/>
      <c r="R241" s="412"/>
      <c r="S241" s="214"/>
      <c r="T241" s="214"/>
      <c r="U241" s="295"/>
      <c r="V241" s="412"/>
      <c r="W241" s="300"/>
      <c r="X241" s="205"/>
    </row>
    <row r="242" spans="1:24" x14ac:dyDescent="0.2">
      <c r="A242" s="421"/>
      <c r="B242" s="346"/>
      <c r="C242" s="306">
        <f t="shared" si="6"/>
        <v>0</v>
      </c>
      <c r="D242" s="299"/>
      <c r="E242" s="414"/>
      <c r="F242" s="301"/>
      <c r="G242" s="259"/>
      <c r="H242" s="259"/>
      <c r="I242" s="299"/>
      <c r="J242" s="414"/>
      <c r="K242" s="259"/>
      <c r="L242" s="259"/>
      <c r="M242" s="299"/>
      <c r="N242" s="414"/>
      <c r="O242" s="259"/>
      <c r="P242" s="221"/>
      <c r="Q242" s="296"/>
      <c r="R242" s="412"/>
      <c r="S242" s="214"/>
      <c r="T242" s="214"/>
      <c r="U242" s="295"/>
      <c r="V242" s="412"/>
      <c r="W242" s="300"/>
      <c r="X242" s="205"/>
    </row>
    <row r="243" spans="1:24" x14ac:dyDescent="0.2">
      <c r="A243" s="421">
        <f>A239+1</f>
        <v>45106</v>
      </c>
      <c r="B243" s="346" t="str">
        <f>IF(WEEKDAY(A243)=1,"CN","T"&amp;WEEKDAY(A243))</f>
        <v>T5</v>
      </c>
      <c r="C243" s="306">
        <f t="shared" si="6"/>
        <v>45000</v>
      </c>
      <c r="D243" s="299"/>
      <c r="E243" s="414"/>
      <c r="F243" s="301"/>
      <c r="G243" s="259"/>
      <c r="H243" s="259"/>
      <c r="I243" s="299" t="s">
        <v>105</v>
      </c>
      <c r="J243" s="419" t="s">
        <v>228</v>
      </c>
      <c r="K243" s="259">
        <v>4000</v>
      </c>
      <c r="L243" s="259"/>
      <c r="M243" s="299" t="s">
        <v>115</v>
      </c>
      <c r="N243" s="414" t="s">
        <v>232</v>
      </c>
      <c r="O243" s="259">
        <v>41000</v>
      </c>
      <c r="P243" s="221"/>
      <c r="Q243" s="296"/>
      <c r="R243" s="412"/>
      <c r="S243" s="214"/>
      <c r="T243" s="214"/>
      <c r="U243" s="295"/>
      <c r="V243" s="412"/>
      <c r="W243" s="300"/>
      <c r="X243" s="205"/>
    </row>
    <row r="244" spans="1:24" x14ac:dyDescent="0.2">
      <c r="A244" s="421"/>
      <c r="B244" s="346"/>
      <c r="C244" s="306">
        <f t="shared" si="6"/>
        <v>37000</v>
      </c>
      <c r="D244" s="299"/>
      <c r="E244" s="414"/>
      <c r="F244" s="301"/>
      <c r="G244" s="259"/>
      <c r="H244" s="259"/>
      <c r="I244" s="299" t="s">
        <v>105</v>
      </c>
      <c r="J244" s="419" t="s">
        <v>229</v>
      </c>
      <c r="K244" s="259">
        <v>37000</v>
      </c>
      <c r="L244" s="259"/>
      <c r="M244" s="299"/>
      <c r="N244" s="414"/>
      <c r="O244" s="259"/>
      <c r="P244" s="221"/>
      <c r="Q244" s="296"/>
      <c r="R244" s="412"/>
      <c r="S244" s="214"/>
      <c r="T244" s="214"/>
      <c r="U244" s="295"/>
      <c r="V244" s="412"/>
      <c r="W244" s="300"/>
      <c r="X244" s="205"/>
    </row>
    <row r="245" spans="1:24" x14ac:dyDescent="0.2">
      <c r="A245" s="421"/>
      <c r="B245" s="346"/>
      <c r="C245" s="306">
        <f t="shared" si="6"/>
        <v>0</v>
      </c>
      <c r="D245" s="299"/>
      <c r="E245" s="414"/>
      <c r="F245" s="301"/>
      <c r="G245" s="259"/>
      <c r="H245" s="259"/>
      <c r="I245" s="299"/>
      <c r="J245" s="414"/>
      <c r="K245" s="259"/>
      <c r="L245" s="259"/>
      <c r="M245" s="299"/>
      <c r="N245" s="414"/>
      <c r="O245" s="259"/>
      <c r="P245" s="221"/>
      <c r="Q245" s="296"/>
      <c r="R245" s="412"/>
      <c r="S245" s="214"/>
      <c r="T245" s="214"/>
      <c r="U245" s="295"/>
      <c r="V245" s="412"/>
      <c r="W245" s="300"/>
      <c r="X245" s="205"/>
    </row>
    <row r="246" spans="1:24" x14ac:dyDescent="0.2">
      <c r="A246" s="421"/>
      <c r="B246" s="346"/>
      <c r="C246" s="306">
        <f t="shared" si="6"/>
        <v>0</v>
      </c>
      <c r="D246" s="299"/>
      <c r="E246" s="414"/>
      <c r="F246" s="301"/>
      <c r="G246" s="259"/>
      <c r="H246" s="259"/>
      <c r="I246" s="299"/>
      <c r="J246" s="414"/>
      <c r="K246" s="259"/>
      <c r="L246" s="259"/>
      <c r="M246" s="299"/>
      <c r="N246" s="414"/>
      <c r="O246" s="259"/>
      <c r="P246" s="221"/>
      <c r="Q246" s="296"/>
      <c r="R246" s="412"/>
      <c r="S246" s="214"/>
      <c r="T246" s="214"/>
      <c r="U246" s="295"/>
      <c r="V246" s="412"/>
      <c r="W246" s="300"/>
      <c r="X246" s="205"/>
    </row>
    <row r="247" spans="1:24" x14ac:dyDescent="0.2">
      <c r="A247" s="421">
        <f>A243+1</f>
        <v>45107</v>
      </c>
      <c r="B247" s="346" t="str">
        <f>IF(WEEKDAY(A247)=1,"CN","T"&amp;WEEKDAY(A247))</f>
        <v>T6</v>
      </c>
      <c r="C247" s="306">
        <f t="shared" si="6"/>
        <v>82000</v>
      </c>
      <c r="D247" s="299"/>
      <c r="E247" s="414"/>
      <c r="F247" s="301"/>
      <c r="G247" s="259"/>
      <c r="H247" s="259"/>
      <c r="I247" s="299" t="s">
        <v>105</v>
      </c>
      <c r="J247" s="419" t="s">
        <v>229</v>
      </c>
      <c r="K247" s="259">
        <v>41000</v>
      </c>
      <c r="L247" s="259"/>
      <c r="M247" s="299" t="s">
        <v>115</v>
      </c>
      <c r="N247" s="414" t="s">
        <v>232</v>
      </c>
      <c r="O247" s="259">
        <v>41000</v>
      </c>
      <c r="P247" s="221"/>
      <c r="Q247" s="296"/>
      <c r="R247" s="412"/>
      <c r="S247" s="214"/>
      <c r="T247" s="214"/>
      <c r="U247" s="295"/>
      <c r="V247" s="412"/>
      <c r="W247" s="300"/>
      <c r="X247" s="205"/>
    </row>
    <row r="248" spans="1:24" x14ac:dyDescent="0.2">
      <c r="A248" s="421"/>
      <c r="B248" s="346"/>
      <c r="C248" s="306">
        <f t="shared" si="6"/>
        <v>0</v>
      </c>
      <c r="D248" s="299"/>
      <c r="E248" s="414"/>
      <c r="F248" s="301"/>
      <c r="G248" s="259"/>
      <c r="H248" s="259"/>
      <c r="I248" s="299"/>
      <c r="J248" s="414"/>
      <c r="K248" s="259"/>
      <c r="L248" s="259"/>
      <c r="M248" s="299"/>
      <c r="N248" s="414"/>
      <c r="O248" s="259"/>
      <c r="P248" s="221"/>
      <c r="Q248" s="296"/>
      <c r="R248" s="412"/>
      <c r="S248" s="214"/>
      <c r="T248" s="214"/>
      <c r="U248" s="295"/>
      <c r="V248" s="412"/>
      <c r="W248" s="300"/>
      <c r="X248" s="205"/>
    </row>
    <row r="249" spans="1:24" x14ac:dyDescent="0.2">
      <c r="A249" s="421"/>
      <c r="B249" s="346"/>
      <c r="C249" s="306">
        <f t="shared" si="6"/>
        <v>0</v>
      </c>
      <c r="D249" s="299"/>
      <c r="E249" s="414"/>
      <c r="F249" s="301"/>
      <c r="G249" s="259"/>
      <c r="H249" s="259"/>
      <c r="I249" s="299"/>
      <c r="J249" s="414"/>
      <c r="K249" s="259"/>
      <c r="L249" s="259"/>
      <c r="M249" s="299"/>
      <c r="N249" s="414"/>
      <c r="O249" s="259"/>
      <c r="P249" s="221"/>
      <c r="Q249" s="296"/>
      <c r="R249" s="412"/>
      <c r="S249" s="214"/>
      <c r="T249" s="214"/>
      <c r="U249" s="295"/>
      <c r="V249" s="412"/>
      <c r="W249" s="300"/>
      <c r="X249" s="205"/>
    </row>
    <row r="250" spans="1:24" x14ac:dyDescent="0.2">
      <c r="A250" s="421"/>
      <c r="B250" s="346"/>
      <c r="C250" s="306">
        <f t="shared" si="6"/>
        <v>0</v>
      </c>
      <c r="D250" s="299"/>
      <c r="E250" s="414"/>
      <c r="F250" s="301"/>
      <c r="G250" s="259"/>
      <c r="H250" s="259"/>
      <c r="I250" s="299"/>
      <c r="J250" s="414"/>
      <c r="K250" s="259"/>
      <c r="L250" s="259"/>
      <c r="M250" s="299"/>
      <c r="N250" s="414"/>
      <c r="O250" s="259"/>
      <c r="P250" s="221"/>
      <c r="Q250" s="296"/>
      <c r="R250" s="412"/>
      <c r="S250" s="214"/>
      <c r="T250" s="214"/>
      <c r="U250" s="295"/>
      <c r="V250" s="412"/>
      <c r="W250" s="300"/>
      <c r="X250" s="205"/>
    </row>
    <row r="251" spans="1:24" x14ac:dyDescent="0.2">
      <c r="A251" s="421">
        <f>A247+1</f>
        <v>45108</v>
      </c>
      <c r="B251" s="346" t="str">
        <f>IF(WEEKDAY(A251)=1,"CN","T"&amp;WEEKDAY(A251))</f>
        <v>T7</v>
      </c>
      <c r="C251" s="306">
        <f t="shared" si="6"/>
        <v>82000</v>
      </c>
      <c r="D251" s="303"/>
      <c r="E251" s="412"/>
      <c r="F251" s="412"/>
      <c r="G251" s="304"/>
      <c r="H251" s="304"/>
      <c r="I251" s="299" t="s">
        <v>105</v>
      </c>
      <c r="J251" s="419" t="s">
        <v>229</v>
      </c>
      <c r="K251" s="259">
        <v>41000</v>
      </c>
      <c r="L251" s="259"/>
      <c r="M251" s="299" t="s">
        <v>115</v>
      </c>
      <c r="N251" s="414" t="s">
        <v>232</v>
      </c>
      <c r="O251" s="259">
        <v>41000</v>
      </c>
      <c r="P251" s="221"/>
      <c r="Q251" s="296"/>
      <c r="R251" s="412"/>
      <c r="S251" s="214"/>
      <c r="T251" s="214"/>
      <c r="U251" s="295"/>
      <c r="V251" s="412"/>
      <c r="W251" s="300"/>
      <c r="X251" s="205"/>
    </row>
    <row r="252" spans="1:24" x14ac:dyDescent="0.2">
      <c r="A252" s="421"/>
      <c r="B252" s="346"/>
      <c r="C252" s="306">
        <f t="shared" si="6"/>
        <v>0</v>
      </c>
      <c r="D252" s="303"/>
      <c r="E252" s="412"/>
      <c r="F252" s="412"/>
      <c r="G252" s="304"/>
      <c r="H252" s="304"/>
      <c r="I252" s="299"/>
      <c r="J252" s="414"/>
      <c r="K252" s="259"/>
      <c r="L252" s="259"/>
      <c r="M252" s="299"/>
      <c r="N252" s="414"/>
      <c r="O252" s="259"/>
      <c r="P252" s="221"/>
      <c r="Q252" s="296"/>
      <c r="R252" s="412"/>
      <c r="S252" s="214"/>
      <c r="T252" s="214"/>
      <c r="U252" s="295"/>
      <c r="V252" s="412"/>
      <c r="W252" s="300"/>
      <c r="X252" s="205"/>
    </row>
    <row r="253" spans="1:24" x14ac:dyDescent="0.2">
      <c r="A253" s="421"/>
      <c r="B253" s="346"/>
      <c r="C253" s="306">
        <f t="shared" si="6"/>
        <v>0</v>
      </c>
      <c r="D253" s="303"/>
      <c r="E253" s="412"/>
      <c r="F253" s="412"/>
      <c r="G253" s="304"/>
      <c r="H253" s="304"/>
      <c r="I253" s="299"/>
      <c r="J253" s="414"/>
      <c r="K253" s="259"/>
      <c r="L253" s="259"/>
      <c r="M253" s="299"/>
      <c r="N253" s="414"/>
      <c r="O253" s="259"/>
      <c r="P253" s="221"/>
      <c r="Q253" s="296"/>
      <c r="R253" s="412"/>
      <c r="S253" s="214"/>
      <c r="T253" s="214"/>
      <c r="U253" s="295"/>
      <c r="V253" s="412"/>
      <c r="W253" s="300"/>
      <c r="X253" s="205"/>
    </row>
    <row r="254" spans="1:24" x14ac:dyDescent="0.2">
      <c r="A254" s="421"/>
      <c r="B254" s="346"/>
      <c r="C254" s="306">
        <f t="shared" si="6"/>
        <v>0</v>
      </c>
      <c r="D254" s="303"/>
      <c r="E254" s="412"/>
      <c r="F254" s="412"/>
      <c r="G254" s="304"/>
      <c r="H254" s="304"/>
      <c r="I254" s="299"/>
      <c r="J254" s="414"/>
      <c r="K254" s="259"/>
      <c r="L254" s="259"/>
      <c r="M254" s="299"/>
      <c r="N254" s="414"/>
      <c r="O254" s="259"/>
      <c r="P254" s="221"/>
      <c r="Q254" s="296"/>
      <c r="R254" s="412"/>
      <c r="S254" s="214"/>
      <c r="T254" s="214"/>
      <c r="U254" s="295"/>
      <c r="V254" s="412"/>
      <c r="W254" s="300"/>
      <c r="X254" s="205"/>
    </row>
    <row r="255" spans="1:24" x14ac:dyDescent="0.2">
      <c r="A255" s="421">
        <f>A251+1</f>
        <v>45109</v>
      </c>
      <c r="B255" s="346" t="str">
        <f>IF(WEEKDAY(A255)=1,"CN","T"&amp;WEEKDAY(A255))</f>
        <v>CN</v>
      </c>
      <c r="C255" s="306">
        <f t="shared" si="6"/>
        <v>0</v>
      </c>
      <c r="D255" s="303"/>
      <c r="E255" s="412"/>
      <c r="F255" s="412"/>
      <c r="G255" s="304"/>
      <c r="H255" s="304"/>
      <c r="I255" s="299"/>
      <c r="J255" s="414"/>
      <c r="K255" s="259"/>
      <c r="L255" s="259"/>
      <c r="M255" s="299"/>
      <c r="N255" s="414"/>
      <c r="O255" s="259"/>
      <c r="P255" s="221"/>
      <c r="Q255" s="296"/>
      <c r="R255" s="412"/>
      <c r="S255" s="214"/>
      <c r="T255" s="214"/>
      <c r="U255" s="295"/>
      <c r="V255" s="412"/>
      <c r="W255" s="300"/>
      <c r="X255" s="205"/>
    </row>
    <row r="256" spans="1:24" x14ac:dyDescent="0.2">
      <c r="A256" s="421"/>
      <c r="B256" s="346"/>
      <c r="C256" s="306">
        <f t="shared" si="6"/>
        <v>0</v>
      </c>
      <c r="D256" s="303"/>
      <c r="E256" s="412"/>
      <c r="F256" s="412"/>
      <c r="G256" s="304"/>
      <c r="H256" s="304"/>
      <c r="I256" s="299"/>
      <c r="J256" s="414"/>
      <c r="K256" s="259"/>
      <c r="L256" s="259"/>
      <c r="M256" s="299"/>
      <c r="N256" s="414"/>
      <c r="O256" s="259"/>
      <c r="P256" s="221"/>
      <c r="Q256" s="296"/>
      <c r="R256" s="412"/>
      <c r="S256" s="214"/>
      <c r="T256" s="214"/>
      <c r="U256" s="295"/>
      <c r="V256" s="412"/>
      <c r="W256" s="300"/>
      <c r="X256" s="205"/>
    </row>
    <row r="257" spans="1:24" x14ac:dyDescent="0.2">
      <c r="A257" s="421"/>
      <c r="B257" s="346"/>
      <c r="C257" s="306">
        <f t="shared" si="6"/>
        <v>0</v>
      </c>
      <c r="D257" s="303"/>
      <c r="E257" s="412"/>
      <c r="F257" s="412"/>
      <c r="G257" s="304"/>
      <c r="H257" s="304"/>
      <c r="I257" s="299"/>
      <c r="J257" s="414"/>
      <c r="K257" s="259"/>
      <c r="L257" s="259"/>
      <c r="M257" s="299"/>
      <c r="N257" s="414"/>
      <c r="O257" s="259"/>
      <c r="P257" s="221"/>
      <c r="Q257" s="296"/>
      <c r="R257" s="412"/>
      <c r="S257" s="214"/>
      <c r="T257" s="214"/>
      <c r="U257" s="295"/>
      <c r="V257" s="412"/>
      <c r="W257" s="300"/>
      <c r="X257" s="205"/>
    </row>
    <row r="258" spans="1:24" x14ac:dyDescent="0.2">
      <c r="A258" s="421"/>
      <c r="B258" s="346"/>
      <c r="C258" s="306">
        <f t="shared" si="6"/>
        <v>0</v>
      </c>
      <c r="D258" s="303"/>
      <c r="E258" s="412"/>
      <c r="F258" s="412"/>
      <c r="G258" s="304"/>
      <c r="H258" s="304"/>
      <c r="I258" s="299"/>
      <c r="J258" s="414"/>
      <c r="K258" s="259"/>
      <c r="L258" s="259"/>
      <c r="M258" s="299"/>
      <c r="N258" s="414"/>
      <c r="O258" s="259"/>
      <c r="P258" s="221"/>
      <c r="Q258" s="296"/>
      <c r="R258" s="412"/>
      <c r="S258" s="214"/>
      <c r="T258" s="214"/>
      <c r="U258" s="295"/>
      <c r="V258" s="412"/>
      <c r="W258" s="300"/>
      <c r="X258" s="205"/>
    </row>
    <row r="259" spans="1:24" x14ac:dyDescent="0.2">
      <c r="A259" s="421">
        <f>A255+1</f>
        <v>45110</v>
      </c>
      <c r="B259" s="346" t="str">
        <f>IF(WEEKDAY(A259)=1,"CN","T"&amp;WEEKDAY(A259))</f>
        <v>T2</v>
      </c>
      <c r="C259" s="306">
        <f t="shared" si="6"/>
        <v>61000</v>
      </c>
      <c r="D259" s="303"/>
      <c r="E259" s="412"/>
      <c r="F259" s="412"/>
      <c r="G259" s="304"/>
      <c r="H259" s="304"/>
      <c r="I259" s="299" t="s">
        <v>105</v>
      </c>
      <c r="J259" s="419" t="s">
        <v>229</v>
      </c>
      <c r="K259" s="259">
        <v>41000</v>
      </c>
      <c r="L259" s="259"/>
      <c r="M259" s="299" t="s">
        <v>115</v>
      </c>
      <c r="N259" s="414" t="s">
        <v>232</v>
      </c>
      <c r="O259" s="259">
        <v>20000</v>
      </c>
      <c r="P259" s="221"/>
      <c r="Q259" s="296"/>
      <c r="R259" s="412"/>
      <c r="S259" s="214"/>
      <c r="T259" s="214"/>
      <c r="U259" s="295"/>
      <c r="V259" s="412"/>
      <c r="W259" s="300"/>
      <c r="X259" s="205"/>
    </row>
    <row r="260" spans="1:24" x14ac:dyDescent="0.2">
      <c r="A260" s="421"/>
      <c r="B260" s="346"/>
      <c r="C260" s="306">
        <f t="shared" si="6"/>
        <v>21000</v>
      </c>
      <c r="D260" s="303"/>
      <c r="E260" s="412"/>
      <c r="F260" s="412"/>
      <c r="G260" s="304"/>
      <c r="H260" s="304"/>
      <c r="I260" s="299"/>
      <c r="J260" s="414"/>
      <c r="K260" s="259"/>
      <c r="L260" s="259"/>
      <c r="M260" s="305" t="s">
        <v>115</v>
      </c>
      <c r="N260" s="428" t="s">
        <v>166</v>
      </c>
      <c r="O260" s="302">
        <v>21000</v>
      </c>
      <c r="P260" s="302"/>
      <c r="Q260" s="296"/>
      <c r="R260" s="412"/>
      <c r="S260" s="214"/>
      <c r="T260" s="214"/>
      <c r="U260" s="295"/>
      <c r="V260" s="412"/>
      <c r="W260" s="300"/>
      <c r="X260" s="205"/>
    </row>
    <row r="261" spans="1:24" x14ac:dyDescent="0.2">
      <c r="A261" s="421"/>
      <c r="B261" s="346"/>
      <c r="C261" s="306">
        <f t="shared" si="6"/>
        <v>0</v>
      </c>
      <c r="D261" s="303"/>
      <c r="E261" s="412"/>
      <c r="F261" s="412"/>
      <c r="G261" s="304"/>
      <c r="H261" s="304"/>
      <c r="I261" s="299"/>
      <c r="J261" s="414"/>
      <c r="K261" s="259"/>
      <c r="L261" s="259"/>
      <c r="M261" s="305"/>
      <c r="N261" s="428"/>
      <c r="O261" s="302"/>
      <c r="P261" s="302"/>
      <c r="Q261" s="296"/>
      <c r="R261" s="412"/>
      <c r="S261" s="214"/>
      <c r="T261" s="214"/>
      <c r="U261" s="295"/>
      <c r="V261" s="412"/>
      <c r="W261" s="300"/>
      <c r="X261" s="205"/>
    </row>
    <row r="262" spans="1:24" x14ac:dyDescent="0.2">
      <c r="A262" s="421"/>
      <c r="B262" s="346"/>
      <c r="C262" s="306">
        <f t="shared" si="6"/>
        <v>0</v>
      </c>
      <c r="D262" s="303"/>
      <c r="E262" s="412"/>
      <c r="F262" s="412"/>
      <c r="G262" s="304"/>
      <c r="H262" s="304"/>
      <c r="I262" s="299"/>
      <c r="J262" s="414"/>
      <c r="K262" s="259"/>
      <c r="L262" s="259"/>
      <c r="M262" s="305"/>
      <c r="N262" s="428"/>
      <c r="O262" s="302"/>
      <c r="P262" s="302"/>
      <c r="Q262" s="296"/>
      <c r="R262" s="412"/>
      <c r="S262" s="214"/>
      <c r="T262" s="214"/>
      <c r="U262" s="295"/>
      <c r="V262" s="412"/>
      <c r="W262" s="300"/>
      <c r="X262" s="205"/>
    </row>
    <row r="263" spans="1:24" x14ac:dyDescent="0.2">
      <c r="A263" s="421">
        <f>A259+1</f>
        <v>45111</v>
      </c>
      <c r="B263" s="346" t="str">
        <f>IF(WEEKDAY(A263)=1,"CN","T"&amp;WEEKDAY(A263))</f>
        <v>T3</v>
      </c>
      <c r="C263" s="306">
        <f t="shared" si="6"/>
        <v>82000</v>
      </c>
      <c r="D263" s="303"/>
      <c r="E263" s="412"/>
      <c r="F263" s="412"/>
      <c r="G263" s="304"/>
      <c r="H263" s="304"/>
      <c r="I263" s="299" t="s">
        <v>105</v>
      </c>
      <c r="J263" s="419" t="s">
        <v>229</v>
      </c>
      <c r="K263" s="259">
        <v>41000</v>
      </c>
      <c r="L263" s="259"/>
      <c r="M263" s="305" t="s">
        <v>115</v>
      </c>
      <c r="N263" s="428" t="s">
        <v>166</v>
      </c>
      <c r="O263" s="302">
        <v>41000</v>
      </c>
      <c r="P263" s="302"/>
      <c r="Q263" s="296"/>
      <c r="R263" s="412"/>
      <c r="S263" s="214"/>
      <c r="T263" s="214"/>
      <c r="U263" s="295"/>
      <c r="V263" s="412"/>
      <c r="W263" s="300"/>
      <c r="X263" s="205"/>
    </row>
    <row r="264" spans="1:24" x14ac:dyDescent="0.2">
      <c r="A264" s="421"/>
      <c r="B264" s="346"/>
      <c r="C264" s="306">
        <f t="shared" si="6"/>
        <v>0</v>
      </c>
      <c r="D264" s="303"/>
      <c r="E264" s="412"/>
      <c r="F264" s="412"/>
      <c r="G264" s="304"/>
      <c r="H264" s="304"/>
      <c r="I264" s="299"/>
      <c r="J264" s="414"/>
      <c r="K264" s="259"/>
      <c r="L264" s="259"/>
      <c r="M264" s="305"/>
      <c r="N264" s="428"/>
      <c r="O264" s="302"/>
      <c r="P264" s="302"/>
      <c r="Q264" s="296"/>
      <c r="R264" s="412"/>
      <c r="S264" s="214"/>
      <c r="T264" s="214"/>
      <c r="U264" s="295"/>
      <c r="V264" s="412"/>
      <c r="W264" s="300"/>
      <c r="X264" s="205"/>
    </row>
    <row r="265" spans="1:24" x14ac:dyDescent="0.2">
      <c r="A265" s="421"/>
      <c r="B265" s="346"/>
      <c r="C265" s="306">
        <f t="shared" si="6"/>
        <v>0</v>
      </c>
      <c r="D265" s="303"/>
      <c r="E265" s="412"/>
      <c r="F265" s="412"/>
      <c r="G265" s="304"/>
      <c r="H265" s="304"/>
      <c r="I265" s="299"/>
      <c r="J265" s="414"/>
      <c r="K265" s="259"/>
      <c r="L265" s="259"/>
      <c r="M265" s="305"/>
      <c r="N265" s="428"/>
      <c r="O265" s="302"/>
      <c r="P265" s="302"/>
      <c r="Q265" s="296"/>
      <c r="R265" s="412"/>
      <c r="S265" s="214"/>
      <c r="T265" s="214"/>
      <c r="U265" s="295"/>
      <c r="V265" s="412"/>
      <c r="W265" s="300"/>
      <c r="X265" s="205"/>
    </row>
    <row r="266" spans="1:24" x14ac:dyDescent="0.2">
      <c r="A266" s="421"/>
      <c r="B266" s="346"/>
      <c r="C266" s="306">
        <f t="shared" si="6"/>
        <v>0</v>
      </c>
      <c r="D266" s="303"/>
      <c r="E266" s="412"/>
      <c r="F266" s="412"/>
      <c r="G266" s="304"/>
      <c r="H266" s="304"/>
      <c r="I266" s="299"/>
      <c r="J266" s="414"/>
      <c r="K266" s="259"/>
      <c r="L266" s="259"/>
      <c r="M266" s="305"/>
      <c r="N266" s="428"/>
      <c r="O266" s="302"/>
      <c r="P266" s="302"/>
      <c r="Q266" s="296"/>
      <c r="R266" s="412"/>
      <c r="S266" s="214"/>
      <c r="T266" s="214"/>
      <c r="U266" s="295"/>
      <c r="V266" s="412"/>
      <c r="W266" s="300"/>
      <c r="X266" s="205"/>
    </row>
    <row r="267" spans="1:24" x14ac:dyDescent="0.2">
      <c r="A267" s="421">
        <f t="shared" ref="A267" si="7">A263+1</f>
        <v>45112</v>
      </c>
      <c r="B267" s="346" t="str">
        <f t="shared" ref="B267" si="8">IF(WEEKDAY(A267)=1,"CN","T"&amp;WEEKDAY(A267))</f>
        <v>T4</v>
      </c>
      <c r="C267" s="306">
        <f t="shared" si="6"/>
        <v>56000</v>
      </c>
      <c r="D267" s="303"/>
      <c r="E267" s="412"/>
      <c r="F267" s="412"/>
      <c r="G267" s="304"/>
      <c r="H267" s="304"/>
      <c r="I267" s="299" t="s">
        <v>105</v>
      </c>
      <c r="J267" s="419" t="s">
        <v>229</v>
      </c>
      <c r="K267" s="259">
        <v>15000</v>
      </c>
      <c r="L267" s="259"/>
      <c r="M267" s="305" t="s">
        <v>115</v>
      </c>
      <c r="N267" s="412" t="s">
        <v>166</v>
      </c>
      <c r="O267" s="302">
        <v>41000</v>
      </c>
      <c r="P267" s="302"/>
      <c r="Q267" s="297"/>
      <c r="R267" s="429"/>
      <c r="S267" s="298"/>
      <c r="T267" s="298"/>
      <c r="U267" s="297"/>
      <c r="V267" s="429"/>
      <c r="W267" s="316"/>
    </row>
    <row r="268" spans="1:24" x14ac:dyDescent="0.2">
      <c r="A268" s="421"/>
      <c r="B268" s="346"/>
      <c r="C268" s="306">
        <f t="shared" si="6"/>
        <v>26000</v>
      </c>
      <c r="D268" s="303"/>
      <c r="E268" s="412"/>
      <c r="F268" s="412"/>
      <c r="G268" s="304"/>
      <c r="H268" s="304"/>
      <c r="I268" s="305" t="s">
        <v>115</v>
      </c>
      <c r="J268" s="412" t="s">
        <v>166</v>
      </c>
      <c r="K268" s="302">
        <v>26000</v>
      </c>
      <c r="L268" s="259"/>
      <c r="M268" s="305"/>
      <c r="N268" s="412"/>
      <c r="O268" s="302"/>
      <c r="P268" s="302"/>
      <c r="Q268" s="297"/>
      <c r="R268" s="429"/>
      <c r="S268" s="298"/>
      <c r="T268" s="298"/>
      <c r="U268" s="297"/>
      <c r="V268" s="429"/>
      <c r="W268" s="316"/>
    </row>
    <row r="269" spans="1:24" x14ac:dyDescent="0.2">
      <c r="A269" s="421"/>
      <c r="B269" s="346"/>
      <c r="C269" s="306">
        <f t="shared" si="6"/>
        <v>0</v>
      </c>
      <c r="D269" s="303"/>
      <c r="E269" s="412"/>
      <c r="F269" s="412"/>
      <c r="G269" s="304"/>
      <c r="H269" s="304"/>
      <c r="I269" s="299"/>
      <c r="J269" s="414"/>
      <c r="K269" s="259"/>
      <c r="L269" s="259"/>
      <c r="M269" s="305"/>
      <c r="N269" s="412"/>
      <c r="O269" s="302"/>
      <c r="P269" s="302"/>
      <c r="Q269" s="297"/>
      <c r="R269" s="429"/>
      <c r="S269" s="298"/>
      <c r="T269" s="298"/>
      <c r="U269" s="297"/>
      <c r="V269" s="429"/>
      <c r="W269" s="316"/>
    </row>
    <row r="270" spans="1:24" x14ac:dyDescent="0.2">
      <c r="A270" s="421"/>
      <c r="B270" s="346"/>
      <c r="C270" s="306">
        <f t="shared" si="6"/>
        <v>0</v>
      </c>
      <c r="D270" s="303"/>
      <c r="E270" s="412"/>
      <c r="F270" s="412"/>
      <c r="G270" s="304"/>
      <c r="H270" s="304"/>
      <c r="I270" s="299"/>
      <c r="J270" s="414"/>
      <c r="K270" s="259"/>
      <c r="L270" s="259"/>
      <c r="M270" s="305"/>
      <c r="N270" s="428"/>
      <c r="O270" s="302"/>
      <c r="P270" s="302"/>
      <c r="Q270" s="297"/>
      <c r="R270" s="429"/>
      <c r="S270" s="298"/>
      <c r="T270" s="298"/>
      <c r="U270" s="297"/>
      <c r="V270" s="429"/>
      <c r="W270" s="316"/>
    </row>
    <row r="271" spans="1:24" x14ac:dyDescent="0.2">
      <c r="A271" s="421">
        <f t="shared" ref="A271" si="9">A267+1</f>
        <v>45113</v>
      </c>
      <c r="B271" s="346" t="str">
        <f t="shared" ref="B271" si="10">IF(WEEKDAY(A271)=1,"CN","T"&amp;WEEKDAY(A271))</f>
        <v>T5</v>
      </c>
      <c r="C271" s="306">
        <f t="shared" si="6"/>
        <v>82000</v>
      </c>
      <c r="D271" s="303"/>
      <c r="E271" s="412"/>
      <c r="F271" s="412"/>
      <c r="G271" s="304"/>
      <c r="H271" s="304"/>
      <c r="I271" s="305" t="s">
        <v>115</v>
      </c>
      <c r="J271" s="412" t="s">
        <v>166</v>
      </c>
      <c r="K271" s="302">
        <v>41000</v>
      </c>
      <c r="L271" s="304"/>
      <c r="M271" s="305" t="s">
        <v>115</v>
      </c>
      <c r="N271" s="412" t="s">
        <v>166</v>
      </c>
      <c r="O271" s="302">
        <v>41000</v>
      </c>
      <c r="P271" s="302"/>
      <c r="Q271" s="297"/>
      <c r="R271" s="429"/>
      <c r="S271" s="298"/>
      <c r="T271" s="298"/>
      <c r="U271" s="297"/>
      <c r="V271" s="429"/>
      <c r="W271" s="316"/>
    </row>
    <row r="272" spans="1:24" x14ac:dyDescent="0.2">
      <c r="A272" s="421"/>
      <c r="B272" s="346"/>
      <c r="C272" s="306">
        <f t="shared" si="6"/>
        <v>0</v>
      </c>
      <c r="D272" s="303"/>
      <c r="E272" s="412"/>
      <c r="F272" s="412"/>
      <c r="G272" s="304"/>
      <c r="H272" s="304"/>
      <c r="I272" s="309"/>
      <c r="J272" s="417"/>
      <c r="K272" s="304"/>
      <c r="L272" s="304"/>
      <c r="M272" s="305"/>
      <c r="N272" s="412"/>
      <c r="O272" s="302"/>
      <c r="P272" s="302"/>
      <c r="Q272" s="297"/>
      <c r="R272" s="429"/>
      <c r="S272" s="298"/>
      <c r="T272" s="298"/>
      <c r="U272" s="297"/>
      <c r="V272" s="429"/>
      <c r="W272" s="316"/>
    </row>
    <row r="273" spans="1:23" x14ac:dyDescent="0.2">
      <c r="A273" s="421"/>
      <c r="B273" s="346"/>
      <c r="C273" s="306">
        <f t="shared" si="6"/>
        <v>0</v>
      </c>
      <c r="D273" s="303"/>
      <c r="E273" s="412"/>
      <c r="F273" s="412"/>
      <c r="G273" s="304"/>
      <c r="H273" s="304"/>
      <c r="I273" s="307"/>
      <c r="J273" s="412"/>
      <c r="K273" s="308"/>
      <c r="L273" s="308"/>
      <c r="M273" s="305"/>
      <c r="N273" s="412"/>
      <c r="O273" s="302"/>
      <c r="P273" s="302"/>
      <c r="Q273" s="297"/>
      <c r="R273" s="429"/>
      <c r="S273" s="298"/>
      <c r="T273" s="298"/>
      <c r="U273" s="297"/>
      <c r="V273" s="429"/>
      <c r="W273" s="316"/>
    </row>
    <row r="274" spans="1:23" x14ac:dyDescent="0.2">
      <c r="A274" s="421"/>
      <c r="B274" s="346"/>
      <c r="C274" s="306">
        <f t="shared" si="6"/>
        <v>0</v>
      </c>
      <c r="D274" s="303"/>
      <c r="E274" s="412"/>
      <c r="F274" s="412"/>
      <c r="G274" s="304"/>
      <c r="H274" s="304"/>
      <c r="I274" s="307"/>
      <c r="J274" s="412"/>
      <c r="K274" s="308"/>
      <c r="L274" s="308"/>
      <c r="M274" s="305"/>
      <c r="N274" s="412"/>
      <c r="O274" s="302"/>
      <c r="P274" s="302"/>
      <c r="Q274" s="297"/>
      <c r="R274" s="429"/>
      <c r="S274" s="298"/>
      <c r="T274" s="298"/>
      <c r="U274" s="297"/>
      <c r="V274" s="429"/>
      <c r="W274" s="316"/>
    </row>
    <row r="275" spans="1:23" x14ac:dyDescent="0.2">
      <c r="A275" s="421">
        <f t="shared" ref="A275" si="11">A271+1</f>
        <v>45114</v>
      </c>
      <c r="B275" s="346" t="str">
        <f t="shared" ref="B275" si="12">IF(WEEKDAY(A275)=1,"CN","T"&amp;WEEKDAY(A275))</f>
        <v>T6</v>
      </c>
      <c r="C275" s="306">
        <f t="shared" si="6"/>
        <v>82000</v>
      </c>
      <c r="D275" s="303"/>
      <c r="E275" s="412"/>
      <c r="F275" s="412"/>
      <c r="G275" s="304"/>
      <c r="H275" s="304"/>
      <c r="I275" s="305" t="s">
        <v>115</v>
      </c>
      <c r="J275" s="412" t="s">
        <v>166</v>
      </c>
      <c r="K275" s="302">
        <v>41000</v>
      </c>
      <c r="L275" s="304"/>
      <c r="M275" s="305" t="s">
        <v>115</v>
      </c>
      <c r="N275" s="412" t="s">
        <v>166</v>
      </c>
      <c r="O275" s="302">
        <v>41000</v>
      </c>
      <c r="P275" s="302"/>
      <c r="Q275" s="297"/>
      <c r="R275" s="429"/>
      <c r="S275" s="298"/>
      <c r="T275" s="298"/>
      <c r="U275" s="297"/>
      <c r="V275" s="429"/>
      <c r="W275" s="316"/>
    </row>
    <row r="276" spans="1:23" x14ac:dyDescent="0.2">
      <c r="A276" s="421"/>
      <c r="B276" s="346"/>
      <c r="C276" s="306">
        <f t="shared" si="6"/>
        <v>0</v>
      </c>
      <c r="D276" s="303"/>
      <c r="E276" s="412"/>
      <c r="F276" s="412"/>
      <c r="G276" s="304"/>
      <c r="H276" s="304"/>
      <c r="I276" s="307"/>
      <c r="J276" s="412"/>
      <c r="K276" s="308"/>
      <c r="L276" s="308"/>
      <c r="M276" s="305"/>
      <c r="N276" s="412"/>
      <c r="O276" s="302"/>
      <c r="P276" s="302"/>
      <c r="Q276" s="297"/>
      <c r="R276" s="429"/>
      <c r="S276" s="298"/>
      <c r="T276" s="298"/>
      <c r="U276" s="297"/>
      <c r="V276" s="429"/>
      <c r="W276" s="316"/>
    </row>
    <row r="277" spans="1:23" x14ac:dyDescent="0.2">
      <c r="A277" s="421"/>
      <c r="B277" s="346"/>
      <c r="C277" s="306">
        <f t="shared" si="6"/>
        <v>0</v>
      </c>
      <c r="D277" s="303"/>
      <c r="E277" s="412"/>
      <c r="F277" s="412"/>
      <c r="G277" s="304"/>
      <c r="H277" s="304"/>
      <c r="I277" s="307"/>
      <c r="J277" s="412"/>
      <c r="K277" s="308"/>
      <c r="L277" s="308"/>
      <c r="M277" s="305"/>
      <c r="N277" s="412"/>
      <c r="O277" s="302"/>
      <c r="P277" s="302"/>
      <c r="Q277" s="297"/>
      <c r="R277" s="429"/>
      <c r="S277" s="298"/>
      <c r="T277" s="298"/>
      <c r="U277" s="297"/>
      <c r="V277" s="429"/>
      <c r="W277" s="316"/>
    </row>
    <row r="278" spans="1:23" x14ac:dyDescent="0.2">
      <c r="A278" s="421"/>
      <c r="B278" s="346"/>
      <c r="C278" s="306">
        <f t="shared" si="6"/>
        <v>0</v>
      </c>
      <c r="D278" s="303"/>
      <c r="E278" s="412"/>
      <c r="F278" s="412"/>
      <c r="G278" s="304"/>
      <c r="H278" s="304"/>
      <c r="I278" s="309"/>
      <c r="J278" s="417"/>
      <c r="K278" s="304"/>
      <c r="L278" s="304"/>
      <c r="M278" s="305"/>
      <c r="N278" s="428"/>
      <c r="O278" s="302"/>
      <c r="P278" s="302"/>
      <c r="Q278" s="297"/>
      <c r="R278" s="429"/>
      <c r="S278" s="298"/>
      <c r="T278" s="298"/>
      <c r="U278" s="297"/>
      <c r="V278" s="429"/>
      <c r="W278" s="316"/>
    </row>
    <row r="279" spans="1:23" x14ac:dyDescent="0.2">
      <c r="A279" s="421">
        <f t="shared" ref="A279" si="13">A275+1</f>
        <v>45115</v>
      </c>
      <c r="B279" s="346" t="str">
        <f t="shared" ref="B279" si="14">IF(WEEKDAY(A279)=1,"CN","T"&amp;WEEKDAY(A279))</f>
        <v>T7</v>
      </c>
      <c r="C279" s="306">
        <f t="shared" si="6"/>
        <v>82000</v>
      </c>
      <c r="D279" s="303"/>
      <c r="E279" s="412"/>
      <c r="F279" s="412"/>
      <c r="G279" s="304"/>
      <c r="H279" s="304"/>
      <c r="I279" s="305" t="s">
        <v>115</v>
      </c>
      <c r="J279" s="412" t="s">
        <v>166</v>
      </c>
      <c r="K279" s="302">
        <v>41000</v>
      </c>
      <c r="L279" s="304"/>
      <c r="M279" s="305" t="s">
        <v>115</v>
      </c>
      <c r="N279" s="412" t="s">
        <v>166</v>
      </c>
      <c r="O279" s="302">
        <v>41000</v>
      </c>
      <c r="P279" s="302"/>
      <c r="Q279" s="297"/>
      <c r="R279" s="429"/>
      <c r="S279" s="298"/>
      <c r="T279" s="298"/>
      <c r="U279" s="297"/>
      <c r="V279" s="429"/>
      <c r="W279" s="316"/>
    </row>
    <row r="280" spans="1:23" x14ac:dyDescent="0.2">
      <c r="A280" s="421"/>
      <c r="B280" s="346"/>
      <c r="C280" s="306">
        <f t="shared" ref="C280:C343" si="15">SUM(D280:S280)</f>
        <v>0</v>
      </c>
      <c r="D280" s="303"/>
      <c r="E280" s="412"/>
      <c r="F280" s="412"/>
      <c r="G280" s="304"/>
      <c r="H280" s="304"/>
      <c r="I280" s="307"/>
      <c r="J280" s="412"/>
      <c r="K280" s="308"/>
      <c r="L280" s="308"/>
      <c r="M280" s="305"/>
      <c r="N280" s="412"/>
      <c r="O280" s="302"/>
      <c r="P280" s="302"/>
      <c r="Q280" s="297"/>
      <c r="R280" s="429"/>
      <c r="S280" s="298"/>
      <c r="T280" s="298"/>
      <c r="U280" s="297"/>
      <c r="V280" s="429"/>
      <c r="W280" s="316"/>
    </row>
    <row r="281" spans="1:23" x14ac:dyDescent="0.2">
      <c r="A281" s="421"/>
      <c r="B281" s="346"/>
      <c r="C281" s="306">
        <f t="shared" si="15"/>
        <v>0</v>
      </c>
      <c r="D281" s="303"/>
      <c r="E281" s="412"/>
      <c r="F281" s="412"/>
      <c r="G281" s="304"/>
      <c r="H281" s="304"/>
      <c r="I281" s="307"/>
      <c r="J281" s="412"/>
      <c r="K281" s="308"/>
      <c r="L281" s="308"/>
      <c r="M281" s="305"/>
      <c r="N281" s="412"/>
      <c r="O281" s="302"/>
      <c r="P281" s="302"/>
      <c r="Q281" s="297"/>
      <c r="R281" s="429"/>
      <c r="S281" s="298"/>
      <c r="T281" s="298"/>
      <c r="U281" s="297"/>
      <c r="V281" s="429"/>
      <c r="W281" s="316"/>
    </row>
    <row r="282" spans="1:23" x14ac:dyDescent="0.2">
      <c r="A282" s="421"/>
      <c r="B282" s="346"/>
      <c r="C282" s="306">
        <f t="shared" si="15"/>
        <v>0</v>
      </c>
      <c r="D282" s="303"/>
      <c r="E282" s="412"/>
      <c r="F282" s="412"/>
      <c r="G282" s="304"/>
      <c r="H282" s="304"/>
      <c r="I282" s="309"/>
      <c r="J282" s="417"/>
      <c r="K282" s="304"/>
      <c r="L282" s="304"/>
      <c r="M282" s="305"/>
      <c r="N282" s="428"/>
      <c r="O282" s="302"/>
      <c r="P282" s="302"/>
      <c r="Q282" s="297"/>
      <c r="R282" s="429"/>
      <c r="S282" s="298"/>
      <c r="T282" s="298"/>
      <c r="U282" s="297"/>
      <c r="V282" s="429"/>
      <c r="W282" s="316"/>
    </row>
    <row r="283" spans="1:23" x14ac:dyDescent="0.2">
      <c r="A283" s="421">
        <f t="shared" ref="A283" si="16">A279+1</f>
        <v>45116</v>
      </c>
      <c r="B283" s="346" t="str">
        <f t="shared" ref="B283" si="17">IF(WEEKDAY(A283)=1,"CN","T"&amp;WEEKDAY(A283))</f>
        <v>CN</v>
      </c>
      <c r="C283" s="306">
        <f t="shared" si="15"/>
        <v>0</v>
      </c>
      <c r="D283" s="303"/>
      <c r="E283" s="412"/>
      <c r="F283" s="412"/>
      <c r="G283" s="304"/>
      <c r="H283" s="304"/>
      <c r="I283" s="309"/>
      <c r="J283" s="417"/>
      <c r="K283" s="308"/>
      <c r="L283" s="308"/>
      <c r="M283" s="305"/>
      <c r="N283" s="412"/>
      <c r="O283" s="302"/>
      <c r="P283" s="302"/>
      <c r="Q283" s="297"/>
      <c r="R283" s="429"/>
      <c r="S283" s="298"/>
      <c r="T283" s="298"/>
      <c r="U283" s="297"/>
      <c r="V283" s="429"/>
      <c r="W283" s="316"/>
    </row>
    <row r="284" spans="1:23" x14ac:dyDescent="0.2">
      <c r="A284" s="421"/>
      <c r="B284" s="346"/>
      <c r="C284" s="306">
        <f t="shared" si="15"/>
        <v>0</v>
      </c>
      <c r="D284" s="303"/>
      <c r="E284" s="412"/>
      <c r="F284" s="412"/>
      <c r="G284" s="304"/>
      <c r="H284" s="304"/>
      <c r="I284" s="307"/>
      <c r="J284" s="412"/>
      <c r="K284" s="308"/>
      <c r="L284" s="308"/>
      <c r="M284" s="305"/>
      <c r="N284" s="412"/>
      <c r="O284" s="302"/>
      <c r="P284" s="302"/>
      <c r="Q284" s="297"/>
      <c r="R284" s="429"/>
      <c r="S284" s="298"/>
      <c r="T284" s="298"/>
      <c r="U284" s="297"/>
      <c r="V284" s="429"/>
      <c r="W284" s="316"/>
    </row>
    <row r="285" spans="1:23" x14ac:dyDescent="0.2">
      <c r="A285" s="421"/>
      <c r="B285" s="346"/>
      <c r="C285" s="306">
        <f t="shared" si="15"/>
        <v>0</v>
      </c>
      <c r="D285" s="303"/>
      <c r="E285" s="412"/>
      <c r="F285" s="412"/>
      <c r="G285" s="304"/>
      <c r="H285" s="304"/>
      <c r="I285" s="307"/>
      <c r="J285" s="412"/>
      <c r="K285" s="308"/>
      <c r="L285" s="308"/>
      <c r="M285" s="305"/>
      <c r="N285" s="412"/>
      <c r="O285" s="302"/>
      <c r="P285" s="302"/>
      <c r="Q285" s="297"/>
      <c r="R285" s="429"/>
      <c r="S285" s="298"/>
      <c r="T285" s="298"/>
      <c r="U285" s="297"/>
      <c r="V285" s="429"/>
      <c r="W285" s="316"/>
    </row>
    <row r="286" spans="1:23" x14ac:dyDescent="0.2">
      <c r="A286" s="421"/>
      <c r="B286" s="346"/>
      <c r="C286" s="306">
        <f t="shared" si="15"/>
        <v>0</v>
      </c>
      <c r="D286" s="303"/>
      <c r="E286" s="412"/>
      <c r="F286" s="412"/>
      <c r="G286" s="304"/>
      <c r="H286" s="304"/>
      <c r="I286" s="309"/>
      <c r="J286" s="417"/>
      <c r="K286" s="304"/>
      <c r="L286" s="304"/>
      <c r="M286" s="305"/>
      <c r="N286" s="428"/>
      <c r="O286" s="302"/>
      <c r="P286" s="302"/>
      <c r="Q286" s="297"/>
      <c r="R286" s="429"/>
      <c r="S286" s="298"/>
      <c r="T286" s="298"/>
      <c r="U286" s="219"/>
      <c r="V286" s="413"/>
      <c r="W286" s="221"/>
    </row>
    <row r="287" spans="1:23" x14ac:dyDescent="0.2">
      <c r="A287" s="421">
        <f t="shared" ref="A287" si="18">A283+1</f>
        <v>45117</v>
      </c>
      <c r="B287" s="346" t="str">
        <f t="shared" ref="B287" si="19">IF(WEEKDAY(A287)=1,"CN","T"&amp;WEEKDAY(A287))</f>
        <v>T2</v>
      </c>
      <c r="C287" s="306">
        <f t="shared" si="15"/>
        <v>82000</v>
      </c>
      <c r="D287" s="303"/>
      <c r="E287" s="412"/>
      <c r="F287" s="412"/>
      <c r="G287" s="304"/>
      <c r="H287" s="304"/>
      <c r="I287" s="305" t="s">
        <v>115</v>
      </c>
      <c r="J287" s="412" t="s">
        <v>166</v>
      </c>
      <c r="K287" s="302">
        <v>41000</v>
      </c>
      <c r="L287" s="304"/>
      <c r="M287" s="305" t="s">
        <v>115</v>
      </c>
      <c r="N287" s="412" t="s">
        <v>166</v>
      </c>
      <c r="O287" s="302">
        <v>41000</v>
      </c>
      <c r="P287" s="302"/>
      <c r="Q287" s="297"/>
      <c r="R287" s="429"/>
      <c r="S287" s="298"/>
      <c r="T287" s="298"/>
      <c r="U287" s="219"/>
      <c r="V287" s="413"/>
      <c r="W287" s="221"/>
    </row>
    <row r="288" spans="1:23" x14ac:dyDescent="0.2">
      <c r="A288" s="421"/>
      <c r="B288" s="346"/>
      <c r="C288" s="306">
        <f t="shared" si="15"/>
        <v>0</v>
      </c>
      <c r="D288" s="303"/>
      <c r="E288" s="412"/>
      <c r="F288" s="412"/>
      <c r="G288" s="304"/>
      <c r="H288" s="304"/>
      <c r="I288" s="307"/>
      <c r="J288" s="412"/>
      <c r="K288" s="308"/>
      <c r="L288" s="308"/>
      <c r="M288" s="305"/>
      <c r="N288" s="412"/>
      <c r="O288" s="302"/>
      <c r="P288" s="302"/>
      <c r="Q288" s="297"/>
      <c r="R288" s="429"/>
      <c r="S288" s="298"/>
      <c r="T288" s="298"/>
      <c r="U288" s="219"/>
      <c r="V288" s="413"/>
      <c r="W288" s="221"/>
    </row>
    <row r="289" spans="1:23" x14ac:dyDescent="0.2">
      <c r="A289" s="421"/>
      <c r="B289" s="346"/>
      <c r="C289" s="306">
        <f t="shared" si="15"/>
        <v>0</v>
      </c>
      <c r="D289" s="303"/>
      <c r="E289" s="412"/>
      <c r="F289" s="412"/>
      <c r="G289" s="304"/>
      <c r="H289" s="304"/>
      <c r="I289" s="307"/>
      <c r="J289" s="412"/>
      <c r="K289" s="308"/>
      <c r="L289" s="308"/>
      <c r="M289" s="305"/>
      <c r="N289" s="412"/>
      <c r="O289" s="302"/>
      <c r="P289" s="302"/>
      <c r="Q289" s="297"/>
      <c r="R289" s="429"/>
      <c r="S289" s="298"/>
      <c r="T289" s="298"/>
      <c r="U289" s="219"/>
      <c r="V289" s="413"/>
      <c r="W289" s="221"/>
    </row>
    <row r="290" spans="1:23" x14ac:dyDescent="0.2">
      <c r="A290" s="421"/>
      <c r="B290" s="346"/>
      <c r="C290" s="306">
        <f t="shared" si="15"/>
        <v>0</v>
      </c>
      <c r="D290" s="303"/>
      <c r="E290" s="412"/>
      <c r="F290" s="412"/>
      <c r="G290" s="304"/>
      <c r="H290" s="304"/>
      <c r="I290" s="307"/>
      <c r="J290" s="412"/>
      <c r="K290" s="308"/>
      <c r="L290" s="308"/>
      <c r="M290" s="305"/>
      <c r="N290" s="428"/>
      <c r="O290" s="302"/>
      <c r="P290" s="302"/>
      <c r="Q290" s="297"/>
      <c r="R290" s="429"/>
      <c r="S290" s="298"/>
      <c r="T290" s="298"/>
      <c r="U290" s="219"/>
      <c r="V290" s="413"/>
      <c r="W290" s="221"/>
    </row>
    <row r="291" spans="1:23" x14ac:dyDescent="0.2">
      <c r="A291" s="421">
        <f t="shared" ref="A291" si="20">A287+1</f>
        <v>45118</v>
      </c>
      <c r="B291" s="346" t="str">
        <f t="shared" ref="B291" si="21">IF(WEEKDAY(A291)=1,"CN","T"&amp;WEEKDAY(A291))</f>
        <v>T3</v>
      </c>
      <c r="C291" s="306">
        <f t="shared" si="15"/>
        <v>82000</v>
      </c>
      <c r="D291" s="303"/>
      <c r="E291" s="412"/>
      <c r="F291" s="412"/>
      <c r="G291" s="304"/>
      <c r="H291" s="304"/>
      <c r="I291" s="305" t="s">
        <v>115</v>
      </c>
      <c r="J291" s="412" t="s">
        <v>166</v>
      </c>
      <c r="K291" s="302">
        <v>41000</v>
      </c>
      <c r="L291" s="304"/>
      <c r="M291" s="305" t="s">
        <v>115</v>
      </c>
      <c r="N291" s="412" t="s">
        <v>166</v>
      </c>
      <c r="O291" s="302">
        <v>41000</v>
      </c>
      <c r="P291" s="302"/>
      <c r="Q291" s="297"/>
      <c r="R291" s="429"/>
      <c r="S291" s="298"/>
      <c r="T291" s="298"/>
      <c r="U291" s="219"/>
      <c r="V291" s="413"/>
      <c r="W291" s="221"/>
    </row>
    <row r="292" spans="1:23" x14ac:dyDescent="0.2">
      <c r="A292" s="421"/>
      <c r="B292" s="346"/>
      <c r="C292" s="306">
        <f t="shared" si="15"/>
        <v>0</v>
      </c>
      <c r="D292" s="303"/>
      <c r="E292" s="412"/>
      <c r="F292" s="412"/>
      <c r="G292" s="304"/>
      <c r="H292" s="304"/>
      <c r="I292" s="307"/>
      <c r="J292" s="412"/>
      <c r="K292" s="308"/>
      <c r="L292" s="308"/>
      <c r="M292" s="305"/>
      <c r="N292" s="412"/>
      <c r="O292" s="302"/>
      <c r="P292" s="302"/>
      <c r="Q292" s="297"/>
      <c r="R292" s="429"/>
      <c r="S292" s="298"/>
      <c r="T292" s="298"/>
      <c r="U292" s="219"/>
      <c r="V292" s="413"/>
      <c r="W292" s="221"/>
    </row>
    <row r="293" spans="1:23" x14ac:dyDescent="0.2">
      <c r="A293" s="421"/>
      <c r="B293" s="346"/>
      <c r="C293" s="306">
        <f t="shared" si="15"/>
        <v>0</v>
      </c>
      <c r="D293" s="303"/>
      <c r="E293" s="412"/>
      <c r="F293" s="412"/>
      <c r="G293" s="304"/>
      <c r="H293" s="304"/>
      <c r="I293" s="307"/>
      <c r="J293" s="412"/>
      <c r="K293" s="308"/>
      <c r="L293" s="308"/>
      <c r="M293" s="305"/>
      <c r="N293" s="412"/>
      <c r="O293" s="302"/>
      <c r="P293" s="302"/>
      <c r="Q293" s="297"/>
      <c r="R293" s="429"/>
      <c r="S293" s="298"/>
      <c r="T293" s="298"/>
      <c r="U293" s="219"/>
      <c r="V293" s="413"/>
      <c r="W293" s="221"/>
    </row>
    <row r="294" spans="1:23" x14ac:dyDescent="0.2">
      <c r="A294" s="421"/>
      <c r="B294" s="346"/>
      <c r="C294" s="306">
        <f t="shared" si="15"/>
        <v>0</v>
      </c>
      <c r="D294" s="303"/>
      <c r="E294" s="412"/>
      <c r="F294" s="412"/>
      <c r="G294" s="304"/>
      <c r="H294" s="304"/>
      <c r="I294" s="309"/>
      <c r="J294" s="417"/>
      <c r="K294" s="304"/>
      <c r="L294" s="304"/>
      <c r="M294" s="305"/>
      <c r="N294" s="428"/>
      <c r="O294" s="302"/>
      <c r="P294" s="302"/>
      <c r="Q294" s="297"/>
      <c r="R294" s="429"/>
      <c r="S294" s="298"/>
      <c r="T294" s="298"/>
      <c r="U294" s="219"/>
      <c r="V294" s="413"/>
      <c r="W294" s="221"/>
    </row>
    <row r="295" spans="1:23" x14ac:dyDescent="0.2">
      <c r="A295" s="421">
        <f t="shared" ref="A295" si="22">A291+1</f>
        <v>45119</v>
      </c>
      <c r="B295" s="346" t="str">
        <f t="shared" ref="B295" si="23">IF(WEEKDAY(A295)=1,"CN","T"&amp;WEEKDAY(A295))</f>
        <v>T4</v>
      </c>
      <c r="C295" s="306">
        <f t="shared" si="15"/>
        <v>65000</v>
      </c>
      <c r="D295" s="303"/>
      <c r="E295" s="412"/>
      <c r="F295" s="412"/>
      <c r="G295" s="304"/>
      <c r="H295" s="304"/>
      <c r="I295" s="305" t="s">
        <v>115</v>
      </c>
      <c r="J295" s="412" t="s">
        <v>166</v>
      </c>
      <c r="K295" s="302">
        <v>24000</v>
      </c>
      <c r="L295" s="304"/>
      <c r="M295" s="305" t="s">
        <v>115</v>
      </c>
      <c r="N295" s="412" t="s">
        <v>166</v>
      </c>
      <c r="O295" s="302">
        <v>41000</v>
      </c>
      <c r="P295" s="302"/>
      <c r="Q295" s="297"/>
      <c r="R295" s="429"/>
      <c r="S295" s="298"/>
      <c r="T295" s="298"/>
      <c r="U295" s="219"/>
      <c r="V295" s="413"/>
      <c r="W295" s="221"/>
    </row>
    <row r="296" spans="1:23" x14ac:dyDescent="0.2">
      <c r="A296" s="421"/>
      <c r="B296" s="346"/>
      <c r="C296" s="306">
        <f t="shared" si="15"/>
        <v>17000</v>
      </c>
      <c r="D296" s="303"/>
      <c r="E296" s="412"/>
      <c r="F296" s="412"/>
      <c r="G296" s="304"/>
      <c r="H296" s="304"/>
      <c r="I296" s="309" t="s">
        <v>105</v>
      </c>
      <c r="J296" s="417" t="s">
        <v>166</v>
      </c>
      <c r="K296" s="308">
        <v>17000</v>
      </c>
      <c r="L296" s="308"/>
      <c r="M296" s="305"/>
      <c r="N296" s="412"/>
      <c r="O296" s="302"/>
      <c r="P296" s="302"/>
      <c r="Q296" s="297"/>
      <c r="R296" s="429"/>
      <c r="S296" s="298"/>
      <c r="T296" s="298"/>
      <c r="U296" s="219"/>
      <c r="V296" s="413"/>
      <c r="W296" s="221"/>
    </row>
    <row r="297" spans="1:23" x14ac:dyDescent="0.2">
      <c r="A297" s="421"/>
      <c r="B297" s="346"/>
      <c r="C297" s="306">
        <f t="shared" si="15"/>
        <v>0</v>
      </c>
      <c r="D297" s="303"/>
      <c r="E297" s="412"/>
      <c r="F297" s="412"/>
      <c r="G297" s="304"/>
      <c r="H297" s="304"/>
      <c r="I297" s="307"/>
      <c r="J297" s="412"/>
      <c r="K297" s="308"/>
      <c r="L297" s="308"/>
      <c r="M297" s="305"/>
      <c r="N297" s="412"/>
      <c r="O297" s="302"/>
      <c r="P297" s="302"/>
      <c r="Q297" s="297"/>
      <c r="R297" s="429"/>
      <c r="S297" s="298"/>
      <c r="T297" s="298"/>
      <c r="U297" s="219"/>
      <c r="V297" s="413"/>
      <c r="W297" s="221"/>
    </row>
    <row r="298" spans="1:23" x14ac:dyDescent="0.2">
      <c r="A298" s="421"/>
      <c r="B298" s="346"/>
      <c r="C298" s="306">
        <f t="shared" si="15"/>
        <v>0</v>
      </c>
      <c r="D298" s="303"/>
      <c r="E298" s="412"/>
      <c r="F298" s="412"/>
      <c r="G298" s="304"/>
      <c r="H298" s="304"/>
      <c r="I298" s="307"/>
      <c r="J298" s="412"/>
      <c r="K298" s="308"/>
      <c r="L298" s="308"/>
      <c r="M298" s="305"/>
      <c r="N298" s="428"/>
      <c r="O298" s="302"/>
      <c r="P298" s="302"/>
      <c r="Q298" s="297"/>
      <c r="R298" s="429"/>
      <c r="S298" s="298"/>
      <c r="T298" s="298"/>
      <c r="U298" s="219"/>
      <c r="V298" s="413"/>
      <c r="W298" s="221"/>
    </row>
    <row r="299" spans="1:23" x14ac:dyDescent="0.2">
      <c r="A299" s="421">
        <f t="shared" ref="A299" si="24">A295+1</f>
        <v>45120</v>
      </c>
      <c r="B299" s="346" t="str">
        <f t="shared" ref="B299" si="25">IF(WEEKDAY(A299)=1,"CN","T"&amp;WEEKDAY(A299))</f>
        <v>T5</v>
      </c>
      <c r="C299" s="306">
        <f t="shared" si="15"/>
        <v>82000</v>
      </c>
      <c r="D299" s="303"/>
      <c r="E299" s="412"/>
      <c r="F299" s="412"/>
      <c r="G299" s="304"/>
      <c r="H299" s="304"/>
      <c r="I299" s="309" t="s">
        <v>105</v>
      </c>
      <c r="J299" s="417" t="s">
        <v>166</v>
      </c>
      <c r="K299" s="304">
        <v>41000</v>
      </c>
      <c r="L299" s="304"/>
      <c r="M299" s="305" t="s">
        <v>115</v>
      </c>
      <c r="N299" s="412" t="s">
        <v>166</v>
      </c>
      <c r="O299" s="302">
        <v>41000</v>
      </c>
      <c r="P299" s="302"/>
      <c r="Q299" s="297"/>
      <c r="R299" s="429"/>
      <c r="S299" s="298"/>
      <c r="T299" s="298"/>
      <c r="U299" s="219"/>
      <c r="V299" s="413"/>
      <c r="W299" s="221"/>
    </row>
    <row r="300" spans="1:23" x14ac:dyDescent="0.2">
      <c r="A300" s="421"/>
      <c r="B300" s="346"/>
      <c r="C300" s="306">
        <f t="shared" si="15"/>
        <v>0</v>
      </c>
      <c r="D300" s="303"/>
      <c r="E300" s="412"/>
      <c r="F300" s="412"/>
      <c r="G300" s="304"/>
      <c r="H300" s="304"/>
      <c r="I300" s="307"/>
      <c r="J300" s="412"/>
      <c r="K300" s="308"/>
      <c r="L300" s="308"/>
      <c r="M300" s="305"/>
      <c r="N300" s="412"/>
      <c r="O300" s="302"/>
      <c r="P300" s="302"/>
      <c r="Q300" s="297"/>
      <c r="R300" s="429"/>
      <c r="S300" s="298"/>
      <c r="T300" s="298"/>
      <c r="U300" s="219"/>
      <c r="V300" s="413"/>
      <c r="W300" s="221"/>
    </row>
    <row r="301" spans="1:23" x14ac:dyDescent="0.2">
      <c r="A301" s="421"/>
      <c r="B301" s="346"/>
      <c r="C301" s="306">
        <f t="shared" si="15"/>
        <v>0</v>
      </c>
      <c r="D301" s="303"/>
      <c r="E301" s="412"/>
      <c r="F301" s="412"/>
      <c r="G301" s="304"/>
      <c r="H301" s="304"/>
      <c r="I301" s="307"/>
      <c r="J301" s="412"/>
      <c r="K301" s="308"/>
      <c r="L301" s="308"/>
      <c r="M301" s="305"/>
      <c r="N301" s="412"/>
      <c r="O301" s="302"/>
      <c r="P301" s="302"/>
      <c r="Q301" s="297"/>
      <c r="R301" s="429"/>
      <c r="S301" s="298"/>
      <c r="T301" s="298"/>
      <c r="U301" s="219"/>
      <c r="V301" s="413"/>
      <c r="W301" s="221"/>
    </row>
    <row r="302" spans="1:23" x14ac:dyDescent="0.2">
      <c r="A302" s="421"/>
      <c r="B302" s="346"/>
      <c r="C302" s="306">
        <f t="shared" si="15"/>
        <v>0</v>
      </c>
      <c r="D302" s="303"/>
      <c r="E302" s="412"/>
      <c r="F302" s="412"/>
      <c r="G302" s="304"/>
      <c r="H302" s="304"/>
      <c r="I302" s="309"/>
      <c r="J302" s="417"/>
      <c r="K302" s="304"/>
      <c r="L302" s="304"/>
      <c r="M302" s="305"/>
      <c r="N302" s="412"/>
      <c r="O302" s="302"/>
      <c r="P302" s="302"/>
      <c r="Q302" s="297"/>
      <c r="R302" s="429"/>
      <c r="S302" s="298"/>
      <c r="T302" s="298"/>
      <c r="U302" s="219"/>
      <c r="V302" s="413"/>
      <c r="W302" s="221"/>
    </row>
    <row r="303" spans="1:23" x14ac:dyDescent="0.2">
      <c r="A303" s="421">
        <f t="shared" ref="A303" si="26">A299+1</f>
        <v>45121</v>
      </c>
      <c r="B303" s="346" t="str">
        <f t="shared" ref="B303" si="27">IF(WEEKDAY(A303)=1,"CN","T"&amp;WEEKDAY(A303))</f>
        <v>T6</v>
      </c>
      <c r="C303" s="306">
        <f t="shared" si="15"/>
        <v>82000</v>
      </c>
      <c r="D303" s="303"/>
      <c r="E303" s="412"/>
      <c r="F303" s="412"/>
      <c r="G303" s="304"/>
      <c r="H303" s="304"/>
      <c r="I303" s="309" t="s">
        <v>105</v>
      </c>
      <c r="J303" s="417" t="s">
        <v>166</v>
      </c>
      <c r="K303" s="304">
        <v>41000</v>
      </c>
      <c r="L303" s="304"/>
      <c r="M303" s="305" t="s">
        <v>115</v>
      </c>
      <c r="N303" s="412" t="s">
        <v>166</v>
      </c>
      <c r="O303" s="302">
        <v>41000</v>
      </c>
      <c r="P303" s="302"/>
      <c r="Q303" s="297"/>
      <c r="R303" s="429"/>
      <c r="S303" s="298"/>
      <c r="T303" s="298"/>
      <c r="U303" s="219"/>
      <c r="V303" s="413"/>
      <c r="W303" s="221"/>
    </row>
    <row r="304" spans="1:23" x14ac:dyDescent="0.2">
      <c r="A304" s="421"/>
      <c r="B304" s="346"/>
      <c r="C304" s="306">
        <f t="shared" si="15"/>
        <v>0</v>
      </c>
      <c r="D304" s="303"/>
      <c r="E304" s="412"/>
      <c r="F304" s="412"/>
      <c r="G304" s="304"/>
      <c r="H304" s="304"/>
      <c r="I304" s="307"/>
      <c r="J304" s="412"/>
      <c r="K304" s="308"/>
      <c r="L304" s="308"/>
      <c r="M304" s="305"/>
      <c r="N304" s="412"/>
      <c r="O304" s="302"/>
      <c r="P304" s="302"/>
      <c r="Q304" s="297"/>
      <c r="R304" s="429"/>
      <c r="S304" s="298"/>
      <c r="T304" s="298"/>
      <c r="U304" s="219"/>
      <c r="V304" s="413"/>
      <c r="W304" s="221"/>
    </row>
    <row r="305" spans="1:23" x14ac:dyDescent="0.2">
      <c r="A305" s="421"/>
      <c r="B305" s="346"/>
      <c r="C305" s="306">
        <f t="shared" si="15"/>
        <v>0</v>
      </c>
      <c r="D305" s="303"/>
      <c r="E305" s="412"/>
      <c r="F305" s="412"/>
      <c r="G305" s="304"/>
      <c r="H305" s="304"/>
      <c r="I305" s="307"/>
      <c r="J305" s="412"/>
      <c r="K305" s="308"/>
      <c r="L305" s="308"/>
      <c r="M305" s="305"/>
      <c r="N305" s="412"/>
      <c r="O305" s="302"/>
      <c r="P305" s="302"/>
      <c r="Q305" s="297"/>
      <c r="R305" s="429"/>
      <c r="S305" s="298"/>
      <c r="T305" s="298"/>
      <c r="U305" s="219"/>
      <c r="V305" s="413"/>
      <c r="W305" s="221"/>
    </row>
    <row r="306" spans="1:23" x14ac:dyDescent="0.2">
      <c r="A306" s="421"/>
      <c r="B306" s="346"/>
      <c r="C306" s="306">
        <f t="shared" si="15"/>
        <v>0</v>
      </c>
      <c r="D306" s="303"/>
      <c r="E306" s="412"/>
      <c r="F306" s="412"/>
      <c r="G306" s="304"/>
      <c r="H306" s="304"/>
      <c r="I306" s="309"/>
      <c r="J306" s="417"/>
      <c r="K306" s="304"/>
      <c r="L306" s="304"/>
      <c r="M306" s="305"/>
      <c r="N306" s="428"/>
      <c r="O306" s="302"/>
      <c r="P306" s="302"/>
      <c r="Q306" s="297"/>
      <c r="R306" s="429"/>
      <c r="S306" s="298"/>
      <c r="T306" s="298"/>
      <c r="U306" s="219"/>
      <c r="V306" s="413"/>
      <c r="W306" s="221"/>
    </row>
    <row r="307" spans="1:23" x14ac:dyDescent="0.2">
      <c r="A307" s="421">
        <f t="shared" ref="A307" si="28">A303+1</f>
        <v>45122</v>
      </c>
      <c r="B307" s="346" t="str">
        <f t="shared" ref="B307" si="29">IF(WEEKDAY(A307)=1,"CN","T"&amp;WEEKDAY(A307))</f>
        <v>T7</v>
      </c>
      <c r="C307" s="306">
        <f t="shared" si="15"/>
        <v>82000</v>
      </c>
      <c r="D307" s="303"/>
      <c r="E307" s="412"/>
      <c r="F307" s="412"/>
      <c r="G307" s="304"/>
      <c r="H307" s="304"/>
      <c r="I307" s="309" t="s">
        <v>105</v>
      </c>
      <c r="J307" s="417" t="s">
        <v>166</v>
      </c>
      <c r="K307" s="304">
        <v>41000</v>
      </c>
      <c r="L307" s="302"/>
      <c r="M307" s="305" t="s">
        <v>115</v>
      </c>
      <c r="N307" s="412" t="s">
        <v>166</v>
      </c>
      <c r="O307" s="302">
        <v>41000</v>
      </c>
      <c r="P307" s="302"/>
      <c r="Q307" s="297"/>
      <c r="R307" s="429"/>
      <c r="S307" s="298"/>
      <c r="T307" s="298"/>
      <c r="U307" s="219"/>
      <c r="V307" s="413"/>
      <c r="W307" s="221"/>
    </row>
    <row r="308" spans="1:23" x14ac:dyDescent="0.2">
      <c r="A308" s="421"/>
      <c r="B308" s="346"/>
      <c r="C308" s="306">
        <f t="shared" si="15"/>
        <v>0</v>
      </c>
      <c r="D308" s="303"/>
      <c r="E308" s="412"/>
      <c r="F308" s="412"/>
      <c r="G308" s="304"/>
      <c r="H308" s="304"/>
      <c r="I308" s="305"/>
      <c r="J308" s="428"/>
      <c r="K308" s="308"/>
      <c r="L308" s="308"/>
      <c r="M308" s="305"/>
      <c r="N308" s="412"/>
      <c r="O308" s="302"/>
      <c r="P308" s="302"/>
      <c r="Q308" s="297"/>
      <c r="R308" s="429"/>
      <c r="S308" s="298"/>
      <c r="T308" s="298"/>
      <c r="U308" s="219"/>
      <c r="V308" s="413"/>
      <c r="W308" s="221"/>
    </row>
    <row r="309" spans="1:23" x14ac:dyDescent="0.2">
      <c r="A309" s="421"/>
      <c r="B309" s="346"/>
      <c r="C309" s="306">
        <f t="shared" si="15"/>
        <v>0</v>
      </c>
      <c r="D309" s="303"/>
      <c r="E309" s="412"/>
      <c r="F309" s="412"/>
      <c r="G309" s="304"/>
      <c r="H309" s="304"/>
      <c r="I309" s="307"/>
      <c r="J309" s="412"/>
      <c r="K309" s="308"/>
      <c r="L309" s="308"/>
      <c r="M309" s="305"/>
      <c r="N309" s="412"/>
      <c r="O309" s="302"/>
      <c r="P309" s="302"/>
      <c r="Q309" s="297"/>
      <c r="R309" s="429"/>
      <c r="S309" s="298"/>
      <c r="T309" s="298"/>
      <c r="U309" s="219"/>
      <c r="V309" s="413"/>
      <c r="W309" s="221"/>
    </row>
    <row r="310" spans="1:23" x14ac:dyDescent="0.2">
      <c r="A310" s="421"/>
      <c r="B310" s="346"/>
      <c r="C310" s="306">
        <f t="shared" si="15"/>
        <v>0</v>
      </c>
      <c r="D310" s="303"/>
      <c r="E310" s="412"/>
      <c r="F310" s="412"/>
      <c r="G310" s="304"/>
      <c r="H310" s="304"/>
      <c r="I310" s="309"/>
      <c r="J310" s="417"/>
      <c r="K310" s="304"/>
      <c r="L310" s="304"/>
      <c r="M310" s="305"/>
      <c r="N310" s="428"/>
      <c r="O310" s="302"/>
      <c r="P310" s="302"/>
      <c r="Q310" s="297"/>
      <c r="R310" s="429"/>
      <c r="S310" s="298"/>
      <c r="T310" s="298"/>
      <c r="U310" s="219"/>
      <c r="V310" s="413"/>
      <c r="W310" s="221"/>
    </row>
    <row r="311" spans="1:23" x14ac:dyDescent="0.2">
      <c r="A311" s="421">
        <f t="shared" ref="A311" si="30">A307+1</f>
        <v>45123</v>
      </c>
      <c r="B311" s="346" t="str">
        <f t="shared" ref="B311" si="31">IF(WEEKDAY(A311)=1,"CN","T"&amp;WEEKDAY(A311))</f>
        <v>CN</v>
      </c>
      <c r="C311" s="306">
        <f t="shared" si="15"/>
        <v>0</v>
      </c>
      <c r="D311" s="303"/>
      <c r="E311" s="412"/>
      <c r="F311" s="412"/>
      <c r="G311" s="304"/>
      <c r="H311" s="304"/>
      <c r="I311" s="307"/>
      <c r="J311" s="412"/>
      <c r="K311" s="308"/>
      <c r="L311" s="308"/>
      <c r="M311" s="305"/>
      <c r="N311" s="412"/>
      <c r="O311" s="302"/>
      <c r="P311" s="302"/>
      <c r="Q311" s="297"/>
      <c r="R311" s="429"/>
      <c r="S311" s="298"/>
      <c r="T311" s="298"/>
      <c r="U311" s="219"/>
      <c r="V311" s="413"/>
      <c r="W311" s="221"/>
    </row>
    <row r="312" spans="1:23" x14ac:dyDescent="0.2">
      <c r="A312" s="421"/>
      <c r="B312" s="346"/>
      <c r="C312" s="306">
        <f t="shared" si="15"/>
        <v>0</v>
      </c>
      <c r="D312" s="303"/>
      <c r="E312" s="412"/>
      <c r="F312" s="412"/>
      <c r="G312" s="304"/>
      <c r="H312" s="304"/>
      <c r="I312" s="307"/>
      <c r="J312" s="412"/>
      <c r="K312" s="308"/>
      <c r="L312" s="308"/>
      <c r="M312" s="305"/>
      <c r="N312" s="412"/>
      <c r="O312" s="302"/>
      <c r="P312" s="302"/>
      <c r="Q312" s="297"/>
      <c r="R312" s="429"/>
      <c r="S312" s="298"/>
      <c r="T312" s="298"/>
      <c r="U312" s="219"/>
      <c r="V312" s="413"/>
      <c r="W312" s="221"/>
    </row>
    <row r="313" spans="1:23" x14ac:dyDescent="0.2">
      <c r="A313" s="421"/>
      <c r="B313" s="346"/>
      <c r="C313" s="306">
        <f t="shared" si="15"/>
        <v>0</v>
      </c>
      <c r="D313" s="303"/>
      <c r="E313" s="412"/>
      <c r="F313" s="412"/>
      <c r="G313" s="304"/>
      <c r="H313" s="304"/>
      <c r="I313" s="307"/>
      <c r="J313" s="412"/>
      <c r="K313" s="308"/>
      <c r="L313" s="308"/>
      <c r="M313" s="305"/>
      <c r="N313" s="412"/>
      <c r="O313" s="302"/>
      <c r="P313" s="302"/>
      <c r="Q313" s="297"/>
      <c r="R313" s="429"/>
      <c r="S313" s="298"/>
      <c r="T313" s="298"/>
      <c r="U313" s="297"/>
      <c r="V313" s="429"/>
      <c r="W313" s="316"/>
    </row>
    <row r="314" spans="1:23" x14ac:dyDescent="0.2">
      <c r="A314" s="421"/>
      <c r="B314" s="346"/>
      <c r="C314" s="306">
        <f t="shared" si="15"/>
        <v>0</v>
      </c>
      <c r="D314" s="303"/>
      <c r="E314" s="412"/>
      <c r="F314" s="412"/>
      <c r="G314" s="304"/>
      <c r="H314" s="304"/>
      <c r="I314" s="309"/>
      <c r="J314" s="417"/>
      <c r="K314" s="304"/>
      <c r="L314" s="304"/>
      <c r="M314" s="305"/>
      <c r="N314" s="428"/>
      <c r="O314" s="302"/>
      <c r="P314" s="302"/>
      <c r="Q314" s="297"/>
      <c r="R314" s="429"/>
      <c r="S314" s="298"/>
      <c r="T314" s="298"/>
      <c r="U314" s="297"/>
      <c r="V314" s="429"/>
      <c r="W314" s="316"/>
    </row>
    <row r="315" spans="1:23" x14ac:dyDescent="0.2">
      <c r="A315" s="421">
        <f t="shared" ref="A315" si="32">A311+1</f>
        <v>45124</v>
      </c>
      <c r="B315" s="346" t="str">
        <f t="shared" ref="B315" si="33">IF(WEEKDAY(A315)=1,"CN","T"&amp;WEEKDAY(A315))</f>
        <v>T2</v>
      </c>
      <c r="C315" s="306">
        <f t="shared" si="15"/>
        <v>82000</v>
      </c>
      <c r="D315" s="303"/>
      <c r="E315" s="412"/>
      <c r="F315" s="412"/>
      <c r="G315" s="304"/>
      <c r="H315" s="304"/>
      <c r="I315" s="309" t="s">
        <v>105</v>
      </c>
      <c r="J315" s="417" t="s">
        <v>166</v>
      </c>
      <c r="K315" s="304">
        <v>41000</v>
      </c>
      <c r="L315" s="302"/>
      <c r="M315" s="305" t="s">
        <v>115</v>
      </c>
      <c r="N315" s="412" t="s">
        <v>166</v>
      </c>
      <c r="O315" s="302">
        <v>41000</v>
      </c>
      <c r="P315" s="302"/>
      <c r="Q315" s="297"/>
      <c r="R315" s="429"/>
      <c r="S315" s="298"/>
      <c r="T315" s="298"/>
      <c r="U315" s="297"/>
      <c r="V315" s="429"/>
      <c r="W315" s="316"/>
    </row>
    <row r="316" spans="1:23" x14ac:dyDescent="0.2">
      <c r="A316" s="421"/>
      <c r="B316" s="346"/>
      <c r="C316" s="306">
        <f t="shared" si="15"/>
        <v>0</v>
      </c>
      <c r="D316" s="303"/>
      <c r="E316" s="412"/>
      <c r="F316" s="412"/>
      <c r="G316" s="304"/>
      <c r="H316" s="304"/>
      <c r="I316" s="305"/>
      <c r="J316" s="428"/>
      <c r="K316" s="308"/>
      <c r="L316" s="308"/>
      <c r="M316" s="305"/>
      <c r="N316" s="412"/>
      <c r="O316" s="302"/>
      <c r="P316" s="302"/>
      <c r="Q316" s="297"/>
      <c r="R316" s="429"/>
      <c r="S316" s="298"/>
      <c r="T316" s="298"/>
      <c r="U316" s="297"/>
      <c r="V316" s="429"/>
      <c r="W316" s="316"/>
    </row>
    <row r="317" spans="1:23" x14ac:dyDescent="0.2">
      <c r="A317" s="421"/>
      <c r="B317" s="346"/>
      <c r="C317" s="306">
        <f t="shared" si="15"/>
        <v>0</v>
      </c>
      <c r="D317" s="303"/>
      <c r="E317" s="412"/>
      <c r="F317" s="412"/>
      <c r="G317" s="304"/>
      <c r="H317" s="304"/>
      <c r="I317" s="307"/>
      <c r="J317" s="412"/>
      <c r="K317" s="308"/>
      <c r="L317" s="308"/>
      <c r="M317" s="305"/>
      <c r="N317" s="412"/>
      <c r="O317" s="302"/>
      <c r="P317" s="302"/>
      <c r="Q317" s="297"/>
      <c r="R317" s="429"/>
      <c r="S317" s="298"/>
      <c r="T317" s="298"/>
      <c r="U317" s="297"/>
      <c r="V317" s="429"/>
      <c r="W317" s="316"/>
    </row>
    <row r="318" spans="1:23" x14ac:dyDescent="0.2">
      <c r="A318" s="421"/>
      <c r="B318" s="346"/>
      <c r="C318" s="306">
        <f t="shared" si="15"/>
        <v>0</v>
      </c>
      <c r="D318" s="303"/>
      <c r="E318" s="412"/>
      <c r="F318" s="412"/>
      <c r="G318" s="304"/>
      <c r="H318" s="304"/>
      <c r="I318" s="305"/>
      <c r="J318" s="428"/>
      <c r="K318" s="302"/>
      <c r="L318" s="302"/>
      <c r="M318" s="305"/>
      <c r="N318" s="428"/>
      <c r="O318" s="302"/>
      <c r="P318" s="302"/>
      <c r="Q318" s="297"/>
      <c r="R318" s="429"/>
      <c r="S318" s="298"/>
      <c r="T318" s="298"/>
      <c r="U318" s="297"/>
      <c r="V318" s="429"/>
      <c r="W318" s="316"/>
    </row>
    <row r="319" spans="1:23" x14ac:dyDescent="0.2">
      <c r="A319" s="421">
        <f t="shared" ref="A319" si="34">A315+1</f>
        <v>45125</v>
      </c>
      <c r="B319" s="346" t="str">
        <f t="shared" ref="B319" si="35">IF(WEEKDAY(A319)=1,"CN","T"&amp;WEEKDAY(A319))</f>
        <v>T3</v>
      </c>
      <c r="C319" s="306">
        <f t="shared" si="15"/>
        <v>82000</v>
      </c>
      <c r="D319" s="303"/>
      <c r="E319" s="412"/>
      <c r="F319" s="412"/>
      <c r="G319" s="304"/>
      <c r="H319" s="304"/>
      <c r="I319" s="309" t="s">
        <v>105</v>
      </c>
      <c r="J319" s="417" t="s">
        <v>166</v>
      </c>
      <c r="K319" s="304">
        <v>41000</v>
      </c>
      <c r="L319" s="302"/>
      <c r="M319" s="305" t="s">
        <v>115</v>
      </c>
      <c r="N319" s="412" t="s">
        <v>166</v>
      </c>
      <c r="O319" s="302">
        <v>41000</v>
      </c>
      <c r="P319" s="302"/>
      <c r="Q319" s="297"/>
      <c r="R319" s="429"/>
      <c r="S319" s="298"/>
      <c r="T319" s="298"/>
      <c r="U319" s="297"/>
      <c r="V319" s="429"/>
      <c r="W319" s="316"/>
    </row>
    <row r="320" spans="1:23" x14ac:dyDescent="0.2">
      <c r="A320" s="421"/>
      <c r="B320" s="346"/>
      <c r="C320" s="306">
        <f t="shared" si="15"/>
        <v>0</v>
      </c>
      <c r="D320" s="303"/>
      <c r="E320" s="412"/>
      <c r="F320" s="412"/>
      <c r="G320" s="304"/>
      <c r="H320" s="304"/>
      <c r="I320" s="307"/>
      <c r="J320" s="412"/>
      <c r="K320" s="308"/>
      <c r="L320" s="308"/>
      <c r="M320" s="305"/>
      <c r="N320" s="412"/>
      <c r="O320" s="302"/>
      <c r="P320" s="302"/>
      <c r="Q320" s="297"/>
      <c r="R320" s="429"/>
      <c r="S320" s="298"/>
      <c r="T320" s="298"/>
      <c r="U320" s="297"/>
      <c r="V320" s="429"/>
      <c r="W320" s="316"/>
    </row>
    <row r="321" spans="1:23" x14ac:dyDescent="0.2">
      <c r="A321" s="421"/>
      <c r="B321" s="346"/>
      <c r="C321" s="306">
        <f t="shared" si="15"/>
        <v>0</v>
      </c>
      <c r="D321" s="303"/>
      <c r="E321" s="412"/>
      <c r="F321" s="412"/>
      <c r="G321" s="304"/>
      <c r="H321" s="304"/>
      <c r="I321" s="307"/>
      <c r="J321" s="412"/>
      <c r="K321" s="308"/>
      <c r="L321" s="308"/>
      <c r="M321" s="305"/>
      <c r="N321" s="412"/>
      <c r="O321" s="302"/>
      <c r="P321" s="302"/>
      <c r="Q321" s="297"/>
      <c r="R321" s="429"/>
      <c r="S321" s="298"/>
      <c r="T321" s="298"/>
      <c r="U321" s="297"/>
      <c r="V321" s="429"/>
      <c r="W321" s="316"/>
    </row>
    <row r="322" spans="1:23" x14ac:dyDescent="0.2">
      <c r="A322" s="421"/>
      <c r="B322" s="346"/>
      <c r="C322" s="306">
        <f t="shared" si="15"/>
        <v>0</v>
      </c>
      <c r="D322" s="303"/>
      <c r="E322" s="412"/>
      <c r="F322" s="412"/>
      <c r="G322" s="304"/>
      <c r="H322" s="304"/>
      <c r="I322" s="305"/>
      <c r="J322" s="428"/>
      <c r="K322" s="302"/>
      <c r="L322" s="302"/>
      <c r="M322" s="305"/>
      <c r="N322" s="428"/>
      <c r="O322" s="302"/>
      <c r="P322" s="302"/>
      <c r="Q322" s="297"/>
      <c r="R322" s="429"/>
      <c r="S322" s="298"/>
      <c r="T322" s="298"/>
      <c r="U322" s="297"/>
      <c r="V322" s="429"/>
      <c r="W322" s="316"/>
    </row>
    <row r="323" spans="1:23" x14ac:dyDescent="0.2">
      <c r="A323" s="421">
        <f t="shared" ref="A323" si="36">A319+1</f>
        <v>45126</v>
      </c>
      <c r="B323" s="346" t="str">
        <f t="shared" ref="B323" si="37">IF(WEEKDAY(A323)=1,"CN","T"&amp;WEEKDAY(A323))</f>
        <v>T4</v>
      </c>
      <c r="C323" s="306">
        <f t="shared" si="15"/>
        <v>82000</v>
      </c>
      <c r="D323" s="303"/>
      <c r="E323" s="412"/>
      <c r="F323" s="412"/>
      <c r="G323" s="304"/>
      <c r="H323" s="304"/>
      <c r="I323" s="309" t="s">
        <v>105</v>
      </c>
      <c r="J323" s="417" t="s">
        <v>166</v>
      </c>
      <c r="K323" s="304">
        <v>41000</v>
      </c>
      <c r="L323" s="302"/>
      <c r="M323" s="305" t="s">
        <v>115</v>
      </c>
      <c r="N323" s="412" t="s">
        <v>166</v>
      </c>
      <c r="O323" s="302">
        <v>41000</v>
      </c>
      <c r="P323" s="302"/>
      <c r="Q323" s="297"/>
      <c r="R323" s="429"/>
      <c r="S323" s="298"/>
      <c r="T323" s="298"/>
      <c r="U323" s="297"/>
      <c r="V323" s="429"/>
      <c r="W323" s="316"/>
    </row>
    <row r="324" spans="1:23" x14ac:dyDescent="0.2">
      <c r="A324" s="421"/>
      <c r="B324" s="346"/>
      <c r="C324" s="306">
        <f t="shared" si="15"/>
        <v>0</v>
      </c>
      <c r="D324" s="303"/>
      <c r="E324" s="412"/>
      <c r="F324" s="412"/>
      <c r="G324" s="304"/>
      <c r="H324" s="304"/>
      <c r="I324" s="307"/>
      <c r="J324" s="412"/>
      <c r="K324" s="308"/>
      <c r="L324" s="308"/>
      <c r="M324" s="305"/>
      <c r="N324" s="412"/>
      <c r="O324" s="302"/>
      <c r="P324" s="302"/>
      <c r="Q324" s="297"/>
      <c r="R324" s="429"/>
      <c r="S324" s="298"/>
      <c r="T324" s="298"/>
      <c r="U324" s="297"/>
      <c r="V324" s="429"/>
      <c r="W324" s="316"/>
    </row>
    <row r="325" spans="1:23" x14ac:dyDescent="0.2">
      <c r="A325" s="421"/>
      <c r="B325" s="346"/>
      <c r="C325" s="306">
        <f t="shared" si="15"/>
        <v>0</v>
      </c>
      <c r="D325" s="303"/>
      <c r="E325" s="412"/>
      <c r="F325" s="412"/>
      <c r="G325" s="304"/>
      <c r="H325" s="304"/>
      <c r="I325" s="307"/>
      <c r="J325" s="412"/>
      <c r="K325" s="308"/>
      <c r="L325" s="308"/>
      <c r="M325" s="305"/>
      <c r="N325" s="412"/>
      <c r="O325" s="302"/>
      <c r="P325" s="302"/>
      <c r="Q325" s="297"/>
      <c r="R325" s="429"/>
      <c r="S325" s="298"/>
      <c r="T325" s="298"/>
      <c r="U325" s="297"/>
      <c r="V325" s="429"/>
      <c r="W325" s="316"/>
    </row>
    <row r="326" spans="1:23" x14ac:dyDescent="0.2">
      <c r="A326" s="421"/>
      <c r="B326" s="346"/>
      <c r="C326" s="306">
        <f t="shared" si="15"/>
        <v>0</v>
      </c>
      <c r="D326" s="303"/>
      <c r="E326" s="412"/>
      <c r="F326" s="412"/>
      <c r="G326" s="304"/>
      <c r="H326" s="304"/>
      <c r="I326" s="309"/>
      <c r="J326" s="417"/>
      <c r="K326" s="304"/>
      <c r="L326" s="302"/>
      <c r="M326" s="305"/>
      <c r="N326" s="428"/>
      <c r="O326" s="302"/>
      <c r="P326" s="302"/>
      <c r="Q326" s="297"/>
      <c r="R326" s="429"/>
      <c r="S326" s="298"/>
      <c r="T326" s="298"/>
      <c r="U326" s="297"/>
      <c r="V326" s="429"/>
      <c r="W326" s="316"/>
    </row>
    <row r="327" spans="1:23" x14ac:dyDescent="0.2">
      <c r="A327" s="421">
        <f t="shared" ref="A327" si="38">A323+1</f>
        <v>45127</v>
      </c>
      <c r="B327" s="346" t="str">
        <f t="shared" ref="B327" si="39">IF(WEEKDAY(A327)=1,"CN","T"&amp;WEEKDAY(A327))</f>
        <v>T5</v>
      </c>
      <c r="C327" s="306">
        <f t="shared" si="15"/>
        <v>82000</v>
      </c>
      <c r="D327" s="303"/>
      <c r="E327" s="412"/>
      <c r="F327" s="412"/>
      <c r="G327" s="304"/>
      <c r="H327" s="304"/>
      <c r="I327" s="309" t="s">
        <v>105</v>
      </c>
      <c r="J327" s="417" t="s">
        <v>166</v>
      </c>
      <c r="K327" s="304">
        <v>41000</v>
      </c>
      <c r="L327" s="302"/>
      <c r="M327" s="305" t="s">
        <v>115</v>
      </c>
      <c r="N327" s="412" t="s">
        <v>166</v>
      </c>
      <c r="O327" s="302">
        <v>41000</v>
      </c>
      <c r="P327" s="302"/>
      <c r="Q327" s="297"/>
      <c r="R327" s="429"/>
      <c r="S327" s="298"/>
      <c r="T327" s="298"/>
      <c r="U327" s="297"/>
      <c r="V327" s="429"/>
      <c r="W327" s="316"/>
    </row>
    <row r="328" spans="1:23" x14ac:dyDescent="0.2">
      <c r="A328" s="421"/>
      <c r="B328" s="346"/>
      <c r="C328" s="306">
        <f t="shared" si="15"/>
        <v>0</v>
      </c>
      <c r="D328" s="303"/>
      <c r="E328" s="412"/>
      <c r="F328" s="412"/>
      <c r="G328" s="304"/>
      <c r="H328" s="304"/>
      <c r="I328" s="307"/>
      <c r="J328" s="412"/>
      <c r="K328" s="308"/>
      <c r="L328" s="308"/>
      <c r="M328" s="305"/>
      <c r="N328" s="412"/>
      <c r="O328" s="302"/>
      <c r="P328" s="302"/>
      <c r="Q328" s="297"/>
      <c r="R328" s="429"/>
      <c r="S328" s="298"/>
      <c r="T328" s="298"/>
      <c r="U328" s="297"/>
      <c r="V328" s="429"/>
      <c r="W328" s="316"/>
    </row>
    <row r="329" spans="1:23" x14ac:dyDescent="0.2">
      <c r="A329" s="421"/>
      <c r="B329" s="346"/>
      <c r="C329" s="306">
        <f t="shared" si="15"/>
        <v>0</v>
      </c>
      <c r="D329" s="303"/>
      <c r="E329" s="412"/>
      <c r="F329" s="412"/>
      <c r="G329" s="304"/>
      <c r="H329" s="304"/>
      <c r="I329" s="307"/>
      <c r="J329" s="412"/>
      <c r="K329" s="308"/>
      <c r="L329" s="308"/>
      <c r="M329" s="305"/>
      <c r="N329" s="412"/>
      <c r="O329" s="302"/>
      <c r="P329" s="302"/>
      <c r="Q329" s="297"/>
      <c r="R329" s="429"/>
      <c r="S329" s="298"/>
      <c r="T329" s="298"/>
      <c r="U329" s="297"/>
      <c r="V329" s="429"/>
      <c r="W329" s="316"/>
    </row>
    <row r="330" spans="1:23" x14ac:dyDescent="0.2">
      <c r="A330" s="421"/>
      <c r="B330" s="346"/>
      <c r="C330" s="306">
        <f t="shared" si="15"/>
        <v>0</v>
      </c>
      <c r="D330" s="303"/>
      <c r="E330" s="412"/>
      <c r="F330" s="412"/>
      <c r="G330" s="304"/>
      <c r="H330" s="304"/>
      <c r="I330" s="309"/>
      <c r="J330" s="417"/>
      <c r="K330" s="304"/>
      <c r="L330" s="304"/>
      <c r="M330" s="305"/>
      <c r="N330" s="412"/>
      <c r="O330" s="302"/>
      <c r="P330" s="302"/>
      <c r="Q330" s="297"/>
      <c r="R330" s="429"/>
      <c r="S330" s="298"/>
      <c r="T330" s="298"/>
      <c r="U330" s="297"/>
      <c r="V330" s="429"/>
      <c r="W330" s="316"/>
    </row>
    <row r="331" spans="1:23" x14ac:dyDescent="0.2">
      <c r="A331" s="421">
        <f t="shared" ref="A331" si="40">A327+1</f>
        <v>45128</v>
      </c>
      <c r="B331" s="346" t="str">
        <f t="shared" ref="B331" si="41">IF(WEEKDAY(A331)=1,"CN","T"&amp;WEEKDAY(A331))</f>
        <v>T6</v>
      </c>
      <c r="C331" s="306">
        <f t="shared" si="15"/>
        <v>82000</v>
      </c>
      <c r="D331" s="303"/>
      <c r="E331" s="412"/>
      <c r="F331" s="412"/>
      <c r="G331" s="304"/>
      <c r="H331" s="304"/>
      <c r="I331" s="309" t="s">
        <v>105</v>
      </c>
      <c r="J331" s="417" t="s">
        <v>166</v>
      </c>
      <c r="K331" s="304">
        <v>41000</v>
      </c>
      <c r="L331" s="302"/>
      <c r="M331" s="305" t="s">
        <v>115</v>
      </c>
      <c r="N331" s="428" t="s">
        <v>166</v>
      </c>
      <c r="O331" s="302">
        <v>41000</v>
      </c>
      <c r="P331" s="302"/>
      <c r="Q331" s="297"/>
      <c r="R331" s="429"/>
      <c r="S331" s="298"/>
      <c r="T331" s="298"/>
      <c r="U331" s="297"/>
      <c r="V331" s="429"/>
      <c r="W331" s="316"/>
    </row>
    <row r="332" spans="1:23" x14ac:dyDescent="0.2">
      <c r="A332" s="421"/>
      <c r="B332" s="346"/>
      <c r="C332" s="306">
        <f t="shared" si="15"/>
        <v>0</v>
      </c>
      <c r="D332" s="303"/>
      <c r="E332" s="412"/>
      <c r="F332" s="412"/>
      <c r="G332" s="304"/>
      <c r="H332" s="304"/>
      <c r="I332" s="307"/>
      <c r="J332" s="412"/>
      <c r="K332" s="308"/>
      <c r="L332" s="308"/>
      <c r="M332" s="305"/>
      <c r="N332" s="412"/>
      <c r="O332" s="302"/>
      <c r="P332" s="302"/>
      <c r="Q332" s="297"/>
      <c r="R332" s="429"/>
      <c r="S332" s="298"/>
      <c r="T332" s="298"/>
      <c r="U332" s="297"/>
      <c r="V332" s="429"/>
      <c r="W332" s="316"/>
    </row>
    <row r="333" spans="1:23" x14ac:dyDescent="0.2">
      <c r="A333" s="421"/>
      <c r="B333" s="346"/>
      <c r="C333" s="306">
        <f t="shared" si="15"/>
        <v>0</v>
      </c>
      <c r="D333" s="303"/>
      <c r="E333" s="412"/>
      <c r="F333" s="412"/>
      <c r="G333" s="304"/>
      <c r="H333" s="304"/>
      <c r="I333" s="307"/>
      <c r="J333" s="412"/>
      <c r="K333" s="308"/>
      <c r="L333" s="308"/>
      <c r="M333" s="305"/>
      <c r="N333" s="412"/>
      <c r="O333" s="302"/>
      <c r="P333" s="302"/>
      <c r="Q333" s="297"/>
      <c r="R333" s="429"/>
      <c r="S333" s="298"/>
      <c r="T333" s="298"/>
      <c r="U333" s="297"/>
      <c r="V333" s="429"/>
      <c r="W333" s="316"/>
    </row>
    <row r="334" spans="1:23" x14ac:dyDescent="0.2">
      <c r="A334" s="421"/>
      <c r="B334" s="346"/>
      <c r="C334" s="306">
        <f t="shared" si="15"/>
        <v>0</v>
      </c>
      <c r="D334" s="303"/>
      <c r="E334" s="412"/>
      <c r="F334" s="412"/>
      <c r="G334" s="304"/>
      <c r="H334" s="304"/>
      <c r="I334" s="309"/>
      <c r="J334" s="417"/>
      <c r="K334" s="304"/>
      <c r="L334" s="302"/>
      <c r="M334" s="305"/>
      <c r="N334" s="428"/>
      <c r="O334" s="302"/>
      <c r="P334" s="302"/>
      <c r="Q334" s="297"/>
      <c r="R334" s="429"/>
      <c r="S334" s="298"/>
      <c r="T334" s="298"/>
      <c r="U334" s="297"/>
      <c r="V334" s="429"/>
      <c r="W334" s="316"/>
    </row>
    <row r="335" spans="1:23" x14ac:dyDescent="0.2">
      <c r="A335" s="421">
        <f t="shared" ref="A335" si="42">A331+1</f>
        <v>45129</v>
      </c>
      <c r="B335" s="346" t="str">
        <f t="shared" ref="B335" si="43">IF(WEEKDAY(A335)=1,"CN","T"&amp;WEEKDAY(A335))</f>
        <v>T7</v>
      </c>
      <c r="C335" s="306">
        <f t="shared" si="15"/>
        <v>82000</v>
      </c>
      <c r="D335" s="303"/>
      <c r="E335" s="412"/>
      <c r="F335" s="412"/>
      <c r="G335" s="304"/>
      <c r="H335" s="304"/>
      <c r="I335" s="309" t="s">
        <v>105</v>
      </c>
      <c r="J335" s="417" t="s">
        <v>166</v>
      </c>
      <c r="K335" s="304">
        <v>41000</v>
      </c>
      <c r="L335" s="302"/>
      <c r="M335" s="305" t="s">
        <v>115</v>
      </c>
      <c r="N335" s="428" t="s">
        <v>166</v>
      </c>
      <c r="O335" s="302">
        <v>41000</v>
      </c>
      <c r="P335" s="302"/>
      <c r="Q335" s="297"/>
      <c r="R335" s="429"/>
      <c r="S335" s="298"/>
      <c r="T335" s="298"/>
      <c r="U335" s="297"/>
      <c r="V335" s="429"/>
      <c r="W335" s="316"/>
    </row>
    <row r="336" spans="1:23" x14ac:dyDescent="0.2">
      <c r="A336" s="421"/>
      <c r="B336" s="346"/>
      <c r="C336" s="306">
        <f t="shared" si="15"/>
        <v>0</v>
      </c>
      <c r="D336" s="303"/>
      <c r="E336" s="412"/>
      <c r="F336" s="412"/>
      <c r="G336" s="304"/>
      <c r="H336" s="304"/>
      <c r="I336" s="307"/>
      <c r="J336" s="412"/>
      <c r="K336" s="308"/>
      <c r="L336" s="308"/>
      <c r="M336" s="305"/>
      <c r="N336" s="412"/>
      <c r="O336" s="302"/>
      <c r="P336" s="302"/>
      <c r="Q336" s="297"/>
      <c r="R336" s="429"/>
      <c r="S336" s="298"/>
      <c r="T336" s="298"/>
      <c r="U336" s="297"/>
      <c r="V336" s="429"/>
      <c r="W336" s="316"/>
    </row>
    <row r="337" spans="1:23" x14ac:dyDescent="0.2">
      <c r="A337" s="421"/>
      <c r="B337" s="346"/>
      <c r="C337" s="306">
        <f t="shared" si="15"/>
        <v>0</v>
      </c>
      <c r="D337" s="303"/>
      <c r="E337" s="412"/>
      <c r="F337" s="412"/>
      <c r="G337" s="304"/>
      <c r="H337" s="304"/>
      <c r="I337" s="307"/>
      <c r="J337" s="412"/>
      <c r="K337" s="308"/>
      <c r="L337" s="308"/>
      <c r="M337" s="305"/>
      <c r="N337" s="412"/>
      <c r="O337" s="302"/>
      <c r="P337" s="302"/>
      <c r="Q337" s="297"/>
      <c r="R337" s="429"/>
      <c r="S337" s="298"/>
      <c r="T337" s="298"/>
      <c r="U337" s="297"/>
      <c r="V337" s="429"/>
      <c r="W337" s="316"/>
    </row>
    <row r="338" spans="1:23" x14ac:dyDescent="0.2">
      <c r="A338" s="421"/>
      <c r="B338" s="346"/>
      <c r="C338" s="306">
        <f t="shared" si="15"/>
        <v>0</v>
      </c>
      <c r="D338" s="303"/>
      <c r="E338" s="412"/>
      <c r="F338" s="412"/>
      <c r="G338" s="304"/>
      <c r="H338" s="304"/>
      <c r="I338" s="309"/>
      <c r="J338" s="417"/>
      <c r="K338" s="304"/>
      <c r="L338" s="302"/>
      <c r="M338" s="305"/>
      <c r="N338" s="428"/>
      <c r="O338" s="302"/>
      <c r="P338" s="302"/>
      <c r="Q338" s="297"/>
      <c r="R338" s="429"/>
      <c r="S338" s="298"/>
      <c r="T338" s="298"/>
      <c r="U338" s="297"/>
      <c r="V338" s="429"/>
      <c r="W338" s="316"/>
    </row>
    <row r="339" spans="1:23" x14ac:dyDescent="0.2">
      <c r="A339" s="421">
        <f t="shared" ref="A339" si="44">A335+1</f>
        <v>45130</v>
      </c>
      <c r="B339" s="346" t="str">
        <f t="shared" ref="B339" si="45">IF(WEEKDAY(A339)=1,"CN","T"&amp;WEEKDAY(A339))</f>
        <v>CN</v>
      </c>
      <c r="C339" s="306">
        <f t="shared" si="15"/>
        <v>0</v>
      </c>
      <c r="D339" s="303"/>
      <c r="E339" s="412"/>
      <c r="F339" s="412"/>
      <c r="G339" s="304"/>
      <c r="H339" s="304"/>
      <c r="I339" s="309"/>
      <c r="J339" s="417"/>
      <c r="K339" s="304"/>
      <c r="L339" s="302"/>
      <c r="M339" s="305"/>
      <c r="N339" s="428"/>
      <c r="O339" s="302"/>
      <c r="P339" s="302"/>
      <c r="Q339" s="297"/>
      <c r="R339" s="429"/>
      <c r="S339" s="298"/>
      <c r="T339" s="298"/>
      <c r="U339" s="297"/>
      <c r="V339" s="429"/>
      <c r="W339" s="316"/>
    </row>
    <row r="340" spans="1:23" x14ac:dyDescent="0.2">
      <c r="A340" s="421"/>
      <c r="B340" s="346"/>
      <c r="C340" s="306">
        <f t="shared" si="15"/>
        <v>0</v>
      </c>
      <c r="D340" s="303"/>
      <c r="E340" s="412"/>
      <c r="F340" s="412"/>
      <c r="G340" s="304"/>
      <c r="H340" s="304"/>
      <c r="I340" s="307"/>
      <c r="J340" s="412"/>
      <c r="K340" s="308"/>
      <c r="L340" s="308"/>
      <c r="M340" s="305"/>
      <c r="N340" s="412"/>
      <c r="O340" s="302"/>
      <c r="P340" s="302"/>
      <c r="Q340" s="297"/>
      <c r="R340" s="429"/>
      <c r="S340" s="298"/>
      <c r="T340" s="298"/>
      <c r="U340" s="297"/>
      <c r="V340" s="429"/>
      <c r="W340" s="316"/>
    </row>
    <row r="341" spans="1:23" x14ac:dyDescent="0.2">
      <c r="A341" s="421"/>
      <c r="B341" s="346"/>
      <c r="C341" s="306">
        <f t="shared" si="15"/>
        <v>0</v>
      </c>
      <c r="D341" s="303"/>
      <c r="E341" s="412"/>
      <c r="F341" s="412"/>
      <c r="G341" s="304"/>
      <c r="H341" s="304"/>
      <c r="I341" s="307"/>
      <c r="J341" s="412"/>
      <c r="K341" s="308"/>
      <c r="L341" s="308"/>
      <c r="M341" s="305"/>
      <c r="N341" s="412"/>
      <c r="O341" s="302"/>
      <c r="P341" s="302"/>
      <c r="Q341" s="297"/>
      <c r="R341" s="429"/>
      <c r="S341" s="298"/>
      <c r="T341" s="298"/>
      <c r="U341" s="297"/>
      <c r="V341" s="429"/>
      <c r="W341" s="316"/>
    </row>
    <row r="342" spans="1:23" x14ac:dyDescent="0.2">
      <c r="A342" s="421"/>
      <c r="B342" s="346"/>
      <c r="C342" s="306">
        <f t="shared" si="15"/>
        <v>0</v>
      </c>
      <c r="D342" s="303"/>
      <c r="E342" s="412"/>
      <c r="F342" s="412"/>
      <c r="G342" s="304"/>
      <c r="H342" s="304"/>
      <c r="I342" s="305"/>
      <c r="J342" s="428"/>
      <c r="K342" s="302"/>
      <c r="L342" s="302"/>
      <c r="M342" s="305"/>
      <c r="N342" s="428"/>
      <c r="O342" s="302"/>
      <c r="P342" s="302"/>
      <c r="Q342" s="297"/>
      <c r="R342" s="429"/>
      <c r="S342" s="298"/>
      <c r="T342" s="298"/>
      <c r="U342" s="297"/>
      <c r="V342" s="429"/>
      <c r="W342" s="316"/>
    </row>
    <row r="343" spans="1:23" x14ac:dyDescent="0.2">
      <c r="A343" s="421">
        <f t="shared" ref="A343" si="46">A339+1</f>
        <v>45131</v>
      </c>
      <c r="B343" s="346" t="str">
        <f t="shared" ref="B343" si="47">IF(WEEKDAY(A343)=1,"CN","T"&amp;WEEKDAY(A343))</f>
        <v>T2</v>
      </c>
      <c r="C343" s="306">
        <f t="shared" si="15"/>
        <v>82000</v>
      </c>
      <c r="D343" s="303"/>
      <c r="E343" s="412"/>
      <c r="F343" s="412"/>
      <c r="G343" s="304"/>
      <c r="H343" s="304"/>
      <c r="I343" s="309" t="s">
        <v>105</v>
      </c>
      <c r="J343" s="417" t="s">
        <v>166</v>
      </c>
      <c r="K343" s="304">
        <v>41000</v>
      </c>
      <c r="L343" s="302"/>
      <c r="M343" s="305" t="s">
        <v>115</v>
      </c>
      <c r="N343" s="428" t="s">
        <v>166</v>
      </c>
      <c r="O343" s="302">
        <v>41000</v>
      </c>
      <c r="P343" s="302"/>
      <c r="Q343" s="297"/>
      <c r="R343" s="429"/>
      <c r="S343" s="298"/>
      <c r="T343" s="298"/>
      <c r="U343" s="297"/>
      <c r="V343" s="429"/>
      <c r="W343" s="316"/>
    </row>
    <row r="344" spans="1:23" x14ac:dyDescent="0.2">
      <c r="A344" s="421"/>
      <c r="B344" s="346"/>
      <c r="C344" s="306">
        <f t="shared" ref="C344:C407" si="48">SUM(D344:S344)</f>
        <v>0</v>
      </c>
      <c r="D344" s="303"/>
      <c r="E344" s="412"/>
      <c r="F344" s="412"/>
      <c r="G344" s="304"/>
      <c r="H344" s="304"/>
      <c r="I344" s="307"/>
      <c r="J344" s="412"/>
      <c r="K344" s="308"/>
      <c r="L344" s="308"/>
      <c r="M344" s="305"/>
      <c r="N344" s="412"/>
      <c r="O344" s="302"/>
      <c r="P344" s="302"/>
      <c r="Q344" s="297"/>
      <c r="R344" s="429"/>
      <c r="S344" s="298"/>
      <c r="T344" s="298"/>
      <c r="U344" s="297"/>
      <c r="V344" s="429"/>
      <c r="W344" s="316"/>
    </row>
    <row r="345" spans="1:23" x14ac:dyDescent="0.2">
      <c r="A345" s="421"/>
      <c r="B345" s="346"/>
      <c r="C345" s="306">
        <f t="shared" si="48"/>
        <v>0</v>
      </c>
      <c r="D345" s="303"/>
      <c r="E345" s="412"/>
      <c r="F345" s="412"/>
      <c r="G345" s="304"/>
      <c r="H345" s="304"/>
      <c r="I345" s="307"/>
      <c r="J345" s="412"/>
      <c r="K345" s="308"/>
      <c r="L345" s="308"/>
      <c r="M345" s="305"/>
      <c r="N345" s="412"/>
      <c r="O345" s="302"/>
      <c r="P345" s="302"/>
      <c r="Q345" s="297"/>
      <c r="R345" s="429"/>
      <c r="S345" s="298"/>
      <c r="T345" s="298"/>
      <c r="U345" s="297"/>
      <c r="V345" s="429"/>
      <c r="W345" s="316"/>
    </row>
    <row r="346" spans="1:23" x14ac:dyDescent="0.2">
      <c r="A346" s="421"/>
      <c r="B346" s="346"/>
      <c r="C346" s="306">
        <f t="shared" si="48"/>
        <v>0</v>
      </c>
      <c r="D346" s="303"/>
      <c r="E346" s="412"/>
      <c r="F346" s="412"/>
      <c r="G346" s="304"/>
      <c r="H346" s="304"/>
      <c r="I346" s="305"/>
      <c r="J346" s="428"/>
      <c r="K346" s="302"/>
      <c r="L346" s="302"/>
      <c r="M346" s="305"/>
      <c r="N346" s="428"/>
      <c r="O346" s="302"/>
      <c r="P346" s="302"/>
      <c r="Q346" s="297"/>
      <c r="R346" s="429"/>
      <c r="S346" s="298"/>
      <c r="T346" s="298"/>
      <c r="U346" s="297"/>
      <c r="V346" s="429"/>
      <c r="W346" s="316"/>
    </row>
    <row r="347" spans="1:23" x14ac:dyDescent="0.2">
      <c r="A347" s="421">
        <f t="shared" ref="A347" si="49">A343+1</f>
        <v>45132</v>
      </c>
      <c r="B347" s="346" t="str">
        <f t="shared" ref="B347" si="50">IF(WEEKDAY(A347)=1,"CN","T"&amp;WEEKDAY(A347))</f>
        <v>T3</v>
      </c>
      <c r="C347" s="306">
        <f t="shared" si="48"/>
        <v>82000</v>
      </c>
      <c r="D347" s="303"/>
      <c r="E347" s="412"/>
      <c r="F347" s="412"/>
      <c r="G347" s="304"/>
      <c r="H347" s="304"/>
      <c r="I347" s="309" t="s">
        <v>105</v>
      </c>
      <c r="J347" s="417" t="s">
        <v>166</v>
      </c>
      <c r="K347" s="304">
        <v>41000</v>
      </c>
      <c r="L347" s="304"/>
      <c r="M347" s="309" t="s">
        <v>115</v>
      </c>
      <c r="N347" s="417" t="s">
        <v>166</v>
      </c>
      <c r="O347" s="304">
        <v>41000</v>
      </c>
      <c r="P347" s="298"/>
      <c r="Q347" s="297"/>
      <c r="R347" s="429"/>
      <c r="S347" s="298"/>
      <c r="T347" s="298"/>
      <c r="U347" s="297"/>
      <c r="V347" s="429"/>
      <c r="W347" s="316"/>
    </row>
    <row r="348" spans="1:23" x14ac:dyDescent="0.2">
      <c r="A348" s="421"/>
      <c r="B348" s="346"/>
      <c r="C348" s="306">
        <f t="shared" si="48"/>
        <v>0</v>
      </c>
      <c r="D348" s="303"/>
      <c r="E348" s="412"/>
      <c r="F348" s="412"/>
      <c r="G348" s="304"/>
      <c r="H348" s="304"/>
      <c r="I348" s="307"/>
      <c r="J348" s="412"/>
      <c r="K348" s="308"/>
      <c r="L348" s="308"/>
      <c r="M348" s="297"/>
      <c r="N348" s="429"/>
      <c r="O348" s="298"/>
      <c r="P348" s="298"/>
      <c r="Q348" s="297"/>
      <c r="R348" s="429"/>
      <c r="S348" s="298"/>
      <c r="T348" s="298"/>
      <c r="U348" s="297"/>
      <c r="V348" s="429"/>
      <c r="W348" s="316"/>
    </row>
    <row r="349" spans="1:23" x14ac:dyDescent="0.2">
      <c r="A349" s="421"/>
      <c r="B349" s="346"/>
      <c r="C349" s="306">
        <f t="shared" si="48"/>
        <v>0</v>
      </c>
      <c r="D349" s="303"/>
      <c r="E349" s="412"/>
      <c r="F349" s="412"/>
      <c r="G349" s="304"/>
      <c r="H349" s="304"/>
      <c r="I349" s="307"/>
      <c r="J349" s="412"/>
      <c r="K349" s="308"/>
      <c r="L349" s="308"/>
      <c r="M349" s="297"/>
      <c r="N349" s="429"/>
      <c r="O349" s="298"/>
      <c r="P349" s="298"/>
      <c r="Q349" s="297"/>
      <c r="R349" s="429"/>
      <c r="S349" s="298"/>
      <c r="T349" s="298"/>
      <c r="U349" s="297"/>
      <c r="V349" s="429"/>
      <c r="W349" s="316"/>
    </row>
    <row r="350" spans="1:23" x14ac:dyDescent="0.2">
      <c r="A350" s="421"/>
      <c r="B350" s="346"/>
      <c r="C350" s="306">
        <f t="shared" si="48"/>
        <v>0</v>
      </c>
      <c r="D350" s="303"/>
      <c r="E350" s="412"/>
      <c r="F350" s="412"/>
      <c r="G350" s="304"/>
      <c r="H350" s="304"/>
      <c r="I350" s="309"/>
      <c r="J350" s="417"/>
      <c r="K350" s="304"/>
      <c r="L350" s="304"/>
      <c r="M350" s="297"/>
      <c r="N350" s="429"/>
      <c r="O350" s="298"/>
      <c r="P350" s="298"/>
      <c r="Q350" s="297"/>
      <c r="R350" s="429"/>
      <c r="S350" s="298"/>
      <c r="T350" s="298"/>
      <c r="U350" s="297"/>
      <c r="V350" s="429"/>
      <c r="W350" s="316"/>
    </row>
    <row r="351" spans="1:23" x14ac:dyDescent="0.2">
      <c r="A351" s="421">
        <f t="shared" ref="A351" si="51">A347+1</f>
        <v>45133</v>
      </c>
      <c r="B351" s="346" t="str">
        <f t="shared" ref="B351" si="52">IF(WEEKDAY(A351)=1,"CN","T"&amp;WEEKDAY(A351))</f>
        <v>T4</v>
      </c>
      <c r="C351" s="306">
        <f t="shared" si="48"/>
        <v>82000</v>
      </c>
      <c r="D351" s="303"/>
      <c r="E351" s="412"/>
      <c r="F351" s="412"/>
      <c r="G351" s="304"/>
      <c r="H351" s="304"/>
      <c r="I351" s="309" t="s">
        <v>105</v>
      </c>
      <c r="J351" s="417" t="s">
        <v>166</v>
      </c>
      <c r="K351" s="304">
        <v>41000</v>
      </c>
      <c r="L351" s="304"/>
      <c r="M351" s="309" t="s">
        <v>115</v>
      </c>
      <c r="N351" s="417" t="s">
        <v>166</v>
      </c>
      <c r="O351" s="304">
        <v>41000</v>
      </c>
      <c r="P351" s="298"/>
      <c r="Q351" s="297"/>
      <c r="R351" s="429"/>
      <c r="S351" s="298"/>
      <c r="T351" s="298"/>
      <c r="U351" s="297"/>
      <c r="V351" s="429"/>
      <c r="W351" s="316"/>
    </row>
    <row r="352" spans="1:23" x14ac:dyDescent="0.2">
      <c r="A352" s="421"/>
      <c r="B352" s="346"/>
      <c r="C352" s="306">
        <f t="shared" si="48"/>
        <v>0</v>
      </c>
      <c r="D352" s="303"/>
      <c r="E352" s="412"/>
      <c r="F352" s="412"/>
      <c r="G352" s="304"/>
      <c r="H352" s="304"/>
      <c r="I352" s="307"/>
      <c r="J352" s="412"/>
      <c r="K352" s="308"/>
      <c r="L352" s="308"/>
      <c r="M352" s="297"/>
      <c r="N352" s="429"/>
      <c r="O352" s="298"/>
      <c r="P352" s="298"/>
      <c r="Q352" s="297"/>
      <c r="R352" s="429"/>
      <c r="S352" s="298"/>
      <c r="T352" s="298"/>
      <c r="U352" s="297"/>
      <c r="V352" s="429"/>
      <c r="W352" s="316"/>
    </row>
    <row r="353" spans="1:23" x14ac:dyDescent="0.2">
      <c r="A353" s="421"/>
      <c r="B353" s="346"/>
      <c r="C353" s="306">
        <f t="shared" si="48"/>
        <v>0</v>
      </c>
      <c r="D353" s="303"/>
      <c r="E353" s="412"/>
      <c r="F353" s="412"/>
      <c r="G353" s="304"/>
      <c r="H353" s="304"/>
      <c r="I353" s="307"/>
      <c r="J353" s="412"/>
      <c r="K353" s="308"/>
      <c r="L353" s="308"/>
      <c r="M353" s="297"/>
      <c r="N353" s="429"/>
      <c r="O353" s="298"/>
      <c r="P353" s="298"/>
      <c r="Q353" s="297"/>
      <c r="R353" s="429"/>
      <c r="S353" s="298"/>
      <c r="T353" s="298"/>
      <c r="U353" s="297"/>
      <c r="V353" s="429"/>
      <c r="W353" s="316"/>
    </row>
    <row r="354" spans="1:23" x14ac:dyDescent="0.2">
      <c r="A354" s="421"/>
      <c r="B354" s="346"/>
      <c r="C354" s="306">
        <f t="shared" si="48"/>
        <v>0</v>
      </c>
      <c r="D354" s="303"/>
      <c r="E354" s="412"/>
      <c r="F354" s="412"/>
      <c r="G354" s="304"/>
      <c r="H354" s="304"/>
      <c r="I354" s="309"/>
      <c r="J354" s="417"/>
      <c r="K354" s="304"/>
      <c r="L354" s="304"/>
      <c r="M354" s="297"/>
      <c r="N354" s="429"/>
      <c r="O354" s="298"/>
      <c r="P354" s="298"/>
      <c r="Q354" s="297"/>
      <c r="R354" s="429"/>
      <c r="S354" s="298"/>
      <c r="T354" s="298"/>
      <c r="U354" s="297"/>
      <c r="V354" s="429"/>
      <c r="W354" s="316"/>
    </row>
    <row r="355" spans="1:23" x14ac:dyDescent="0.2">
      <c r="A355" s="421">
        <f t="shared" ref="A355" si="53">A351+1</f>
        <v>45134</v>
      </c>
      <c r="B355" s="346" t="str">
        <f t="shared" ref="B355" si="54">IF(WEEKDAY(A355)=1,"CN","T"&amp;WEEKDAY(A355))</f>
        <v>T5</v>
      </c>
      <c r="C355" s="306">
        <f t="shared" si="48"/>
        <v>82000</v>
      </c>
      <c r="D355" s="303"/>
      <c r="E355" s="412"/>
      <c r="F355" s="412"/>
      <c r="G355" s="304"/>
      <c r="H355" s="304"/>
      <c r="I355" s="309" t="s">
        <v>105</v>
      </c>
      <c r="J355" s="417" t="s">
        <v>166</v>
      </c>
      <c r="K355" s="304">
        <v>41000</v>
      </c>
      <c r="L355" s="304"/>
      <c r="M355" s="309" t="s">
        <v>115</v>
      </c>
      <c r="N355" s="417" t="s">
        <v>166</v>
      </c>
      <c r="O355" s="304">
        <v>41000</v>
      </c>
      <c r="P355" s="298"/>
      <c r="Q355" s="297"/>
      <c r="R355" s="429"/>
      <c r="S355" s="298"/>
      <c r="T355" s="298"/>
      <c r="U355" s="297"/>
      <c r="V355" s="429"/>
      <c r="W355" s="316"/>
    </row>
    <row r="356" spans="1:23" x14ac:dyDescent="0.2">
      <c r="A356" s="421"/>
      <c r="B356" s="346"/>
      <c r="C356" s="306">
        <f t="shared" si="48"/>
        <v>0</v>
      </c>
      <c r="D356" s="303"/>
      <c r="E356" s="412"/>
      <c r="F356" s="412"/>
      <c r="G356" s="304"/>
      <c r="H356" s="304"/>
      <c r="I356" s="307"/>
      <c r="J356" s="412"/>
      <c r="K356" s="308"/>
      <c r="L356" s="308"/>
      <c r="M356" s="297"/>
      <c r="N356" s="429"/>
      <c r="O356" s="298"/>
      <c r="P356" s="298"/>
      <c r="Q356" s="297"/>
      <c r="R356" s="429"/>
      <c r="S356" s="298"/>
      <c r="T356" s="298"/>
      <c r="U356" s="297"/>
      <c r="V356" s="429"/>
      <c r="W356" s="316"/>
    </row>
    <row r="357" spans="1:23" x14ac:dyDescent="0.2">
      <c r="A357" s="421"/>
      <c r="B357" s="346"/>
      <c r="C357" s="306">
        <f t="shared" si="48"/>
        <v>0</v>
      </c>
      <c r="D357" s="303"/>
      <c r="E357" s="412"/>
      <c r="F357" s="412"/>
      <c r="G357" s="304"/>
      <c r="H357" s="304"/>
      <c r="I357" s="307"/>
      <c r="J357" s="412"/>
      <c r="K357" s="308"/>
      <c r="L357" s="308"/>
      <c r="M357" s="297"/>
      <c r="N357" s="429"/>
      <c r="O357" s="298"/>
      <c r="P357" s="298"/>
      <c r="Q357" s="297"/>
      <c r="R357" s="429"/>
      <c r="S357" s="298"/>
      <c r="T357" s="298"/>
      <c r="U357" s="297"/>
      <c r="V357" s="429"/>
      <c r="W357" s="316"/>
    </row>
    <row r="358" spans="1:23" x14ac:dyDescent="0.2">
      <c r="A358" s="421"/>
      <c r="B358" s="346"/>
      <c r="C358" s="306">
        <f t="shared" si="48"/>
        <v>0</v>
      </c>
      <c r="D358" s="303"/>
      <c r="E358" s="412"/>
      <c r="F358" s="412"/>
      <c r="G358" s="304"/>
      <c r="H358" s="304"/>
      <c r="I358" s="309"/>
      <c r="J358" s="417"/>
      <c r="K358" s="304"/>
      <c r="L358" s="304"/>
      <c r="M358" s="297"/>
      <c r="N358" s="429"/>
      <c r="O358" s="298"/>
      <c r="P358" s="298"/>
      <c r="Q358" s="297"/>
      <c r="R358" s="429"/>
      <c r="S358" s="298"/>
      <c r="T358" s="298"/>
      <c r="U358" s="297"/>
      <c r="V358" s="429"/>
      <c r="W358" s="316"/>
    </row>
    <row r="359" spans="1:23" x14ac:dyDescent="0.2">
      <c r="A359" s="421">
        <f t="shared" ref="A359" si="55">A355+1</f>
        <v>45135</v>
      </c>
      <c r="B359" s="346" t="str">
        <f t="shared" ref="B359" si="56">IF(WEEKDAY(A359)=1,"CN","T"&amp;WEEKDAY(A359))</f>
        <v>T6</v>
      </c>
      <c r="C359" s="306">
        <f t="shared" si="48"/>
        <v>82000</v>
      </c>
      <c r="D359" s="303"/>
      <c r="E359" s="412"/>
      <c r="F359" s="412"/>
      <c r="G359" s="304"/>
      <c r="H359" s="304"/>
      <c r="I359" s="309" t="s">
        <v>105</v>
      </c>
      <c r="J359" s="417" t="s">
        <v>166</v>
      </c>
      <c r="K359" s="304">
        <v>41000</v>
      </c>
      <c r="L359" s="304"/>
      <c r="M359" s="309" t="s">
        <v>115</v>
      </c>
      <c r="N359" s="417" t="s">
        <v>166</v>
      </c>
      <c r="O359" s="304">
        <v>41000</v>
      </c>
      <c r="P359" s="298"/>
      <c r="Q359" s="297"/>
      <c r="R359" s="429"/>
      <c r="S359" s="298"/>
      <c r="T359" s="298"/>
      <c r="U359" s="297"/>
      <c r="V359" s="429"/>
      <c r="W359" s="316"/>
    </row>
    <row r="360" spans="1:23" x14ac:dyDescent="0.2">
      <c r="A360" s="421"/>
      <c r="B360" s="346"/>
      <c r="C360" s="306">
        <f t="shared" si="48"/>
        <v>0</v>
      </c>
      <c r="D360" s="303"/>
      <c r="E360" s="412"/>
      <c r="F360" s="412"/>
      <c r="G360" s="304"/>
      <c r="H360" s="304"/>
      <c r="I360" s="307"/>
      <c r="J360" s="412"/>
      <c r="K360" s="308"/>
      <c r="L360" s="308"/>
      <c r="M360" s="297"/>
      <c r="N360" s="429"/>
      <c r="O360" s="298"/>
      <c r="P360" s="298"/>
      <c r="Q360" s="297"/>
      <c r="R360" s="429"/>
      <c r="S360" s="298"/>
      <c r="T360" s="298"/>
      <c r="U360" s="297"/>
      <c r="V360" s="429"/>
      <c r="W360" s="316"/>
    </row>
    <row r="361" spans="1:23" x14ac:dyDescent="0.2">
      <c r="A361" s="421"/>
      <c r="B361" s="346"/>
      <c r="C361" s="306">
        <f t="shared" si="48"/>
        <v>0</v>
      </c>
      <c r="D361" s="303"/>
      <c r="E361" s="412"/>
      <c r="F361" s="412"/>
      <c r="G361" s="304"/>
      <c r="H361" s="304"/>
      <c r="I361" s="307"/>
      <c r="J361" s="412"/>
      <c r="K361" s="308"/>
      <c r="L361" s="308"/>
      <c r="M361" s="297"/>
      <c r="N361" s="429"/>
      <c r="O361" s="298"/>
      <c r="P361" s="298"/>
      <c r="Q361" s="297"/>
      <c r="R361" s="429"/>
      <c r="S361" s="298"/>
      <c r="T361" s="298"/>
      <c r="U361" s="297"/>
      <c r="V361" s="429"/>
      <c r="W361" s="316"/>
    </row>
    <row r="362" spans="1:23" x14ac:dyDescent="0.2">
      <c r="A362" s="421"/>
      <c r="B362" s="346"/>
      <c r="C362" s="306">
        <f t="shared" si="48"/>
        <v>0</v>
      </c>
      <c r="D362" s="303"/>
      <c r="E362" s="412"/>
      <c r="F362" s="412"/>
      <c r="G362" s="304"/>
      <c r="H362" s="304"/>
      <c r="I362" s="309"/>
      <c r="J362" s="417"/>
      <c r="K362" s="304"/>
      <c r="L362" s="304"/>
      <c r="M362" s="297"/>
      <c r="N362" s="429"/>
      <c r="O362" s="298"/>
      <c r="P362" s="298"/>
      <c r="Q362" s="297"/>
      <c r="R362" s="429"/>
      <c r="S362" s="298"/>
      <c r="T362" s="298"/>
      <c r="U362" s="297"/>
      <c r="V362" s="429"/>
      <c r="W362" s="316"/>
    </row>
    <row r="363" spans="1:23" x14ac:dyDescent="0.2">
      <c r="A363" s="421">
        <f t="shared" ref="A363" si="57">A359+1</f>
        <v>45136</v>
      </c>
      <c r="B363" s="346" t="str">
        <f t="shared" ref="B363" si="58">IF(WEEKDAY(A363)=1,"CN","T"&amp;WEEKDAY(A363))</f>
        <v>T7</v>
      </c>
      <c r="C363" s="306">
        <f t="shared" si="48"/>
        <v>82000</v>
      </c>
      <c r="D363" s="303"/>
      <c r="E363" s="412"/>
      <c r="F363" s="412"/>
      <c r="G363" s="304"/>
      <c r="H363" s="304"/>
      <c r="I363" s="309" t="s">
        <v>105</v>
      </c>
      <c r="J363" s="417" t="s">
        <v>166</v>
      </c>
      <c r="K363" s="304">
        <v>41000</v>
      </c>
      <c r="L363" s="304"/>
      <c r="M363" s="309" t="s">
        <v>115</v>
      </c>
      <c r="N363" s="417" t="s">
        <v>166</v>
      </c>
      <c r="O363" s="304">
        <v>41000</v>
      </c>
      <c r="P363" s="298"/>
      <c r="Q363" s="297"/>
      <c r="R363" s="429"/>
      <c r="S363" s="298"/>
      <c r="T363" s="298"/>
      <c r="U363" s="297"/>
      <c r="V363" s="429"/>
      <c r="W363" s="316"/>
    </row>
    <row r="364" spans="1:23" x14ac:dyDescent="0.2">
      <c r="A364" s="421"/>
      <c r="B364" s="346"/>
      <c r="C364" s="306">
        <f t="shared" si="48"/>
        <v>0</v>
      </c>
      <c r="D364" s="303"/>
      <c r="E364" s="412"/>
      <c r="F364" s="412"/>
      <c r="G364" s="304"/>
      <c r="H364" s="304"/>
      <c r="I364" s="307"/>
      <c r="J364" s="412"/>
      <c r="K364" s="308"/>
      <c r="L364" s="308"/>
      <c r="M364" s="297"/>
      <c r="N364" s="429"/>
      <c r="O364" s="298"/>
      <c r="P364" s="298"/>
      <c r="Q364" s="297"/>
      <c r="R364" s="429"/>
      <c r="S364" s="298"/>
      <c r="T364" s="298"/>
      <c r="U364" s="297"/>
      <c r="V364" s="429"/>
      <c r="W364" s="316"/>
    </row>
    <row r="365" spans="1:23" x14ac:dyDescent="0.2">
      <c r="A365" s="421"/>
      <c r="B365" s="346"/>
      <c r="C365" s="306">
        <f t="shared" si="48"/>
        <v>0</v>
      </c>
      <c r="D365" s="303"/>
      <c r="E365" s="412"/>
      <c r="F365" s="412"/>
      <c r="G365" s="304"/>
      <c r="H365" s="304"/>
      <c r="I365" s="307"/>
      <c r="J365" s="412"/>
      <c r="K365" s="308"/>
      <c r="L365" s="308"/>
      <c r="M365" s="297"/>
      <c r="N365" s="429"/>
      <c r="O365" s="298"/>
      <c r="P365" s="298"/>
      <c r="Q365" s="297"/>
      <c r="R365" s="429"/>
      <c r="S365" s="298"/>
      <c r="T365" s="298"/>
      <c r="U365" s="297"/>
      <c r="V365" s="429"/>
      <c r="W365" s="316"/>
    </row>
    <row r="366" spans="1:23" x14ac:dyDescent="0.2">
      <c r="A366" s="421"/>
      <c r="B366" s="346"/>
      <c r="C366" s="306">
        <f t="shared" si="48"/>
        <v>0</v>
      </c>
      <c r="D366" s="303"/>
      <c r="E366" s="412"/>
      <c r="F366" s="412"/>
      <c r="G366" s="304"/>
      <c r="H366" s="304"/>
      <c r="I366" s="309"/>
      <c r="J366" s="417"/>
      <c r="K366" s="304"/>
      <c r="L366" s="304"/>
      <c r="M366" s="297"/>
      <c r="N366" s="429"/>
      <c r="O366" s="298"/>
      <c r="P366" s="298"/>
      <c r="Q366" s="297"/>
      <c r="R366" s="429"/>
      <c r="S366" s="298"/>
      <c r="T366" s="298"/>
      <c r="U366" s="297"/>
      <c r="V366" s="429"/>
      <c r="W366" s="316"/>
    </row>
    <row r="367" spans="1:23" x14ac:dyDescent="0.2">
      <c r="A367" s="421">
        <f t="shared" ref="A367" si="59">A363+1</f>
        <v>45137</v>
      </c>
      <c r="B367" s="346" t="str">
        <f t="shared" ref="B367" si="60">IF(WEEKDAY(A367)=1,"CN","T"&amp;WEEKDAY(A367))</f>
        <v>CN</v>
      </c>
      <c r="C367" s="306">
        <f t="shared" si="48"/>
        <v>0</v>
      </c>
      <c r="D367" s="303"/>
      <c r="E367" s="412"/>
      <c r="F367" s="412"/>
      <c r="G367" s="304"/>
      <c r="H367" s="304"/>
      <c r="I367" s="309"/>
      <c r="J367" s="417"/>
      <c r="K367" s="304"/>
      <c r="L367" s="304"/>
      <c r="M367" s="297"/>
      <c r="N367" s="429"/>
      <c r="O367" s="298"/>
      <c r="P367" s="298"/>
      <c r="Q367" s="297"/>
      <c r="R367" s="429"/>
      <c r="S367" s="298"/>
      <c r="T367" s="298"/>
      <c r="U367" s="297"/>
      <c r="V367" s="429"/>
      <c r="W367" s="316"/>
    </row>
    <row r="368" spans="1:23" x14ac:dyDescent="0.2">
      <c r="A368" s="421"/>
      <c r="B368" s="346"/>
      <c r="C368" s="306">
        <f t="shared" si="48"/>
        <v>0</v>
      </c>
      <c r="D368" s="303"/>
      <c r="E368" s="412"/>
      <c r="F368" s="412"/>
      <c r="G368" s="304"/>
      <c r="H368" s="304"/>
      <c r="I368" s="307"/>
      <c r="J368" s="412"/>
      <c r="K368" s="308"/>
      <c r="L368" s="308"/>
      <c r="M368" s="297"/>
      <c r="N368" s="429"/>
      <c r="O368" s="298"/>
      <c r="P368" s="298"/>
      <c r="Q368" s="297"/>
      <c r="R368" s="429"/>
      <c r="S368" s="298"/>
      <c r="T368" s="298"/>
      <c r="U368" s="297"/>
      <c r="V368" s="429"/>
      <c r="W368" s="316"/>
    </row>
    <row r="369" spans="1:23" x14ac:dyDescent="0.2">
      <c r="A369" s="421"/>
      <c r="B369" s="346"/>
      <c r="C369" s="306">
        <f t="shared" si="48"/>
        <v>0</v>
      </c>
      <c r="D369" s="303"/>
      <c r="E369" s="412"/>
      <c r="F369" s="412"/>
      <c r="G369" s="304"/>
      <c r="H369" s="304"/>
      <c r="I369" s="307"/>
      <c r="J369" s="412"/>
      <c r="K369" s="308"/>
      <c r="L369" s="308"/>
      <c r="M369" s="297"/>
      <c r="N369" s="429"/>
      <c r="O369" s="298"/>
      <c r="P369" s="298"/>
      <c r="Q369" s="297"/>
      <c r="R369" s="429"/>
      <c r="S369" s="298"/>
      <c r="T369" s="298"/>
      <c r="U369" s="297"/>
      <c r="V369" s="429"/>
      <c r="W369" s="316"/>
    </row>
    <row r="370" spans="1:23" x14ac:dyDescent="0.2">
      <c r="A370" s="421"/>
      <c r="B370" s="346"/>
      <c r="C370" s="306">
        <f t="shared" si="48"/>
        <v>0</v>
      </c>
      <c r="D370" s="303"/>
      <c r="E370" s="412"/>
      <c r="F370" s="412"/>
      <c r="G370" s="304"/>
      <c r="H370" s="304"/>
      <c r="I370" s="309"/>
      <c r="J370" s="417"/>
      <c r="K370" s="304"/>
      <c r="L370" s="304"/>
      <c r="M370" s="297"/>
      <c r="N370" s="429"/>
      <c r="O370" s="298"/>
      <c r="P370" s="298"/>
      <c r="Q370" s="297"/>
      <c r="R370" s="429"/>
      <c r="S370" s="298"/>
      <c r="T370" s="298"/>
      <c r="U370" s="297"/>
      <c r="V370" s="429"/>
      <c r="W370" s="316"/>
    </row>
    <row r="371" spans="1:23" x14ac:dyDescent="0.2">
      <c r="A371" s="421">
        <f t="shared" ref="A371" si="61">A367+1</f>
        <v>45138</v>
      </c>
      <c r="B371" s="346" t="str">
        <f t="shared" ref="B371" si="62">IF(WEEKDAY(A371)=1,"CN","T"&amp;WEEKDAY(A371))</f>
        <v>T2</v>
      </c>
      <c r="C371" s="306">
        <f t="shared" si="48"/>
        <v>39000</v>
      </c>
      <c r="D371" s="303"/>
      <c r="E371" s="412"/>
      <c r="F371" s="412"/>
      <c r="G371" s="304"/>
      <c r="H371" s="304"/>
      <c r="I371" s="309" t="s">
        <v>105</v>
      </c>
      <c r="J371" s="417" t="s">
        <v>166</v>
      </c>
      <c r="K371" s="304">
        <v>16000</v>
      </c>
      <c r="L371" s="304"/>
      <c r="M371" s="309" t="s">
        <v>115</v>
      </c>
      <c r="N371" s="417" t="s">
        <v>166</v>
      </c>
      <c r="O371" s="304">
        <v>23000</v>
      </c>
      <c r="P371" s="298"/>
      <c r="Q371" s="297"/>
      <c r="R371" s="429"/>
      <c r="S371" s="298"/>
      <c r="T371" s="298"/>
      <c r="U371" s="297"/>
      <c r="V371" s="429"/>
      <c r="W371" s="316"/>
    </row>
    <row r="372" spans="1:23" x14ac:dyDescent="0.2">
      <c r="A372" s="421"/>
      <c r="B372" s="346"/>
      <c r="C372" s="306">
        <f t="shared" si="48"/>
        <v>43000</v>
      </c>
      <c r="D372" s="303"/>
      <c r="E372" s="412"/>
      <c r="F372" s="412"/>
      <c r="G372" s="304"/>
      <c r="H372" s="304"/>
      <c r="I372" s="297" t="s">
        <v>203</v>
      </c>
      <c r="J372" s="429" t="s">
        <v>166</v>
      </c>
      <c r="K372" s="298">
        <v>25000</v>
      </c>
      <c r="L372" s="298"/>
      <c r="M372" s="297" t="s">
        <v>203</v>
      </c>
      <c r="N372" s="429" t="s">
        <v>166</v>
      </c>
      <c r="O372" s="298">
        <v>18000</v>
      </c>
      <c r="P372" s="298"/>
      <c r="Q372" s="297"/>
      <c r="R372" s="429"/>
      <c r="S372" s="298"/>
      <c r="T372" s="298"/>
      <c r="U372" s="297"/>
      <c r="V372" s="429"/>
      <c r="W372" s="316"/>
    </row>
    <row r="373" spans="1:23" x14ac:dyDescent="0.2">
      <c r="A373" s="421"/>
      <c r="B373" s="346"/>
      <c r="C373" s="306">
        <f t="shared" si="48"/>
        <v>0</v>
      </c>
      <c r="D373" s="303"/>
      <c r="E373" s="412"/>
      <c r="F373" s="412"/>
      <c r="G373" s="304"/>
      <c r="H373" s="304"/>
      <c r="I373" s="297"/>
      <c r="J373" s="429"/>
      <c r="K373" s="298"/>
      <c r="L373" s="298"/>
      <c r="M373" s="297"/>
      <c r="N373" s="429"/>
      <c r="O373" s="298"/>
      <c r="P373" s="298"/>
      <c r="Q373" s="297"/>
      <c r="R373" s="429"/>
      <c r="S373" s="298"/>
      <c r="T373" s="298"/>
      <c r="U373" s="297"/>
      <c r="V373" s="429"/>
      <c r="W373" s="316"/>
    </row>
    <row r="374" spans="1:23" x14ac:dyDescent="0.2">
      <c r="A374" s="421"/>
      <c r="B374" s="346"/>
      <c r="C374" s="306">
        <f t="shared" si="48"/>
        <v>0</v>
      </c>
      <c r="D374" s="303"/>
      <c r="E374" s="412"/>
      <c r="F374" s="412"/>
      <c r="G374" s="304"/>
      <c r="H374" s="304"/>
      <c r="I374" s="297"/>
      <c r="J374" s="429"/>
      <c r="K374" s="298"/>
      <c r="L374" s="298"/>
      <c r="M374" s="297"/>
      <c r="N374" s="429"/>
      <c r="O374" s="298"/>
      <c r="P374" s="298"/>
      <c r="Q374" s="297"/>
      <c r="R374" s="429"/>
      <c r="S374" s="298"/>
      <c r="T374" s="298"/>
      <c r="U374" s="297"/>
      <c r="V374" s="429"/>
      <c r="W374" s="316"/>
    </row>
    <row r="375" spans="1:23" x14ac:dyDescent="0.2">
      <c r="A375" s="421">
        <f t="shared" ref="A375" si="63">A371+1</f>
        <v>45139</v>
      </c>
      <c r="B375" s="346" t="str">
        <f t="shared" ref="B375" si="64">IF(WEEKDAY(A375)=1,"CN","T"&amp;WEEKDAY(A375))</f>
        <v>T3</v>
      </c>
      <c r="C375" s="306">
        <f t="shared" si="48"/>
        <v>82000</v>
      </c>
      <c r="D375" s="303"/>
      <c r="E375" s="412"/>
      <c r="F375" s="412"/>
      <c r="G375" s="304"/>
      <c r="H375" s="304"/>
      <c r="I375" s="297" t="s">
        <v>203</v>
      </c>
      <c r="J375" s="429" t="s">
        <v>166</v>
      </c>
      <c r="K375" s="298">
        <v>41000</v>
      </c>
      <c r="L375" s="298"/>
      <c r="M375" s="297" t="s">
        <v>203</v>
      </c>
      <c r="N375" s="429" t="s">
        <v>166</v>
      </c>
      <c r="O375" s="298">
        <v>41000</v>
      </c>
      <c r="P375" s="298"/>
      <c r="Q375" s="297"/>
      <c r="R375" s="429"/>
      <c r="S375" s="298"/>
      <c r="T375" s="298"/>
      <c r="U375" s="297"/>
      <c r="V375" s="429"/>
      <c r="W375" s="316"/>
    </row>
    <row r="376" spans="1:23" x14ac:dyDescent="0.2">
      <c r="A376" s="421"/>
      <c r="B376" s="346"/>
      <c r="C376" s="306">
        <f t="shared" si="48"/>
        <v>0</v>
      </c>
      <c r="D376" s="303"/>
      <c r="E376" s="412"/>
      <c r="F376" s="412"/>
      <c r="G376" s="304"/>
      <c r="H376" s="304"/>
      <c r="I376" s="297"/>
      <c r="J376" s="429"/>
      <c r="K376" s="298"/>
      <c r="L376" s="298"/>
      <c r="M376" s="297"/>
      <c r="N376" s="429"/>
      <c r="O376" s="298"/>
      <c r="P376" s="298"/>
      <c r="Q376" s="297"/>
      <c r="R376" s="429"/>
      <c r="S376" s="298"/>
      <c r="T376" s="298"/>
      <c r="U376" s="297"/>
      <c r="V376" s="429"/>
      <c r="W376" s="316"/>
    </row>
    <row r="377" spans="1:23" x14ac:dyDescent="0.2">
      <c r="A377" s="421"/>
      <c r="B377" s="346"/>
      <c r="C377" s="306">
        <f t="shared" si="48"/>
        <v>0</v>
      </c>
      <c r="D377" s="303"/>
      <c r="E377" s="412"/>
      <c r="F377" s="412"/>
      <c r="G377" s="304"/>
      <c r="H377" s="304"/>
      <c r="I377" s="297"/>
      <c r="J377" s="429"/>
      <c r="K377" s="298"/>
      <c r="L377" s="298"/>
      <c r="M377" s="297"/>
      <c r="N377" s="429"/>
      <c r="O377" s="298"/>
      <c r="P377" s="298"/>
      <c r="Q377" s="297"/>
      <c r="R377" s="429"/>
      <c r="S377" s="298"/>
      <c r="T377" s="298"/>
      <c r="U377" s="297"/>
      <c r="V377" s="429"/>
      <c r="W377" s="316"/>
    </row>
    <row r="378" spans="1:23" x14ac:dyDescent="0.2">
      <c r="A378" s="421"/>
      <c r="B378" s="346"/>
      <c r="C378" s="306">
        <f t="shared" si="48"/>
        <v>0</v>
      </c>
      <c r="D378" s="303"/>
      <c r="E378" s="412"/>
      <c r="F378" s="412"/>
      <c r="G378" s="304"/>
      <c r="H378" s="304"/>
      <c r="I378" s="297"/>
      <c r="J378" s="429"/>
      <c r="K378" s="298"/>
      <c r="L378" s="298"/>
      <c r="M378" s="297"/>
      <c r="N378" s="429"/>
      <c r="O378" s="298"/>
      <c r="P378" s="298"/>
      <c r="Q378" s="297"/>
      <c r="R378" s="429"/>
      <c r="S378" s="298"/>
      <c r="T378" s="298"/>
      <c r="U378" s="297"/>
      <c r="V378" s="429"/>
      <c r="W378" s="316"/>
    </row>
    <row r="379" spans="1:23" x14ac:dyDescent="0.2">
      <c r="A379" s="421">
        <f t="shared" ref="A379" si="65">A375+1</f>
        <v>45140</v>
      </c>
      <c r="B379" s="346" t="str">
        <f t="shared" ref="B379" si="66">IF(WEEKDAY(A379)=1,"CN","T"&amp;WEEKDAY(A379))</f>
        <v>T4</v>
      </c>
      <c r="C379" s="306">
        <f t="shared" si="48"/>
        <v>82000</v>
      </c>
      <c r="D379" s="303"/>
      <c r="E379" s="412"/>
      <c r="F379" s="412"/>
      <c r="G379" s="304"/>
      <c r="H379" s="304"/>
      <c r="I379" s="297" t="s">
        <v>203</v>
      </c>
      <c r="J379" s="429" t="s">
        <v>166</v>
      </c>
      <c r="K379" s="298">
        <v>41000</v>
      </c>
      <c r="L379" s="298"/>
      <c r="M379" s="297" t="s">
        <v>203</v>
      </c>
      <c r="N379" s="429" t="s">
        <v>166</v>
      </c>
      <c r="O379" s="298">
        <v>41000</v>
      </c>
      <c r="P379" s="298"/>
      <c r="Q379" s="297"/>
      <c r="R379" s="429"/>
      <c r="S379" s="298"/>
      <c r="T379" s="298"/>
      <c r="U379" s="297"/>
      <c r="V379" s="429"/>
      <c r="W379" s="316"/>
    </row>
    <row r="380" spans="1:23" x14ac:dyDescent="0.2">
      <c r="A380" s="421"/>
      <c r="B380" s="346"/>
      <c r="C380" s="306">
        <f t="shared" si="48"/>
        <v>0</v>
      </c>
      <c r="D380" s="303"/>
      <c r="E380" s="412"/>
      <c r="F380" s="412"/>
      <c r="G380" s="304"/>
      <c r="H380" s="304"/>
      <c r="I380" s="297"/>
      <c r="J380" s="429"/>
      <c r="K380" s="298"/>
      <c r="L380" s="298"/>
      <c r="M380" s="297"/>
      <c r="N380" s="429"/>
      <c r="O380" s="298"/>
      <c r="P380" s="298"/>
      <c r="Q380" s="297"/>
      <c r="R380" s="429"/>
      <c r="S380" s="298"/>
      <c r="T380" s="298"/>
      <c r="U380" s="297"/>
      <c r="V380" s="429"/>
      <c r="W380" s="316"/>
    </row>
    <row r="381" spans="1:23" x14ac:dyDescent="0.2">
      <c r="A381" s="421"/>
      <c r="B381" s="346"/>
      <c r="C381" s="306">
        <f t="shared" si="48"/>
        <v>0</v>
      </c>
      <c r="D381" s="303"/>
      <c r="E381" s="412"/>
      <c r="F381" s="412"/>
      <c r="G381" s="304"/>
      <c r="H381" s="304"/>
      <c r="I381" s="297"/>
      <c r="J381" s="429"/>
      <c r="K381" s="298"/>
      <c r="L381" s="298"/>
      <c r="M381" s="297"/>
      <c r="N381" s="429"/>
      <c r="O381" s="298"/>
      <c r="P381" s="298"/>
      <c r="Q381" s="297"/>
      <c r="R381" s="429"/>
      <c r="S381" s="298"/>
      <c r="T381" s="298"/>
      <c r="U381" s="297"/>
      <c r="V381" s="429"/>
      <c r="W381" s="316"/>
    </row>
    <row r="382" spans="1:23" x14ac:dyDescent="0.2">
      <c r="A382" s="421"/>
      <c r="B382" s="346"/>
      <c r="C382" s="306">
        <f t="shared" si="48"/>
        <v>0</v>
      </c>
      <c r="D382" s="303"/>
      <c r="E382" s="412"/>
      <c r="F382" s="412"/>
      <c r="G382" s="304"/>
      <c r="H382" s="304"/>
      <c r="I382" s="297"/>
      <c r="J382" s="429"/>
      <c r="K382" s="298"/>
      <c r="L382" s="298"/>
      <c r="M382" s="297"/>
      <c r="N382" s="429"/>
      <c r="O382" s="298"/>
      <c r="P382" s="298"/>
      <c r="Q382" s="297"/>
      <c r="R382" s="429"/>
      <c r="S382" s="298"/>
      <c r="T382" s="298"/>
      <c r="U382" s="297"/>
      <c r="V382" s="429"/>
      <c r="W382" s="316"/>
    </row>
    <row r="383" spans="1:23" x14ac:dyDescent="0.2">
      <c r="A383" s="421">
        <f t="shared" ref="A383" si="67">A379+1</f>
        <v>45141</v>
      </c>
      <c r="B383" s="346" t="str">
        <f t="shared" ref="B383" si="68">IF(WEEKDAY(A383)=1,"CN","T"&amp;WEEKDAY(A383))</f>
        <v>T5</v>
      </c>
      <c r="C383" s="306">
        <f t="shared" si="48"/>
        <v>9000</v>
      </c>
      <c r="D383" s="303"/>
      <c r="E383" s="412"/>
      <c r="F383" s="412"/>
      <c r="G383" s="304"/>
      <c r="H383" s="304"/>
      <c r="I383" s="297" t="s">
        <v>203</v>
      </c>
      <c r="J383" s="429" t="s">
        <v>166</v>
      </c>
      <c r="K383" s="298">
        <v>9000</v>
      </c>
      <c r="L383" s="298"/>
      <c r="M383" s="297"/>
      <c r="N383" s="429"/>
      <c r="O383" s="298"/>
      <c r="P383" s="298"/>
      <c r="Q383" s="297"/>
      <c r="R383" s="429"/>
      <c r="S383" s="298"/>
      <c r="T383" s="298"/>
      <c r="U383" s="297"/>
      <c r="V383" s="429"/>
      <c r="W383" s="316"/>
    </row>
    <row r="384" spans="1:23" x14ac:dyDescent="0.2">
      <c r="A384" s="421"/>
      <c r="B384" s="346"/>
      <c r="C384" s="306">
        <f t="shared" si="48"/>
        <v>0</v>
      </c>
      <c r="D384" s="303"/>
      <c r="E384" s="412"/>
      <c r="F384" s="412"/>
      <c r="G384" s="304"/>
      <c r="H384" s="304"/>
      <c r="I384" s="297"/>
      <c r="J384" s="429"/>
      <c r="K384" s="298"/>
      <c r="L384" s="298"/>
      <c r="M384" s="297"/>
      <c r="N384" s="429"/>
      <c r="O384" s="298"/>
      <c r="P384" s="298"/>
      <c r="Q384" s="297"/>
      <c r="R384" s="429"/>
      <c r="S384" s="298"/>
      <c r="T384" s="298"/>
      <c r="U384" s="297"/>
      <c r="V384" s="429"/>
      <c r="W384" s="316"/>
    </row>
    <row r="385" spans="1:23" x14ac:dyDescent="0.2">
      <c r="A385" s="421"/>
      <c r="B385" s="346"/>
      <c r="C385" s="306">
        <f t="shared" si="48"/>
        <v>0</v>
      </c>
      <c r="D385" s="303"/>
      <c r="E385" s="412"/>
      <c r="F385" s="412"/>
      <c r="G385" s="304"/>
      <c r="H385" s="304"/>
      <c r="I385" s="297"/>
      <c r="J385" s="429"/>
      <c r="K385" s="298"/>
      <c r="L385" s="298"/>
      <c r="M385" s="297"/>
      <c r="N385" s="429"/>
      <c r="O385" s="298"/>
      <c r="P385" s="298"/>
      <c r="Q385" s="297"/>
      <c r="R385" s="429"/>
      <c r="S385" s="298"/>
      <c r="T385" s="298"/>
      <c r="U385" s="297"/>
      <c r="V385" s="429"/>
      <c r="W385" s="316"/>
    </row>
    <row r="386" spans="1:23" x14ac:dyDescent="0.2">
      <c r="A386" s="421"/>
      <c r="B386" s="346"/>
      <c r="C386" s="306">
        <f t="shared" si="48"/>
        <v>0</v>
      </c>
      <c r="D386" s="303"/>
      <c r="E386" s="412"/>
      <c r="F386" s="412"/>
      <c r="G386" s="304"/>
      <c r="H386" s="304"/>
      <c r="I386" s="297"/>
      <c r="J386" s="429"/>
      <c r="K386" s="298"/>
      <c r="L386" s="298"/>
      <c r="M386" s="297"/>
      <c r="N386" s="429"/>
      <c r="O386" s="298"/>
      <c r="P386" s="298"/>
      <c r="Q386" s="297"/>
      <c r="R386" s="429"/>
      <c r="S386" s="298"/>
      <c r="T386" s="298"/>
      <c r="U386" s="297"/>
      <c r="V386" s="429"/>
      <c r="W386" s="316"/>
    </row>
    <row r="387" spans="1:23" x14ac:dyDescent="0.2">
      <c r="A387" s="421">
        <f t="shared" ref="A387" si="69">A383+1</f>
        <v>45142</v>
      </c>
      <c r="B387" s="346" t="str">
        <f t="shared" ref="B387" si="70">IF(WEEKDAY(A387)=1,"CN","T"&amp;WEEKDAY(A387))</f>
        <v>T6</v>
      </c>
      <c r="C387" s="306">
        <f t="shared" si="48"/>
        <v>0</v>
      </c>
      <c r="D387" s="303"/>
      <c r="E387" s="412"/>
      <c r="F387" s="412"/>
      <c r="G387" s="304"/>
      <c r="H387" s="304"/>
      <c r="I387" s="297"/>
      <c r="J387" s="429"/>
      <c r="K387" s="298"/>
      <c r="L387" s="298"/>
      <c r="M387" s="297"/>
      <c r="N387" s="429"/>
      <c r="O387" s="298"/>
      <c r="P387" s="298"/>
      <c r="Q387" s="297"/>
      <c r="R387" s="429"/>
      <c r="S387" s="298"/>
      <c r="T387" s="298"/>
      <c r="U387" s="297"/>
      <c r="V387" s="429"/>
      <c r="W387" s="316"/>
    </row>
    <row r="388" spans="1:23" x14ac:dyDescent="0.2">
      <c r="A388" s="421"/>
      <c r="B388" s="346"/>
      <c r="C388" s="306">
        <f t="shared" si="48"/>
        <v>0</v>
      </c>
      <c r="D388" s="303"/>
      <c r="E388" s="412"/>
      <c r="F388" s="412"/>
      <c r="G388" s="304"/>
      <c r="H388" s="304"/>
      <c r="I388" s="297"/>
      <c r="J388" s="429"/>
      <c r="K388" s="298"/>
      <c r="L388" s="298"/>
      <c r="M388" s="297"/>
      <c r="N388" s="429"/>
      <c r="O388" s="298"/>
      <c r="P388" s="298"/>
      <c r="Q388" s="297"/>
      <c r="R388" s="429"/>
      <c r="S388" s="298"/>
      <c r="T388" s="298"/>
      <c r="U388" s="297"/>
      <c r="V388" s="429"/>
      <c r="W388" s="316"/>
    </row>
    <row r="389" spans="1:23" x14ac:dyDescent="0.2">
      <c r="A389" s="421"/>
      <c r="B389" s="346"/>
      <c r="C389" s="306">
        <f t="shared" si="48"/>
        <v>0</v>
      </c>
      <c r="D389" s="303"/>
      <c r="E389" s="412"/>
      <c r="F389" s="412"/>
      <c r="G389" s="304"/>
      <c r="H389" s="304"/>
      <c r="I389" s="297"/>
      <c r="J389" s="429"/>
      <c r="K389" s="298"/>
      <c r="L389" s="298"/>
      <c r="M389" s="297"/>
      <c r="N389" s="429"/>
      <c r="O389" s="298"/>
      <c r="P389" s="298"/>
      <c r="Q389" s="297"/>
      <c r="R389" s="429"/>
      <c r="S389" s="298"/>
      <c r="T389" s="298"/>
      <c r="U389" s="297"/>
      <c r="V389" s="429"/>
      <c r="W389" s="316"/>
    </row>
    <row r="390" spans="1:23" x14ac:dyDescent="0.2">
      <c r="A390" s="421"/>
      <c r="B390" s="346"/>
      <c r="C390" s="306">
        <f t="shared" si="48"/>
        <v>0</v>
      </c>
      <c r="D390" s="303"/>
      <c r="E390" s="412"/>
      <c r="F390" s="412"/>
      <c r="G390" s="304"/>
      <c r="H390" s="304"/>
      <c r="I390" s="297"/>
      <c r="J390" s="429"/>
      <c r="K390" s="298"/>
      <c r="L390" s="298"/>
      <c r="M390" s="297"/>
      <c r="N390" s="429"/>
      <c r="O390" s="298"/>
      <c r="P390" s="298"/>
      <c r="Q390" s="297"/>
      <c r="R390" s="429"/>
      <c r="S390" s="298"/>
      <c r="T390" s="298"/>
      <c r="U390" s="297"/>
      <c r="V390" s="429"/>
      <c r="W390" s="316"/>
    </row>
    <row r="391" spans="1:23" x14ac:dyDescent="0.2">
      <c r="A391" s="421">
        <f t="shared" ref="A391" si="71">A387+1</f>
        <v>45143</v>
      </c>
      <c r="B391" s="346" t="str">
        <f t="shared" ref="B391" si="72">IF(WEEKDAY(A391)=1,"CN","T"&amp;WEEKDAY(A391))</f>
        <v>T7</v>
      </c>
      <c r="C391" s="306">
        <f t="shared" si="48"/>
        <v>0</v>
      </c>
      <c r="D391" s="303"/>
      <c r="E391" s="412"/>
      <c r="F391" s="412"/>
      <c r="G391" s="304"/>
      <c r="H391" s="304"/>
      <c r="I391" s="297"/>
      <c r="J391" s="429"/>
      <c r="K391" s="298"/>
      <c r="L391" s="298"/>
      <c r="M391" s="297"/>
      <c r="N391" s="429"/>
      <c r="O391" s="298"/>
      <c r="P391" s="298"/>
      <c r="Q391" s="297"/>
      <c r="R391" s="429"/>
      <c r="S391" s="298"/>
      <c r="T391" s="298"/>
      <c r="U391" s="297"/>
      <c r="V391" s="429"/>
      <c r="W391" s="316"/>
    </row>
    <row r="392" spans="1:23" x14ac:dyDescent="0.2">
      <c r="A392" s="421"/>
      <c r="B392" s="346"/>
      <c r="C392" s="306">
        <f t="shared" si="48"/>
        <v>0</v>
      </c>
      <c r="D392" s="303"/>
      <c r="E392" s="412"/>
      <c r="F392" s="412"/>
      <c r="G392" s="304"/>
      <c r="H392" s="304"/>
      <c r="I392" s="297"/>
      <c r="J392" s="429"/>
      <c r="K392" s="298"/>
      <c r="L392" s="298"/>
      <c r="M392" s="297"/>
      <c r="N392" s="429"/>
      <c r="O392" s="298"/>
      <c r="P392" s="298"/>
      <c r="Q392" s="297"/>
      <c r="R392" s="429"/>
      <c r="S392" s="298"/>
      <c r="T392" s="298"/>
      <c r="U392" s="297"/>
      <c r="V392" s="429"/>
      <c r="W392" s="316"/>
    </row>
    <row r="393" spans="1:23" x14ac:dyDescent="0.2">
      <c r="A393" s="421"/>
      <c r="B393" s="346"/>
      <c r="C393" s="306">
        <f t="shared" si="48"/>
        <v>0</v>
      </c>
      <c r="D393" s="303"/>
      <c r="E393" s="412"/>
      <c r="F393" s="412"/>
      <c r="G393" s="304"/>
      <c r="H393" s="304"/>
      <c r="I393" s="297"/>
      <c r="J393" s="429"/>
      <c r="K393" s="298"/>
      <c r="L393" s="298"/>
      <c r="M393" s="297"/>
      <c r="N393" s="429"/>
      <c r="O393" s="298"/>
      <c r="P393" s="298"/>
      <c r="Q393" s="297"/>
      <c r="R393" s="429"/>
      <c r="S393" s="298"/>
      <c r="T393" s="298"/>
      <c r="U393" s="297"/>
      <c r="V393" s="429"/>
      <c r="W393" s="316"/>
    </row>
    <row r="394" spans="1:23" x14ac:dyDescent="0.2">
      <c r="A394" s="421"/>
      <c r="B394" s="346"/>
      <c r="C394" s="306">
        <f t="shared" si="48"/>
        <v>0</v>
      </c>
      <c r="D394" s="303"/>
      <c r="E394" s="412"/>
      <c r="F394" s="412"/>
      <c r="G394" s="304"/>
      <c r="H394" s="304"/>
      <c r="I394" s="297"/>
      <c r="J394" s="429"/>
      <c r="K394" s="298"/>
      <c r="L394" s="298"/>
      <c r="M394" s="297"/>
      <c r="N394" s="429"/>
      <c r="O394" s="298"/>
      <c r="P394" s="298"/>
      <c r="Q394" s="297"/>
      <c r="R394" s="429"/>
      <c r="S394" s="298"/>
      <c r="T394" s="298"/>
      <c r="U394" s="297"/>
      <c r="V394" s="429"/>
      <c r="W394" s="316"/>
    </row>
    <row r="395" spans="1:23" x14ac:dyDescent="0.2">
      <c r="A395" s="421">
        <f t="shared" ref="A395" si="73">A391+1</f>
        <v>45144</v>
      </c>
      <c r="B395" s="346" t="str">
        <f t="shared" ref="B395" si="74">IF(WEEKDAY(A395)=1,"CN","T"&amp;WEEKDAY(A395))</f>
        <v>CN</v>
      </c>
      <c r="C395" s="306">
        <f t="shared" si="48"/>
        <v>0</v>
      </c>
      <c r="D395" s="303"/>
      <c r="E395" s="412"/>
      <c r="F395" s="412"/>
      <c r="G395" s="304"/>
      <c r="H395" s="304"/>
      <c r="I395" s="297"/>
      <c r="J395" s="429"/>
      <c r="K395" s="298"/>
      <c r="L395" s="298"/>
      <c r="M395" s="297"/>
      <c r="N395" s="429"/>
      <c r="O395" s="298"/>
      <c r="P395" s="298"/>
      <c r="Q395" s="297"/>
      <c r="R395" s="429"/>
      <c r="S395" s="298"/>
      <c r="T395" s="298"/>
      <c r="U395" s="297"/>
      <c r="V395" s="429"/>
      <c r="W395" s="316"/>
    </row>
    <row r="396" spans="1:23" x14ac:dyDescent="0.2">
      <c r="A396" s="421"/>
      <c r="B396" s="346"/>
      <c r="C396" s="306">
        <f t="shared" si="48"/>
        <v>0</v>
      </c>
      <c r="D396" s="303"/>
      <c r="E396" s="412"/>
      <c r="F396" s="412"/>
      <c r="G396" s="304"/>
      <c r="H396" s="304"/>
      <c r="I396" s="297"/>
      <c r="J396" s="429"/>
      <c r="K396" s="298"/>
      <c r="L396" s="298"/>
      <c r="M396" s="297"/>
      <c r="N396" s="429"/>
      <c r="O396" s="298"/>
      <c r="P396" s="298"/>
      <c r="Q396" s="297"/>
      <c r="R396" s="429"/>
      <c r="S396" s="298"/>
      <c r="T396" s="298"/>
      <c r="U396" s="297"/>
      <c r="V396" s="429"/>
      <c r="W396" s="316"/>
    </row>
    <row r="397" spans="1:23" x14ac:dyDescent="0.2">
      <c r="A397" s="421"/>
      <c r="B397" s="346"/>
      <c r="C397" s="306">
        <f t="shared" si="48"/>
        <v>0</v>
      </c>
      <c r="D397" s="303"/>
      <c r="E397" s="412"/>
      <c r="F397" s="412"/>
      <c r="G397" s="304"/>
      <c r="H397" s="304"/>
      <c r="I397" s="297"/>
      <c r="J397" s="429"/>
      <c r="K397" s="298"/>
      <c r="L397" s="298"/>
      <c r="M397" s="297"/>
      <c r="N397" s="429"/>
      <c r="O397" s="298"/>
      <c r="P397" s="298"/>
      <c r="Q397" s="297"/>
      <c r="R397" s="429"/>
      <c r="S397" s="298"/>
      <c r="T397" s="298"/>
      <c r="U397" s="297"/>
      <c r="V397" s="429"/>
      <c r="W397" s="316"/>
    </row>
    <row r="398" spans="1:23" x14ac:dyDescent="0.2">
      <c r="A398" s="421"/>
      <c r="B398" s="346"/>
      <c r="C398" s="306">
        <f t="shared" si="48"/>
        <v>0</v>
      </c>
      <c r="D398" s="303"/>
      <c r="E398" s="412"/>
      <c r="F398" s="412"/>
      <c r="G398" s="304"/>
      <c r="H398" s="304"/>
      <c r="I398" s="297"/>
      <c r="J398" s="429"/>
      <c r="K398" s="298"/>
      <c r="L398" s="298"/>
      <c r="M398" s="297"/>
      <c r="N398" s="429"/>
      <c r="O398" s="298"/>
      <c r="P398" s="298"/>
      <c r="Q398" s="297"/>
      <c r="R398" s="429"/>
      <c r="S398" s="298"/>
      <c r="T398" s="298"/>
      <c r="U398" s="297"/>
      <c r="V398" s="429"/>
      <c r="W398" s="316"/>
    </row>
    <row r="399" spans="1:23" x14ac:dyDescent="0.2">
      <c r="A399" s="421">
        <f t="shared" ref="A399" si="75">A395+1</f>
        <v>45145</v>
      </c>
      <c r="B399" s="346" t="str">
        <f t="shared" ref="B399" si="76">IF(WEEKDAY(A399)=1,"CN","T"&amp;WEEKDAY(A399))</f>
        <v>T2</v>
      </c>
      <c r="C399" s="306">
        <f t="shared" si="48"/>
        <v>0</v>
      </c>
      <c r="D399" s="303"/>
      <c r="E399" s="412"/>
      <c r="F399" s="412"/>
      <c r="G399" s="304"/>
      <c r="H399" s="304"/>
      <c r="I399" s="297"/>
      <c r="J399" s="429"/>
      <c r="K399" s="298"/>
      <c r="L399" s="298"/>
      <c r="M399" s="297"/>
      <c r="N399" s="429"/>
      <c r="O399" s="298"/>
      <c r="P399" s="298"/>
      <c r="Q399" s="297"/>
      <c r="R399" s="429"/>
      <c r="S399" s="298"/>
      <c r="T399" s="298"/>
      <c r="U399" s="297"/>
      <c r="V399" s="429"/>
      <c r="W399" s="316"/>
    </row>
    <row r="400" spans="1:23" x14ac:dyDescent="0.2">
      <c r="A400" s="421"/>
      <c r="B400" s="346"/>
      <c r="C400" s="306">
        <f t="shared" si="48"/>
        <v>0</v>
      </c>
      <c r="D400" s="303"/>
      <c r="E400" s="412"/>
      <c r="F400" s="412"/>
      <c r="G400" s="304"/>
      <c r="H400" s="304"/>
      <c r="I400" s="297"/>
      <c r="J400" s="429"/>
      <c r="K400" s="298"/>
      <c r="L400" s="298"/>
      <c r="M400" s="297"/>
      <c r="N400" s="429"/>
      <c r="O400" s="298"/>
      <c r="P400" s="298"/>
      <c r="Q400" s="297"/>
      <c r="R400" s="429"/>
      <c r="S400" s="298"/>
      <c r="T400" s="298"/>
      <c r="U400" s="297"/>
      <c r="V400" s="429"/>
      <c r="W400" s="316"/>
    </row>
    <row r="401" spans="1:23" x14ac:dyDescent="0.2">
      <c r="A401" s="421"/>
      <c r="B401" s="346"/>
      <c r="C401" s="306">
        <f t="shared" si="48"/>
        <v>0</v>
      </c>
      <c r="D401" s="303"/>
      <c r="E401" s="412"/>
      <c r="F401" s="412"/>
      <c r="G401" s="304"/>
      <c r="H401" s="304"/>
      <c r="I401" s="297"/>
      <c r="J401" s="429"/>
      <c r="K401" s="298"/>
      <c r="L401" s="298"/>
      <c r="M401" s="297"/>
      <c r="N401" s="429"/>
      <c r="O401" s="298"/>
      <c r="P401" s="298"/>
      <c r="Q401" s="297"/>
      <c r="R401" s="429"/>
      <c r="S401" s="298"/>
      <c r="T401" s="298"/>
      <c r="U401" s="297"/>
      <c r="V401" s="429"/>
      <c r="W401" s="316"/>
    </row>
    <row r="402" spans="1:23" x14ac:dyDescent="0.2">
      <c r="A402" s="421"/>
      <c r="B402" s="346"/>
      <c r="C402" s="306">
        <f t="shared" si="48"/>
        <v>0</v>
      </c>
      <c r="D402" s="303"/>
      <c r="E402" s="412"/>
      <c r="F402" s="412"/>
      <c r="G402" s="304"/>
      <c r="H402" s="304"/>
      <c r="I402" s="297"/>
      <c r="J402" s="429"/>
      <c r="K402" s="298"/>
      <c r="L402" s="298"/>
      <c r="M402" s="297"/>
      <c r="N402" s="429"/>
      <c r="O402" s="298"/>
      <c r="P402" s="298"/>
      <c r="Q402" s="297"/>
      <c r="R402" s="429"/>
      <c r="S402" s="298"/>
      <c r="T402" s="298"/>
      <c r="U402" s="297"/>
      <c r="V402" s="429"/>
      <c r="W402" s="316"/>
    </row>
    <row r="403" spans="1:23" x14ac:dyDescent="0.2">
      <c r="A403" s="421">
        <f t="shared" ref="A403" si="77">A399+1</f>
        <v>45146</v>
      </c>
      <c r="B403" s="346" t="str">
        <f t="shared" ref="B403" si="78">IF(WEEKDAY(A403)=1,"CN","T"&amp;WEEKDAY(A403))</f>
        <v>T3</v>
      </c>
      <c r="C403" s="306">
        <f t="shared" si="48"/>
        <v>0</v>
      </c>
      <c r="D403" s="303"/>
      <c r="E403" s="412"/>
      <c r="F403" s="412"/>
      <c r="G403" s="304"/>
      <c r="H403" s="304"/>
      <c r="I403" s="297"/>
      <c r="J403" s="429"/>
      <c r="K403" s="298"/>
      <c r="L403" s="298"/>
      <c r="M403" s="297"/>
      <c r="N403" s="429"/>
      <c r="O403" s="298"/>
      <c r="P403" s="298"/>
      <c r="Q403" s="297"/>
      <c r="R403" s="429"/>
      <c r="S403" s="298"/>
      <c r="T403" s="298"/>
      <c r="U403" s="297"/>
      <c r="V403" s="429"/>
      <c r="W403" s="316"/>
    </row>
    <row r="404" spans="1:23" x14ac:dyDescent="0.2">
      <c r="A404" s="421"/>
      <c r="B404" s="346"/>
      <c r="C404" s="306">
        <f t="shared" si="48"/>
        <v>0</v>
      </c>
      <c r="D404" s="303"/>
      <c r="E404" s="412"/>
      <c r="F404" s="412"/>
      <c r="G404" s="304"/>
      <c r="H404" s="304"/>
      <c r="I404" s="297"/>
      <c r="J404" s="429"/>
      <c r="K404" s="298"/>
      <c r="L404" s="298"/>
      <c r="M404" s="297"/>
      <c r="N404" s="429"/>
      <c r="O404" s="298"/>
      <c r="P404" s="298"/>
      <c r="Q404" s="297"/>
      <c r="R404" s="429"/>
      <c r="S404" s="298"/>
      <c r="T404" s="298"/>
      <c r="U404" s="297"/>
      <c r="V404" s="429"/>
      <c r="W404" s="316"/>
    </row>
    <row r="405" spans="1:23" x14ac:dyDescent="0.2">
      <c r="A405" s="421"/>
      <c r="B405" s="346"/>
      <c r="C405" s="306">
        <f t="shared" si="48"/>
        <v>0</v>
      </c>
      <c r="D405" s="303"/>
      <c r="E405" s="412"/>
      <c r="F405" s="412"/>
      <c r="G405" s="304"/>
      <c r="H405" s="304"/>
      <c r="I405" s="297"/>
      <c r="J405" s="429"/>
      <c r="K405" s="298"/>
      <c r="L405" s="298"/>
      <c r="M405" s="297"/>
      <c r="N405" s="429"/>
      <c r="O405" s="298"/>
      <c r="P405" s="298"/>
      <c r="Q405" s="297"/>
      <c r="R405" s="429"/>
      <c r="S405" s="298"/>
      <c r="T405" s="298"/>
      <c r="U405" s="297"/>
      <c r="V405" s="429"/>
      <c r="W405" s="316"/>
    </row>
    <row r="406" spans="1:23" x14ac:dyDescent="0.2">
      <c r="A406" s="421"/>
      <c r="B406" s="346"/>
      <c r="C406" s="306">
        <f t="shared" si="48"/>
        <v>0</v>
      </c>
      <c r="D406" s="303"/>
      <c r="E406" s="412"/>
      <c r="F406" s="412"/>
      <c r="G406" s="304"/>
      <c r="H406" s="304"/>
      <c r="I406" s="297"/>
      <c r="J406" s="429"/>
      <c r="K406" s="298"/>
      <c r="L406" s="298"/>
      <c r="M406" s="297"/>
      <c r="N406" s="429"/>
      <c r="O406" s="298"/>
      <c r="P406" s="298"/>
      <c r="Q406" s="297"/>
      <c r="R406" s="429"/>
      <c r="S406" s="298"/>
      <c r="T406" s="298"/>
      <c r="U406" s="297"/>
      <c r="V406" s="429"/>
      <c r="W406" s="316"/>
    </row>
    <row r="407" spans="1:23" x14ac:dyDescent="0.2">
      <c r="A407" s="421">
        <f t="shared" ref="A407" si="79">A403+1</f>
        <v>45147</v>
      </c>
      <c r="B407" s="346" t="str">
        <f t="shared" ref="B407" si="80">IF(WEEKDAY(A407)=1,"CN","T"&amp;WEEKDAY(A407))</f>
        <v>T4</v>
      </c>
      <c r="C407" s="306">
        <f t="shared" si="48"/>
        <v>0</v>
      </c>
      <c r="D407" s="303"/>
      <c r="E407" s="412"/>
      <c r="F407" s="412"/>
      <c r="G407" s="304"/>
      <c r="H407" s="304"/>
      <c r="I407" s="297"/>
      <c r="J407" s="429"/>
      <c r="K407" s="298"/>
      <c r="L407" s="298"/>
      <c r="M407" s="297"/>
      <c r="N407" s="429"/>
      <c r="O407" s="298"/>
      <c r="P407" s="298"/>
      <c r="Q407" s="297"/>
      <c r="R407" s="429"/>
      <c r="S407" s="298"/>
      <c r="T407" s="298"/>
      <c r="U407" s="297"/>
      <c r="V407" s="429"/>
      <c r="W407" s="316"/>
    </row>
    <row r="408" spans="1:23" x14ac:dyDescent="0.2">
      <c r="A408" s="421"/>
      <c r="B408" s="346"/>
      <c r="C408" s="306">
        <f t="shared" ref="C408:C446" si="81">SUM(D408:S408)</f>
        <v>0</v>
      </c>
      <c r="D408" s="303"/>
      <c r="E408" s="412"/>
      <c r="F408" s="412"/>
      <c r="G408" s="304"/>
      <c r="H408" s="304"/>
      <c r="I408" s="297"/>
      <c r="J408" s="429"/>
      <c r="K408" s="298"/>
      <c r="L408" s="298"/>
      <c r="M408" s="297"/>
      <c r="N408" s="429"/>
      <c r="O408" s="298"/>
      <c r="P408" s="298"/>
      <c r="Q408" s="297"/>
      <c r="R408" s="429"/>
      <c r="S408" s="298"/>
      <c r="T408" s="298"/>
      <c r="U408" s="297"/>
      <c r="V408" s="429"/>
      <c r="W408" s="316"/>
    </row>
    <row r="409" spans="1:23" x14ac:dyDescent="0.2">
      <c r="A409" s="421"/>
      <c r="B409" s="346"/>
      <c r="C409" s="306">
        <f t="shared" si="81"/>
        <v>0</v>
      </c>
      <c r="D409" s="303"/>
      <c r="E409" s="412"/>
      <c r="F409" s="412"/>
      <c r="G409" s="304"/>
      <c r="H409" s="304"/>
      <c r="I409" s="297"/>
      <c r="J409" s="429"/>
      <c r="K409" s="298"/>
      <c r="L409" s="298"/>
      <c r="M409" s="297"/>
      <c r="N409" s="429"/>
      <c r="O409" s="298"/>
      <c r="P409" s="298"/>
      <c r="Q409" s="297"/>
      <c r="R409" s="429"/>
      <c r="S409" s="298"/>
      <c r="T409" s="298"/>
      <c r="U409" s="297"/>
      <c r="V409" s="429"/>
      <c r="W409" s="316"/>
    </row>
    <row r="410" spans="1:23" x14ac:dyDescent="0.2">
      <c r="A410" s="421"/>
      <c r="B410" s="346"/>
      <c r="C410" s="306">
        <f t="shared" si="81"/>
        <v>0</v>
      </c>
      <c r="D410" s="303"/>
      <c r="E410" s="412"/>
      <c r="F410" s="412"/>
      <c r="G410" s="304"/>
      <c r="H410" s="304"/>
      <c r="I410" s="297"/>
      <c r="J410" s="429"/>
      <c r="K410" s="298"/>
      <c r="L410" s="298"/>
      <c r="M410" s="297"/>
      <c r="N410" s="429"/>
      <c r="O410" s="298"/>
      <c r="P410" s="298"/>
      <c r="Q410" s="297"/>
      <c r="R410" s="429"/>
      <c r="S410" s="298"/>
      <c r="T410" s="298"/>
      <c r="U410" s="297"/>
      <c r="V410" s="429"/>
      <c r="W410" s="316"/>
    </row>
    <row r="411" spans="1:23" x14ac:dyDescent="0.2">
      <c r="A411" s="421">
        <f t="shared" ref="A411" si="82">A407+1</f>
        <v>45148</v>
      </c>
      <c r="B411" s="346" t="str">
        <f t="shared" ref="B411" si="83">IF(WEEKDAY(A411)=1,"CN","T"&amp;WEEKDAY(A411))</f>
        <v>T5</v>
      </c>
      <c r="C411" s="306">
        <f t="shared" si="81"/>
        <v>0</v>
      </c>
      <c r="D411" s="303"/>
      <c r="E411" s="412"/>
      <c r="F411" s="412"/>
      <c r="G411" s="304"/>
      <c r="H411" s="304"/>
      <c r="I411" s="297"/>
      <c r="J411" s="429"/>
      <c r="K411" s="298"/>
      <c r="L411" s="298"/>
      <c r="M411" s="297"/>
      <c r="N411" s="429"/>
      <c r="O411" s="298"/>
      <c r="P411" s="298"/>
      <c r="Q411" s="297"/>
      <c r="R411" s="429"/>
      <c r="S411" s="298"/>
      <c r="T411" s="298"/>
      <c r="U411" s="297"/>
      <c r="V411" s="429"/>
      <c r="W411" s="316"/>
    </row>
    <row r="412" spans="1:23" x14ac:dyDescent="0.2">
      <c r="A412" s="421"/>
      <c r="B412" s="346"/>
      <c r="C412" s="306">
        <f t="shared" si="81"/>
        <v>0</v>
      </c>
      <c r="D412" s="303"/>
      <c r="E412" s="412"/>
      <c r="F412" s="412"/>
      <c r="G412" s="304"/>
      <c r="H412" s="304"/>
      <c r="I412" s="297"/>
      <c r="J412" s="429"/>
      <c r="K412" s="298"/>
      <c r="L412" s="298"/>
      <c r="M412" s="297"/>
      <c r="N412" s="429"/>
      <c r="O412" s="298"/>
      <c r="P412" s="298"/>
      <c r="Q412" s="297"/>
      <c r="R412" s="429"/>
      <c r="S412" s="298"/>
      <c r="T412" s="298"/>
      <c r="U412" s="297"/>
      <c r="V412" s="429"/>
      <c r="W412" s="316"/>
    </row>
    <row r="413" spans="1:23" x14ac:dyDescent="0.2">
      <c r="A413" s="421"/>
      <c r="B413" s="346"/>
      <c r="C413" s="306">
        <f t="shared" si="81"/>
        <v>0</v>
      </c>
      <c r="D413" s="303"/>
      <c r="E413" s="412"/>
      <c r="F413" s="412"/>
      <c r="G413" s="304"/>
      <c r="H413" s="304"/>
      <c r="I413" s="297"/>
      <c r="J413" s="429"/>
      <c r="K413" s="298"/>
      <c r="L413" s="298"/>
      <c r="M413" s="297"/>
      <c r="N413" s="429"/>
      <c r="O413" s="298"/>
      <c r="P413" s="298"/>
      <c r="Q413" s="297"/>
      <c r="R413" s="429"/>
      <c r="S413" s="298"/>
      <c r="T413" s="298"/>
      <c r="U413" s="297"/>
      <c r="V413" s="429"/>
      <c r="W413" s="316"/>
    </row>
    <row r="414" spans="1:23" x14ac:dyDescent="0.2">
      <c r="A414" s="421"/>
      <c r="B414" s="346"/>
      <c r="C414" s="306">
        <f t="shared" si="81"/>
        <v>0</v>
      </c>
      <c r="D414" s="303"/>
      <c r="E414" s="412"/>
      <c r="F414" s="412"/>
      <c r="G414" s="304"/>
      <c r="H414" s="304"/>
      <c r="I414" s="297"/>
      <c r="J414" s="429"/>
      <c r="K414" s="298"/>
      <c r="L414" s="298"/>
      <c r="M414" s="297"/>
      <c r="N414" s="429"/>
      <c r="O414" s="298"/>
      <c r="P414" s="298"/>
      <c r="Q414" s="297"/>
      <c r="R414" s="429"/>
      <c r="S414" s="298"/>
      <c r="T414" s="298"/>
      <c r="U414" s="297"/>
      <c r="V414" s="429"/>
      <c r="W414" s="316"/>
    </row>
    <row r="415" spans="1:23" x14ac:dyDescent="0.2">
      <c r="A415" s="421">
        <f t="shared" ref="A415" si="84">A411+1</f>
        <v>45149</v>
      </c>
      <c r="B415" s="346" t="str">
        <f t="shared" ref="B415" si="85">IF(WEEKDAY(A415)=1,"CN","T"&amp;WEEKDAY(A415))</f>
        <v>T6</v>
      </c>
      <c r="C415" s="306">
        <f t="shared" si="81"/>
        <v>0</v>
      </c>
      <c r="D415" s="303"/>
      <c r="E415" s="412"/>
      <c r="F415" s="412"/>
      <c r="G415" s="304"/>
      <c r="H415" s="304"/>
      <c r="I415" s="297"/>
      <c r="J415" s="429"/>
      <c r="K415" s="298"/>
      <c r="L415" s="298"/>
      <c r="M415" s="297"/>
      <c r="N415" s="429"/>
      <c r="O415" s="298"/>
      <c r="P415" s="298"/>
      <c r="Q415" s="297"/>
      <c r="R415" s="429"/>
      <c r="S415" s="298"/>
      <c r="T415" s="298"/>
      <c r="U415" s="297"/>
      <c r="V415" s="429"/>
      <c r="W415" s="316"/>
    </row>
    <row r="416" spans="1:23" x14ac:dyDescent="0.2">
      <c r="A416" s="421"/>
      <c r="B416" s="346"/>
      <c r="C416" s="306">
        <f t="shared" si="81"/>
        <v>0</v>
      </c>
      <c r="D416" s="303"/>
      <c r="E416" s="412"/>
      <c r="F416" s="412"/>
      <c r="G416" s="304"/>
      <c r="H416" s="304"/>
      <c r="I416" s="297"/>
      <c r="J416" s="429"/>
      <c r="K416" s="298"/>
      <c r="L416" s="298"/>
      <c r="M416" s="297"/>
      <c r="N416" s="429"/>
      <c r="O416" s="298"/>
      <c r="P416" s="298"/>
      <c r="Q416" s="297"/>
      <c r="R416" s="429"/>
      <c r="S416" s="298"/>
      <c r="T416" s="298"/>
      <c r="U416" s="297"/>
      <c r="V416" s="429"/>
      <c r="W416" s="316"/>
    </row>
    <row r="417" spans="1:23" x14ac:dyDescent="0.2">
      <c r="A417" s="421"/>
      <c r="B417" s="346"/>
      <c r="C417" s="306">
        <f t="shared" si="81"/>
        <v>0</v>
      </c>
      <c r="D417" s="303"/>
      <c r="E417" s="412"/>
      <c r="F417" s="412"/>
      <c r="G417" s="304"/>
      <c r="H417" s="304"/>
      <c r="I417" s="297"/>
      <c r="J417" s="429"/>
      <c r="K417" s="298"/>
      <c r="L417" s="298"/>
      <c r="M417" s="297"/>
      <c r="N417" s="429"/>
      <c r="O417" s="298"/>
      <c r="P417" s="298"/>
      <c r="Q417" s="297"/>
      <c r="R417" s="429"/>
      <c r="S417" s="298"/>
      <c r="T417" s="298"/>
      <c r="U417" s="297"/>
      <c r="V417" s="429"/>
      <c r="W417" s="316"/>
    </row>
    <row r="418" spans="1:23" x14ac:dyDescent="0.2">
      <c r="A418" s="421"/>
      <c r="B418" s="346"/>
      <c r="C418" s="306">
        <f t="shared" si="81"/>
        <v>0</v>
      </c>
      <c r="D418" s="303"/>
      <c r="E418" s="412"/>
      <c r="F418" s="412"/>
      <c r="G418" s="304"/>
      <c r="H418" s="304"/>
      <c r="I418" s="297"/>
      <c r="J418" s="429"/>
      <c r="K418" s="298"/>
      <c r="L418" s="298"/>
      <c r="M418" s="297"/>
      <c r="N418" s="429"/>
      <c r="O418" s="298"/>
      <c r="P418" s="298"/>
      <c r="Q418" s="297"/>
      <c r="R418" s="429"/>
      <c r="S418" s="298"/>
      <c r="T418" s="298"/>
      <c r="U418" s="297"/>
      <c r="V418" s="429"/>
      <c r="W418" s="316"/>
    </row>
    <row r="419" spans="1:23" x14ac:dyDescent="0.2">
      <c r="A419" s="421">
        <f t="shared" ref="A419" si="86">A415+1</f>
        <v>45150</v>
      </c>
      <c r="B419" s="346" t="str">
        <f t="shared" ref="B419" si="87">IF(WEEKDAY(A419)=1,"CN","T"&amp;WEEKDAY(A419))</f>
        <v>T7</v>
      </c>
      <c r="C419" s="306">
        <f t="shared" si="81"/>
        <v>0</v>
      </c>
      <c r="D419" s="303"/>
      <c r="E419" s="412"/>
      <c r="F419" s="412"/>
      <c r="G419" s="304"/>
      <c r="H419" s="304"/>
      <c r="I419" s="297"/>
      <c r="J419" s="429"/>
      <c r="K419" s="298"/>
      <c r="L419" s="298"/>
      <c r="M419" s="297"/>
      <c r="N419" s="429"/>
      <c r="O419" s="298"/>
      <c r="P419" s="298"/>
      <c r="Q419" s="297"/>
      <c r="R419" s="429"/>
      <c r="S419" s="298"/>
      <c r="T419" s="298"/>
      <c r="U419" s="297"/>
      <c r="V419" s="429"/>
      <c r="W419" s="316"/>
    </row>
    <row r="420" spans="1:23" x14ac:dyDescent="0.2">
      <c r="A420" s="421"/>
      <c r="B420" s="346"/>
      <c r="C420" s="306">
        <f t="shared" si="81"/>
        <v>0</v>
      </c>
      <c r="D420" s="303"/>
      <c r="E420" s="412"/>
      <c r="F420" s="412"/>
      <c r="G420" s="304"/>
      <c r="H420" s="304"/>
      <c r="I420" s="297"/>
      <c r="J420" s="429"/>
      <c r="K420" s="298"/>
      <c r="L420" s="298"/>
      <c r="M420" s="297"/>
      <c r="N420" s="429"/>
      <c r="O420" s="298"/>
      <c r="P420" s="298"/>
      <c r="Q420" s="297"/>
      <c r="R420" s="429"/>
      <c r="S420" s="298"/>
      <c r="T420" s="298"/>
      <c r="U420" s="297"/>
      <c r="V420" s="429"/>
      <c r="W420" s="316"/>
    </row>
    <row r="421" spans="1:23" x14ac:dyDescent="0.2">
      <c r="A421" s="421"/>
      <c r="B421" s="346"/>
      <c r="C421" s="306">
        <f t="shared" si="81"/>
        <v>0</v>
      </c>
      <c r="D421" s="303"/>
      <c r="E421" s="412"/>
      <c r="F421" s="412"/>
      <c r="G421" s="304"/>
      <c r="H421" s="304"/>
      <c r="I421" s="297"/>
      <c r="J421" s="429"/>
      <c r="K421" s="298"/>
      <c r="L421" s="298"/>
      <c r="M421" s="297"/>
      <c r="N421" s="429"/>
      <c r="O421" s="298"/>
      <c r="P421" s="298"/>
      <c r="Q421" s="297"/>
      <c r="R421" s="429"/>
      <c r="S421" s="298"/>
      <c r="T421" s="298"/>
      <c r="U421" s="297"/>
      <c r="V421" s="429"/>
      <c r="W421" s="316"/>
    </row>
    <row r="422" spans="1:23" x14ac:dyDescent="0.2">
      <c r="A422" s="421"/>
      <c r="B422" s="346"/>
      <c r="C422" s="306">
        <f t="shared" si="81"/>
        <v>0</v>
      </c>
      <c r="D422" s="303"/>
      <c r="E422" s="412"/>
      <c r="F422" s="412"/>
      <c r="G422" s="304"/>
      <c r="H422" s="304"/>
      <c r="I422" s="297"/>
      <c r="J422" s="429"/>
      <c r="K422" s="298"/>
      <c r="L422" s="298"/>
      <c r="M422" s="297"/>
      <c r="N422" s="429"/>
      <c r="O422" s="298"/>
      <c r="P422" s="298"/>
      <c r="Q422" s="297"/>
      <c r="R422" s="429"/>
      <c r="S422" s="298"/>
      <c r="T422" s="298"/>
      <c r="U422" s="297"/>
      <c r="V422" s="429"/>
      <c r="W422" s="316"/>
    </row>
    <row r="423" spans="1:23" x14ac:dyDescent="0.2">
      <c r="A423" s="421">
        <f t="shared" ref="A423" si="88">A419+1</f>
        <v>45151</v>
      </c>
      <c r="B423" s="346" t="str">
        <f t="shared" ref="B423" si="89">IF(WEEKDAY(A423)=1,"CN","T"&amp;WEEKDAY(A423))</f>
        <v>CN</v>
      </c>
      <c r="C423" s="306">
        <f t="shared" si="81"/>
        <v>0</v>
      </c>
      <c r="D423" s="303"/>
      <c r="E423" s="412"/>
      <c r="F423" s="412"/>
      <c r="G423" s="304"/>
      <c r="H423" s="304"/>
      <c r="I423" s="297"/>
      <c r="J423" s="429"/>
      <c r="K423" s="298"/>
      <c r="L423" s="298"/>
      <c r="M423" s="297"/>
      <c r="N423" s="429"/>
      <c r="O423" s="298"/>
      <c r="P423" s="298"/>
      <c r="Q423" s="297"/>
      <c r="R423" s="429"/>
      <c r="S423" s="298"/>
      <c r="T423" s="298"/>
      <c r="U423" s="297"/>
      <c r="V423" s="429"/>
      <c r="W423" s="316"/>
    </row>
    <row r="424" spans="1:23" x14ac:dyDescent="0.2">
      <c r="A424" s="421"/>
      <c r="B424" s="346"/>
      <c r="C424" s="306">
        <f t="shared" si="81"/>
        <v>0</v>
      </c>
      <c r="D424" s="303"/>
      <c r="E424" s="412"/>
      <c r="F424" s="412"/>
      <c r="G424" s="304"/>
      <c r="H424" s="304"/>
      <c r="I424" s="297"/>
      <c r="J424" s="429"/>
      <c r="K424" s="298"/>
      <c r="L424" s="298"/>
      <c r="M424" s="297"/>
      <c r="N424" s="429"/>
      <c r="O424" s="298"/>
      <c r="P424" s="298"/>
      <c r="Q424" s="297"/>
      <c r="R424" s="429"/>
      <c r="S424" s="298"/>
      <c r="T424" s="298"/>
      <c r="U424" s="297"/>
      <c r="V424" s="429"/>
      <c r="W424" s="316"/>
    </row>
    <row r="425" spans="1:23" x14ac:dyDescent="0.2">
      <c r="A425" s="421"/>
      <c r="B425" s="346"/>
      <c r="C425" s="306">
        <f t="shared" si="81"/>
        <v>0</v>
      </c>
      <c r="D425" s="303"/>
      <c r="E425" s="412"/>
      <c r="F425" s="412"/>
      <c r="G425" s="304"/>
      <c r="H425" s="304"/>
      <c r="I425" s="297"/>
      <c r="J425" s="429"/>
      <c r="K425" s="298"/>
      <c r="L425" s="298"/>
      <c r="M425" s="297"/>
      <c r="N425" s="429"/>
      <c r="O425" s="298"/>
      <c r="P425" s="298"/>
      <c r="Q425" s="297"/>
      <c r="R425" s="429"/>
      <c r="S425" s="298"/>
      <c r="T425" s="298"/>
      <c r="U425" s="297"/>
      <c r="V425" s="429"/>
      <c r="W425" s="316"/>
    </row>
    <row r="426" spans="1:23" x14ac:dyDescent="0.2">
      <c r="A426" s="421"/>
      <c r="B426" s="346"/>
      <c r="C426" s="306">
        <f t="shared" si="81"/>
        <v>0</v>
      </c>
      <c r="D426" s="303"/>
      <c r="E426" s="412"/>
      <c r="F426" s="412"/>
      <c r="G426" s="304"/>
      <c r="H426" s="304"/>
      <c r="I426" s="297"/>
      <c r="J426" s="429"/>
      <c r="K426" s="298"/>
      <c r="L426" s="298"/>
      <c r="M426" s="297"/>
      <c r="N426" s="429"/>
      <c r="O426" s="298"/>
      <c r="P426" s="298"/>
      <c r="Q426" s="297"/>
      <c r="R426" s="429"/>
      <c r="S426" s="298"/>
      <c r="T426" s="298"/>
      <c r="U426" s="297"/>
      <c r="V426" s="429"/>
      <c r="W426" s="316"/>
    </row>
    <row r="427" spans="1:23" x14ac:dyDescent="0.2">
      <c r="A427" s="421">
        <f t="shared" ref="A427" si="90">A423+1</f>
        <v>45152</v>
      </c>
      <c r="B427" s="346" t="str">
        <f t="shared" ref="B427" si="91">IF(WEEKDAY(A427)=1,"CN","T"&amp;WEEKDAY(A427))</f>
        <v>T2</v>
      </c>
      <c r="C427" s="306">
        <f t="shared" si="81"/>
        <v>0</v>
      </c>
      <c r="D427" s="303"/>
      <c r="E427" s="412"/>
      <c r="F427" s="412"/>
      <c r="G427" s="304"/>
      <c r="H427" s="304"/>
      <c r="I427" s="297"/>
      <c r="J427" s="429"/>
      <c r="K427" s="298"/>
      <c r="L427" s="298"/>
      <c r="M427" s="297"/>
      <c r="N427" s="429"/>
      <c r="O427" s="298"/>
      <c r="P427" s="298"/>
      <c r="Q427" s="297"/>
      <c r="R427" s="429"/>
      <c r="S427" s="298"/>
      <c r="T427" s="298"/>
      <c r="U427" s="297"/>
      <c r="V427" s="429"/>
      <c r="W427" s="316"/>
    </row>
    <row r="428" spans="1:23" x14ac:dyDescent="0.2">
      <c r="A428" s="421"/>
      <c r="B428" s="346"/>
      <c r="C428" s="306">
        <f t="shared" si="81"/>
        <v>0</v>
      </c>
      <c r="D428" s="303"/>
      <c r="E428" s="412"/>
      <c r="F428" s="412"/>
      <c r="G428" s="304"/>
      <c r="H428" s="304"/>
      <c r="I428" s="297"/>
      <c r="J428" s="429"/>
      <c r="K428" s="298"/>
      <c r="L428" s="298"/>
      <c r="M428" s="297"/>
      <c r="N428" s="429"/>
      <c r="O428" s="298"/>
      <c r="P428" s="298"/>
      <c r="Q428" s="297"/>
      <c r="R428" s="429"/>
      <c r="S428" s="298"/>
      <c r="T428" s="298"/>
      <c r="U428" s="297"/>
      <c r="V428" s="429"/>
      <c r="W428" s="316"/>
    </row>
    <row r="429" spans="1:23" x14ac:dyDescent="0.2">
      <c r="A429" s="421"/>
      <c r="B429" s="346"/>
      <c r="C429" s="306">
        <f t="shared" si="81"/>
        <v>0</v>
      </c>
      <c r="D429" s="303"/>
      <c r="E429" s="412"/>
      <c r="F429" s="412"/>
      <c r="G429" s="304"/>
      <c r="H429" s="304"/>
      <c r="I429" s="297"/>
      <c r="J429" s="429"/>
      <c r="K429" s="298"/>
      <c r="L429" s="298"/>
      <c r="M429" s="297"/>
      <c r="N429" s="429"/>
      <c r="O429" s="298"/>
      <c r="P429" s="298"/>
      <c r="Q429" s="297"/>
      <c r="R429" s="429"/>
      <c r="S429" s="298"/>
      <c r="T429" s="298"/>
      <c r="U429" s="297"/>
      <c r="V429" s="429"/>
      <c r="W429" s="316"/>
    </row>
    <row r="430" spans="1:23" x14ac:dyDescent="0.2">
      <c r="A430" s="421"/>
      <c r="B430" s="346"/>
      <c r="C430" s="306">
        <f t="shared" si="81"/>
        <v>0</v>
      </c>
      <c r="D430" s="303"/>
      <c r="E430" s="412"/>
      <c r="F430" s="412"/>
      <c r="G430" s="304"/>
      <c r="H430" s="304"/>
      <c r="I430" s="297"/>
      <c r="J430" s="429"/>
      <c r="K430" s="298"/>
      <c r="L430" s="298"/>
      <c r="M430" s="297"/>
      <c r="N430" s="429"/>
      <c r="O430" s="298"/>
      <c r="P430" s="298"/>
      <c r="Q430" s="297"/>
      <c r="R430" s="429"/>
      <c r="S430" s="298"/>
      <c r="T430" s="298"/>
      <c r="U430" s="297"/>
      <c r="V430" s="429"/>
      <c r="W430" s="316"/>
    </row>
    <row r="431" spans="1:23" x14ac:dyDescent="0.2">
      <c r="A431" s="421">
        <f t="shared" ref="A431" si="92">A427+1</f>
        <v>45153</v>
      </c>
      <c r="B431" s="346" t="str">
        <f t="shared" ref="B431" si="93">IF(WEEKDAY(A431)=1,"CN","T"&amp;WEEKDAY(A431))</f>
        <v>T3</v>
      </c>
      <c r="C431" s="306">
        <f t="shared" si="81"/>
        <v>0</v>
      </c>
      <c r="D431" s="303"/>
      <c r="E431" s="412"/>
      <c r="F431" s="412"/>
      <c r="G431" s="304"/>
      <c r="H431" s="304"/>
      <c r="I431" s="297"/>
      <c r="J431" s="429"/>
      <c r="K431" s="298"/>
      <c r="L431" s="298"/>
      <c r="M431" s="297"/>
      <c r="N431" s="429"/>
      <c r="O431" s="298"/>
      <c r="P431" s="298"/>
      <c r="Q431" s="297"/>
      <c r="R431" s="429"/>
      <c r="S431" s="298"/>
      <c r="T431" s="298"/>
      <c r="U431" s="297"/>
      <c r="V431" s="429"/>
      <c r="W431" s="316"/>
    </row>
    <row r="432" spans="1:23" x14ac:dyDescent="0.2">
      <c r="A432" s="421"/>
      <c r="B432" s="346"/>
      <c r="C432" s="306">
        <f t="shared" si="81"/>
        <v>0</v>
      </c>
      <c r="D432" s="303"/>
      <c r="E432" s="412"/>
      <c r="F432" s="412"/>
      <c r="G432" s="304"/>
      <c r="H432" s="304"/>
      <c r="I432" s="297"/>
      <c r="J432" s="429"/>
      <c r="K432" s="298"/>
      <c r="L432" s="298"/>
      <c r="M432" s="297"/>
      <c r="N432" s="429"/>
      <c r="O432" s="298"/>
      <c r="P432" s="298"/>
      <c r="Q432" s="297"/>
      <c r="R432" s="429"/>
      <c r="S432" s="298"/>
      <c r="T432" s="298"/>
      <c r="U432" s="297"/>
      <c r="V432" s="429"/>
      <c r="W432" s="316"/>
    </row>
    <row r="433" spans="1:23" x14ac:dyDescent="0.2">
      <c r="A433" s="421"/>
      <c r="B433" s="346"/>
      <c r="C433" s="306">
        <f t="shared" si="81"/>
        <v>0</v>
      </c>
      <c r="D433" s="303"/>
      <c r="E433" s="412"/>
      <c r="F433" s="412"/>
      <c r="G433" s="304"/>
      <c r="H433" s="304"/>
      <c r="I433" s="297"/>
      <c r="J433" s="429"/>
      <c r="K433" s="298"/>
      <c r="L433" s="298"/>
      <c r="M433" s="297"/>
      <c r="N433" s="429"/>
      <c r="O433" s="298"/>
      <c r="P433" s="298"/>
      <c r="Q433" s="297"/>
      <c r="R433" s="429"/>
      <c r="S433" s="298"/>
      <c r="T433" s="298"/>
      <c r="U433" s="297"/>
      <c r="V433" s="429"/>
      <c r="W433" s="316"/>
    </row>
    <row r="434" spans="1:23" x14ac:dyDescent="0.2">
      <c r="A434" s="421"/>
      <c r="B434" s="346"/>
      <c r="C434" s="306">
        <f t="shared" si="81"/>
        <v>0</v>
      </c>
      <c r="D434" s="303"/>
      <c r="E434" s="412"/>
      <c r="F434" s="412"/>
      <c r="G434" s="304"/>
      <c r="H434" s="304"/>
      <c r="I434" s="297"/>
      <c r="J434" s="429"/>
      <c r="K434" s="298"/>
      <c r="L434" s="298"/>
      <c r="M434" s="297"/>
      <c r="N434" s="429"/>
      <c r="O434" s="298"/>
      <c r="P434" s="298"/>
      <c r="Q434" s="297"/>
      <c r="R434" s="429"/>
      <c r="S434" s="298"/>
      <c r="T434" s="298"/>
      <c r="U434" s="297"/>
      <c r="V434" s="429"/>
      <c r="W434" s="316"/>
    </row>
    <row r="435" spans="1:23" x14ac:dyDescent="0.2">
      <c r="A435" s="421">
        <f t="shared" ref="A435" si="94">A431+1</f>
        <v>45154</v>
      </c>
      <c r="B435" s="346" t="str">
        <f t="shared" ref="B435" si="95">IF(WEEKDAY(A435)=1,"CN","T"&amp;WEEKDAY(A435))</f>
        <v>T4</v>
      </c>
      <c r="C435" s="306">
        <f t="shared" si="81"/>
        <v>0</v>
      </c>
      <c r="D435" s="303"/>
      <c r="E435" s="412"/>
      <c r="F435" s="412"/>
      <c r="G435" s="304"/>
      <c r="H435" s="304"/>
      <c r="I435" s="297"/>
      <c r="J435" s="429"/>
      <c r="K435" s="298"/>
      <c r="L435" s="298"/>
      <c r="M435" s="297"/>
      <c r="N435" s="429"/>
      <c r="O435" s="298"/>
      <c r="P435" s="298"/>
      <c r="Q435" s="297"/>
      <c r="R435" s="429"/>
      <c r="S435" s="298"/>
      <c r="T435" s="298"/>
      <c r="U435" s="297"/>
      <c r="V435" s="429"/>
      <c r="W435" s="316"/>
    </row>
    <row r="436" spans="1:23" x14ac:dyDescent="0.2">
      <c r="A436" s="421"/>
      <c r="B436" s="346"/>
      <c r="C436" s="306">
        <f t="shared" si="81"/>
        <v>0</v>
      </c>
      <c r="D436" s="303"/>
      <c r="E436" s="412"/>
      <c r="F436" s="412"/>
      <c r="G436" s="304"/>
      <c r="H436" s="304"/>
      <c r="I436" s="297"/>
      <c r="J436" s="429"/>
      <c r="K436" s="298"/>
      <c r="L436" s="298"/>
      <c r="M436" s="297"/>
      <c r="N436" s="429"/>
      <c r="O436" s="298"/>
      <c r="P436" s="298"/>
      <c r="Q436" s="297"/>
      <c r="R436" s="429"/>
      <c r="S436" s="298"/>
      <c r="T436" s="298"/>
      <c r="U436" s="297"/>
      <c r="V436" s="429"/>
      <c r="W436" s="316"/>
    </row>
    <row r="437" spans="1:23" x14ac:dyDescent="0.2">
      <c r="A437" s="421"/>
      <c r="B437" s="346"/>
      <c r="C437" s="306">
        <f t="shared" si="81"/>
        <v>0</v>
      </c>
      <c r="D437" s="303"/>
      <c r="E437" s="412"/>
      <c r="F437" s="412"/>
      <c r="G437" s="304"/>
      <c r="H437" s="304"/>
      <c r="I437" s="297"/>
      <c r="J437" s="429"/>
      <c r="K437" s="298"/>
      <c r="L437" s="298"/>
      <c r="M437" s="297"/>
      <c r="N437" s="429"/>
      <c r="O437" s="298"/>
      <c r="P437" s="298"/>
      <c r="Q437" s="297"/>
      <c r="R437" s="429"/>
      <c r="S437" s="298"/>
      <c r="T437" s="298"/>
      <c r="U437" s="297"/>
      <c r="V437" s="429"/>
      <c r="W437" s="316"/>
    </row>
    <row r="438" spans="1:23" x14ac:dyDescent="0.2">
      <c r="A438" s="421"/>
      <c r="B438" s="346"/>
      <c r="C438" s="306">
        <f t="shared" si="81"/>
        <v>0</v>
      </c>
      <c r="D438" s="303"/>
      <c r="E438" s="412"/>
      <c r="F438" s="412"/>
      <c r="G438" s="304"/>
      <c r="H438" s="304"/>
      <c r="I438" s="297"/>
      <c r="J438" s="429"/>
      <c r="K438" s="298"/>
      <c r="L438" s="298"/>
      <c r="M438" s="297"/>
      <c r="N438" s="429"/>
      <c r="O438" s="298"/>
      <c r="P438" s="298"/>
      <c r="Q438" s="297"/>
      <c r="R438" s="429"/>
      <c r="S438" s="298"/>
      <c r="T438" s="298"/>
      <c r="U438" s="297"/>
      <c r="V438" s="429"/>
      <c r="W438" s="316"/>
    </row>
    <row r="439" spans="1:23" x14ac:dyDescent="0.2">
      <c r="A439" s="421">
        <f t="shared" ref="A439" si="96">A435+1</f>
        <v>45155</v>
      </c>
      <c r="B439" s="346" t="str">
        <f t="shared" ref="B439" si="97">IF(WEEKDAY(A439)=1,"CN","T"&amp;WEEKDAY(A439))</f>
        <v>T5</v>
      </c>
      <c r="C439" s="306">
        <f t="shared" si="81"/>
        <v>0</v>
      </c>
      <c r="D439" s="303"/>
      <c r="E439" s="412"/>
      <c r="F439" s="412"/>
      <c r="G439" s="304"/>
      <c r="H439" s="304"/>
      <c r="I439" s="297"/>
      <c r="J439" s="429"/>
      <c r="K439" s="298"/>
      <c r="L439" s="298"/>
      <c r="M439" s="297"/>
      <c r="N439" s="429"/>
      <c r="O439" s="298"/>
      <c r="P439" s="298"/>
      <c r="Q439" s="297"/>
      <c r="R439" s="429"/>
      <c r="S439" s="298"/>
      <c r="T439" s="298"/>
      <c r="U439" s="297"/>
      <c r="V439" s="429"/>
      <c r="W439" s="316"/>
    </row>
    <row r="440" spans="1:23" x14ac:dyDescent="0.2">
      <c r="A440" s="421"/>
      <c r="B440" s="346"/>
      <c r="C440" s="306">
        <f t="shared" si="81"/>
        <v>0</v>
      </c>
      <c r="D440" s="303"/>
      <c r="E440" s="412"/>
      <c r="F440" s="412"/>
      <c r="G440" s="304"/>
      <c r="H440" s="304"/>
      <c r="I440" s="297"/>
      <c r="J440" s="429"/>
      <c r="K440" s="298"/>
      <c r="L440" s="298"/>
      <c r="M440" s="297"/>
      <c r="N440" s="429"/>
      <c r="O440" s="298"/>
      <c r="P440" s="298"/>
      <c r="Q440" s="297"/>
      <c r="R440" s="429"/>
      <c r="S440" s="298"/>
      <c r="T440" s="298"/>
      <c r="U440" s="297"/>
      <c r="V440" s="429"/>
      <c r="W440" s="316"/>
    </row>
    <row r="441" spans="1:23" x14ac:dyDescent="0.2">
      <c r="A441" s="421"/>
      <c r="B441" s="346"/>
      <c r="C441" s="306">
        <f t="shared" si="81"/>
        <v>0</v>
      </c>
      <c r="D441" s="303"/>
      <c r="E441" s="412"/>
      <c r="F441" s="412"/>
      <c r="G441" s="304"/>
      <c r="H441" s="304"/>
      <c r="I441" s="297"/>
      <c r="J441" s="429"/>
      <c r="K441" s="298"/>
      <c r="L441" s="298"/>
      <c r="M441" s="297"/>
      <c r="N441" s="429"/>
      <c r="O441" s="298"/>
      <c r="P441" s="298"/>
      <c r="Q441" s="297"/>
      <c r="R441" s="429"/>
      <c r="S441" s="298"/>
      <c r="T441" s="298"/>
      <c r="U441" s="297"/>
      <c r="V441" s="429"/>
      <c r="W441" s="316"/>
    </row>
    <row r="442" spans="1:23" x14ac:dyDescent="0.2">
      <c r="A442" s="421"/>
      <c r="B442" s="346"/>
      <c r="C442" s="306">
        <f t="shared" si="81"/>
        <v>0</v>
      </c>
      <c r="D442" s="303"/>
      <c r="E442" s="412"/>
      <c r="F442" s="412"/>
      <c r="G442" s="304"/>
      <c r="H442" s="304"/>
      <c r="I442" s="297"/>
      <c r="J442" s="429"/>
      <c r="K442" s="298"/>
      <c r="L442" s="298"/>
      <c r="M442" s="297"/>
      <c r="N442" s="429"/>
      <c r="O442" s="298"/>
      <c r="P442" s="298"/>
      <c r="Q442" s="297"/>
      <c r="R442" s="429"/>
      <c r="S442" s="298"/>
      <c r="T442" s="298"/>
      <c r="U442" s="297"/>
      <c r="V442" s="429"/>
      <c r="W442" s="316"/>
    </row>
    <row r="443" spans="1:23" x14ac:dyDescent="0.2">
      <c r="A443" s="421">
        <f t="shared" ref="A443" si="98">A439+1</f>
        <v>45156</v>
      </c>
      <c r="B443" s="346" t="str">
        <f t="shared" ref="B443" si="99">IF(WEEKDAY(A443)=1,"CN","T"&amp;WEEKDAY(A443))</f>
        <v>T6</v>
      </c>
      <c r="C443" s="306">
        <f t="shared" si="81"/>
        <v>0</v>
      </c>
      <c r="D443" s="303"/>
      <c r="E443" s="412"/>
      <c r="F443" s="412"/>
      <c r="G443" s="304"/>
      <c r="H443" s="304"/>
      <c r="I443" s="297"/>
      <c r="J443" s="429"/>
      <c r="K443" s="298"/>
      <c r="L443" s="298"/>
      <c r="M443" s="297"/>
      <c r="N443" s="429"/>
      <c r="O443" s="298"/>
      <c r="P443" s="298"/>
      <c r="Q443" s="297"/>
      <c r="R443" s="429"/>
      <c r="S443" s="298"/>
      <c r="T443" s="298"/>
      <c r="U443" s="297"/>
      <c r="V443" s="429"/>
      <c r="W443" s="316"/>
    </row>
    <row r="444" spans="1:23" x14ac:dyDescent="0.2">
      <c r="A444" s="421"/>
      <c r="B444" s="346"/>
      <c r="C444" s="306">
        <f t="shared" si="81"/>
        <v>0</v>
      </c>
      <c r="D444" s="303"/>
      <c r="E444" s="412"/>
      <c r="F444" s="412"/>
      <c r="G444" s="304"/>
      <c r="H444" s="304"/>
      <c r="I444" s="297"/>
      <c r="J444" s="429"/>
      <c r="K444" s="298"/>
      <c r="L444" s="298"/>
      <c r="M444" s="297"/>
      <c r="N444" s="429"/>
      <c r="O444" s="298"/>
      <c r="P444" s="298"/>
      <c r="Q444" s="297"/>
      <c r="R444" s="429"/>
      <c r="S444" s="298"/>
      <c r="T444" s="298"/>
      <c r="U444" s="297"/>
      <c r="V444" s="429"/>
      <c r="W444" s="316"/>
    </row>
    <row r="445" spans="1:23" x14ac:dyDescent="0.2">
      <c r="A445" s="421"/>
      <c r="B445" s="346"/>
      <c r="C445" s="306">
        <f t="shared" si="81"/>
        <v>0</v>
      </c>
      <c r="D445" s="303"/>
      <c r="E445" s="412"/>
      <c r="F445" s="412"/>
      <c r="G445" s="304"/>
      <c r="H445" s="304"/>
      <c r="I445" s="297"/>
      <c r="J445" s="429"/>
      <c r="K445" s="298"/>
      <c r="L445" s="298"/>
      <c r="M445" s="297"/>
      <c r="N445" s="429"/>
      <c r="O445" s="298"/>
      <c r="P445" s="298"/>
      <c r="Q445" s="297"/>
      <c r="R445" s="429"/>
      <c r="S445" s="298"/>
      <c r="T445" s="298"/>
      <c r="U445" s="297"/>
      <c r="V445" s="429"/>
      <c r="W445" s="316"/>
    </row>
    <row r="446" spans="1:23" x14ac:dyDescent="0.2">
      <c r="A446" s="421"/>
      <c r="B446" s="346"/>
      <c r="C446" s="306">
        <f t="shared" si="81"/>
        <v>0</v>
      </c>
      <c r="D446" s="303"/>
      <c r="E446" s="412"/>
      <c r="F446" s="412"/>
      <c r="G446" s="304"/>
      <c r="H446" s="304"/>
      <c r="I446" s="297"/>
      <c r="J446" s="429"/>
      <c r="K446" s="298"/>
      <c r="L446" s="298"/>
      <c r="M446" s="297"/>
      <c r="N446" s="429"/>
      <c r="O446" s="298"/>
      <c r="P446" s="298"/>
      <c r="Q446" s="297"/>
      <c r="R446" s="429"/>
      <c r="S446" s="298"/>
      <c r="T446" s="298"/>
      <c r="U446" s="297"/>
      <c r="V446" s="429"/>
      <c r="W446" s="316"/>
    </row>
    <row r="447" spans="1:23" x14ac:dyDescent="0.2">
      <c r="A447" s="421"/>
      <c r="B447" s="421"/>
      <c r="C447" s="429"/>
      <c r="D447" s="281"/>
      <c r="E447" s="429"/>
      <c r="F447" s="429"/>
      <c r="G447" s="298"/>
      <c r="H447" s="298"/>
      <c r="I447" s="297"/>
      <c r="J447" s="429"/>
      <c r="K447" s="298"/>
      <c r="L447" s="298"/>
      <c r="M447" s="297"/>
      <c r="N447" s="429"/>
      <c r="O447" s="298"/>
      <c r="P447" s="298"/>
      <c r="Q447" s="297"/>
      <c r="R447" s="429"/>
      <c r="S447" s="298"/>
      <c r="T447" s="298"/>
      <c r="U447" s="297"/>
      <c r="V447" s="429"/>
      <c r="W447" s="316"/>
    </row>
    <row r="448" spans="1:23" x14ac:dyDescent="0.2">
      <c r="A448" s="421"/>
      <c r="B448" s="421"/>
      <c r="C448" s="429"/>
      <c r="D448" s="281"/>
      <c r="E448" s="429"/>
      <c r="F448" s="429"/>
      <c r="G448" s="298"/>
      <c r="H448" s="298"/>
      <c r="I448" s="297"/>
      <c r="J448" s="429"/>
      <c r="K448" s="298"/>
      <c r="L448" s="298"/>
      <c r="M448" s="297"/>
      <c r="N448" s="429"/>
      <c r="O448" s="298"/>
      <c r="P448" s="298"/>
      <c r="Q448" s="297"/>
      <c r="R448" s="429"/>
      <c r="S448" s="298"/>
      <c r="T448" s="298"/>
      <c r="U448" s="297"/>
      <c r="V448" s="429"/>
      <c r="W448" s="316"/>
    </row>
    <row r="449" spans="1:23" x14ac:dyDescent="0.2">
      <c r="A449" s="421"/>
      <c r="B449" s="421"/>
      <c r="C449" s="429"/>
      <c r="D449" s="281"/>
      <c r="E449" s="429"/>
      <c r="F449" s="429"/>
      <c r="G449" s="298"/>
      <c r="H449" s="298"/>
      <c r="I449" s="297"/>
      <c r="J449" s="429"/>
      <c r="K449" s="298"/>
      <c r="L449" s="298"/>
      <c r="M449" s="297"/>
      <c r="N449" s="429"/>
      <c r="O449" s="298"/>
      <c r="P449" s="298"/>
      <c r="Q449" s="297"/>
      <c r="R449" s="429"/>
      <c r="S449" s="298"/>
      <c r="T449" s="298"/>
      <c r="U449" s="297"/>
      <c r="V449" s="429"/>
      <c r="W449" s="316"/>
    </row>
    <row r="450" spans="1:23" x14ac:dyDescent="0.2">
      <c r="A450" s="421"/>
      <c r="B450" s="421"/>
      <c r="C450" s="429"/>
      <c r="D450" s="281"/>
      <c r="E450" s="429"/>
      <c r="F450" s="429"/>
      <c r="G450" s="298"/>
      <c r="H450" s="298"/>
      <c r="I450" s="297"/>
      <c r="J450" s="429"/>
      <c r="K450" s="298"/>
      <c r="L450" s="298"/>
      <c r="M450" s="297"/>
      <c r="N450" s="429"/>
      <c r="O450" s="298"/>
      <c r="P450" s="298"/>
      <c r="Q450" s="297"/>
      <c r="R450" s="429"/>
      <c r="S450" s="298"/>
      <c r="T450" s="298"/>
      <c r="U450" s="297"/>
      <c r="V450" s="429"/>
      <c r="W450" s="316"/>
    </row>
    <row r="451" spans="1:23" x14ac:dyDescent="0.2">
      <c r="A451" s="421"/>
      <c r="B451" s="421"/>
      <c r="C451" s="429"/>
      <c r="D451" s="281"/>
      <c r="E451" s="429"/>
      <c r="F451" s="429"/>
      <c r="G451" s="298"/>
      <c r="H451" s="298"/>
      <c r="I451" s="297"/>
      <c r="J451" s="429"/>
      <c r="K451" s="298"/>
      <c r="L451" s="298"/>
      <c r="M451" s="297"/>
      <c r="N451" s="429"/>
      <c r="O451" s="298"/>
      <c r="P451" s="298"/>
      <c r="Q451" s="297"/>
      <c r="R451" s="429"/>
      <c r="S451" s="298"/>
      <c r="T451" s="298"/>
      <c r="U451" s="297"/>
      <c r="V451" s="429"/>
      <c r="W451" s="316"/>
    </row>
    <row r="452" spans="1:23" x14ac:dyDescent="0.2">
      <c r="A452" s="421"/>
      <c r="B452" s="421"/>
      <c r="C452" s="429"/>
      <c r="D452" s="281"/>
      <c r="E452" s="429"/>
      <c r="F452" s="429"/>
      <c r="G452" s="298"/>
      <c r="H452" s="298"/>
      <c r="I452" s="297"/>
      <c r="J452" s="429"/>
      <c r="K452" s="298"/>
      <c r="L452" s="298"/>
      <c r="M452" s="297"/>
      <c r="N452" s="429"/>
      <c r="O452" s="298"/>
      <c r="P452" s="298"/>
      <c r="Q452" s="297"/>
      <c r="R452" s="429"/>
      <c r="S452" s="298"/>
      <c r="T452" s="298"/>
      <c r="U452" s="297"/>
      <c r="V452" s="429"/>
      <c r="W452" s="316"/>
    </row>
    <row r="453" spans="1:23" x14ac:dyDescent="0.2">
      <c r="A453" s="421"/>
      <c r="B453" s="421"/>
      <c r="C453" s="429"/>
      <c r="D453" s="281"/>
      <c r="E453" s="429"/>
      <c r="F453" s="429"/>
      <c r="G453" s="298"/>
      <c r="H453" s="298"/>
      <c r="I453" s="297"/>
      <c r="J453" s="429"/>
      <c r="K453" s="298"/>
      <c r="L453" s="298"/>
      <c r="M453" s="297"/>
      <c r="N453" s="429"/>
      <c r="O453" s="298"/>
      <c r="P453" s="298"/>
      <c r="Q453" s="297"/>
      <c r="R453" s="429"/>
      <c r="S453" s="298"/>
      <c r="T453" s="298"/>
      <c r="U453" s="297"/>
      <c r="V453" s="429"/>
      <c r="W453" s="316"/>
    </row>
    <row r="454" spans="1:23" x14ac:dyDescent="0.2">
      <c r="A454" s="421"/>
      <c r="B454" s="421"/>
      <c r="C454" s="429"/>
      <c r="D454" s="281"/>
      <c r="E454" s="429"/>
      <c r="F454" s="429"/>
      <c r="G454" s="298"/>
      <c r="H454" s="298"/>
      <c r="I454" s="297"/>
      <c r="J454" s="429"/>
      <c r="K454" s="298"/>
      <c r="L454" s="298"/>
      <c r="M454" s="297"/>
      <c r="N454" s="429"/>
      <c r="O454" s="298"/>
      <c r="P454" s="298"/>
      <c r="Q454" s="297"/>
      <c r="R454" s="429"/>
      <c r="S454" s="298"/>
      <c r="T454" s="298"/>
      <c r="U454" s="297"/>
      <c r="V454" s="429"/>
      <c r="W454" s="316"/>
    </row>
    <row r="455" spans="1:23" x14ac:dyDescent="0.2">
      <c r="A455" s="421"/>
      <c r="B455" s="421"/>
      <c r="C455" s="429"/>
      <c r="D455" s="281"/>
      <c r="E455" s="429"/>
      <c r="F455" s="429"/>
      <c r="G455" s="298"/>
      <c r="H455" s="298"/>
      <c r="I455" s="297"/>
      <c r="J455" s="429"/>
      <c r="K455" s="298"/>
      <c r="L455" s="298"/>
      <c r="M455" s="297"/>
      <c r="N455" s="429"/>
      <c r="O455" s="298"/>
      <c r="P455" s="298"/>
      <c r="Q455" s="297"/>
      <c r="R455" s="429"/>
      <c r="S455" s="298"/>
      <c r="T455" s="298"/>
      <c r="U455" s="297"/>
      <c r="V455" s="429"/>
      <c r="W455" s="316"/>
    </row>
    <row r="456" spans="1:23" x14ac:dyDescent="0.2">
      <c r="A456" s="421"/>
      <c r="B456" s="421"/>
      <c r="C456" s="429"/>
      <c r="D456" s="281"/>
      <c r="E456" s="429"/>
      <c r="F456" s="429"/>
      <c r="G456" s="298"/>
      <c r="H456" s="298"/>
      <c r="I456" s="297"/>
      <c r="J456" s="429"/>
      <c r="K456" s="298"/>
      <c r="L456" s="298"/>
      <c r="M456" s="297"/>
      <c r="N456" s="429"/>
      <c r="O456" s="298"/>
      <c r="P456" s="298"/>
      <c r="Q456" s="297"/>
      <c r="R456" s="429"/>
      <c r="S456" s="298"/>
      <c r="T456" s="298"/>
      <c r="U456" s="297"/>
      <c r="V456" s="429"/>
      <c r="W456" s="316"/>
    </row>
    <row r="457" spans="1:23" x14ac:dyDescent="0.2">
      <c r="A457" s="421"/>
      <c r="B457" s="421"/>
      <c r="C457" s="429"/>
      <c r="D457" s="281"/>
      <c r="E457" s="429"/>
      <c r="F457" s="429"/>
      <c r="G457" s="298"/>
      <c r="H457" s="298"/>
      <c r="I457" s="297"/>
      <c r="J457" s="429"/>
      <c r="K457" s="298"/>
      <c r="L457" s="298"/>
      <c r="M457" s="297"/>
      <c r="N457" s="429"/>
      <c r="O457" s="298"/>
      <c r="P457" s="298"/>
      <c r="Q457" s="297"/>
      <c r="R457" s="429"/>
      <c r="S457" s="298"/>
      <c r="T457" s="298"/>
      <c r="U457" s="297"/>
      <c r="V457" s="429"/>
      <c r="W457" s="316"/>
    </row>
    <row r="458" spans="1:23" x14ac:dyDescent="0.2">
      <c r="A458" s="421"/>
      <c r="B458" s="421"/>
      <c r="C458" s="429"/>
      <c r="D458" s="281"/>
      <c r="E458" s="429"/>
      <c r="F458" s="429"/>
      <c r="G458" s="298"/>
      <c r="H458" s="298"/>
      <c r="I458" s="297"/>
      <c r="J458" s="429"/>
      <c r="K458" s="298"/>
      <c r="L458" s="298"/>
      <c r="M458" s="297"/>
      <c r="N458" s="429"/>
      <c r="O458" s="298"/>
      <c r="P458" s="298"/>
      <c r="Q458" s="297"/>
      <c r="R458" s="429"/>
      <c r="S458" s="298"/>
      <c r="T458" s="298"/>
      <c r="U458" s="297"/>
      <c r="V458" s="429"/>
      <c r="W458" s="316"/>
    </row>
    <row r="459" spans="1:23" x14ac:dyDescent="0.2">
      <c r="A459" s="421"/>
      <c r="B459" s="421"/>
      <c r="C459" s="429"/>
      <c r="D459" s="281"/>
      <c r="E459" s="429"/>
      <c r="F459" s="429"/>
      <c r="G459" s="298"/>
      <c r="H459" s="298"/>
      <c r="I459" s="297"/>
      <c r="J459" s="429"/>
      <c r="K459" s="298"/>
      <c r="L459" s="298"/>
      <c r="M459" s="297"/>
      <c r="N459" s="429"/>
      <c r="O459" s="298"/>
      <c r="P459" s="298"/>
      <c r="Q459" s="297"/>
      <c r="R459" s="429"/>
      <c r="S459" s="298"/>
      <c r="T459" s="298"/>
      <c r="U459" s="297"/>
      <c r="V459" s="429"/>
      <c r="W459" s="316"/>
    </row>
    <row r="460" spans="1:23" x14ac:dyDescent="0.2">
      <c r="A460" s="421"/>
      <c r="B460" s="421"/>
      <c r="C460" s="429"/>
      <c r="D460" s="281"/>
      <c r="E460" s="429"/>
      <c r="F460" s="429"/>
      <c r="G460" s="298"/>
      <c r="H460" s="298"/>
      <c r="I460" s="297"/>
      <c r="J460" s="429"/>
      <c r="K460" s="298"/>
      <c r="L460" s="298"/>
      <c r="M460" s="297"/>
      <c r="N460" s="429"/>
      <c r="O460" s="298"/>
      <c r="P460" s="298"/>
      <c r="Q460" s="297"/>
      <c r="R460" s="429"/>
      <c r="S460" s="298"/>
      <c r="T460" s="298"/>
      <c r="U460" s="297"/>
      <c r="V460" s="429"/>
      <c r="W460" s="316"/>
    </row>
    <row r="461" spans="1:23" x14ac:dyDescent="0.2">
      <c r="A461" s="421"/>
      <c r="B461" s="421"/>
      <c r="C461" s="429"/>
      <c r="D461" s="281"/>
      <c r="E461" s="429"/>
      <c r="F461" s="429"/>
      <c r="G461" s="298"/>
      <c r="H461" s="298"/>
      <c r="I461" s="297"/>
      <c r="J461" s="429"/>
      <c r="K461" s="298"/>
      <c r="L461" s="298"/>
      <c r="M461" s="297"/>
      <c r="N461" s="429"/>
      <c r="O461" s="298"/>
      <c r="P461" s="298"/>
      <c r="Q461" s="297"/>
      <c r="R461" s="429"/>
      <c r="S461" s="298"/>
      <c r="T461" s="298"/>
      <c r="U461" s="297"/>
      <c r="V461" s="429"/>
      <c r="W461" s="316"/>
    </row>
    <row r="462" spans="1:23" x14ac:dyDescent="0.2">
      <c r="A462" s="421"/>
      <c r="B462" s="421"/>
      <c r="C462" s="429"/>
      <c r="D462" s="281"/>
      <c r="E462" s="429"/>
      <c r="F462" s="429"/>
      <c r="G462" s="298"/>
      <c r="H462" s="298"/>
      <c r="I462" s="297"/>
      <c r="J462" s="429"/>
      <c r="K462" s="298"/>
      <c r="L462" s="298"/>
      <c r="M462" s="297"/>
      <c r="N462" s="429"/>
      <c r="O462" s="298"/>
      <c r="P462" s="298"/>
      <c r="Q462" s="297"/>
      <c r="R462" s="429"/>
      <c r="S462" s="298"/>
      <c r="T462" s="298"/>
      <c r="U462" s="297"/>
      <c r="V462" s="429"/>
      <c r="W462" s="316"/>
    </row>
    <row r="463" spans="1:23" x14ac:dyDescent="0.2">
      <c r="A463" s="421"/>
      <c r="B463" s="421"/>
      <c r="C463" s="429"/>
      <c r="D463" s="281"/>
      <c r="E463" s="429"/>
      <c r="F463" s="429"/>
      <c r="G463" s="298"/>
      <c r="H463" s="298"/>
      <c r="I463" s="297"/>
      <c r="J463" s="429"/>
      <c r="K463" s="298"/>
      <c r="L463" s="298"/>
      <c r="M463" s="297"/>
      <c r="N463" s="429"/>
      <c r="O463" s="298"/>
      <c r="P463" s="298"/>
      <c r="Q463" s="297"/>
      <c r="R463" s="429"/>
      <c r="S463" s="298"/>
      <c r="T463" s="298"/>
      <c r="U463" s="297"/>
      <c r="V463" s="429"/>
      <c r="W463" s="316"/>
    </row>
    <row r="464" spans="1:23" x14ac:dyDescent="0.2">
      <c r="A464" s="421"/>
      <c r="B464" s="421"/>
      <c r="C464" s="429"/>
      <c r="D464" s="281"/>
      <c r="E464" s="429"/>
      <c r="F464" s="429"/>
      <c r="G464" s="298"/>
      <c r="H464" s="298"/>
      <c r="I464" s="297"/>
      <c r="J464" s="429"/>
      <c r="K464" s="298"/>
      <c r="L464" s="298"/>
      <c r="M464" s="297"/>
      <c r="N464" s="429"/>
      <c r="O464" s="298"/>
      <c r="P464" s="298"/>
      <c r="Q464" s="297"/>
      <c r="R464" s="429"/>
      <c r="S464" s="298"/>
      <c r="T464" s="298"/>
      <c r="U464" s="297"/>
      <c r="V464" s="429"/>
      <c r="W464" s="316"/>
    </row>
    <row r="465" spans="1:23" x14ac:dyDescent="0.2">
      <c r="A465" s="421"/>
      <c r="B465" s="421"/>
      <c r="C465" s="429"/>
      <c r="D465" s="281"/>
      <c r="E465" s="429"/>
      <c r="F465" s="429"/>
      <c r="G465" s="298"/>
      <c r="H465" s="298"/>
      <c r="I465" s="297"/>
      <c r="J465" s="429"/>
      <c r="K465" s="298"/>
      <c r="L465" s="298"/>
      <c r="M465" s="297"/>
      <c r="N465" s="429"/>
      <c r="O465" s="298"/>
      <c r="P465" s="298"/>
      <c r="Q465" s="297"/>
      <c r="R465" s="429"/>
      <c r="S465" s="298"/>
      <c r="T465" s="298"/>
      <c r="U465" s="297"/>
      <c r="V465" s="429"/>
      <c r="W465" s="316"/>
    </row>
    <row r="466" spans="1:23" x14ac:dyDescent="0.2">
      <c r="A466" s="421"/>
      <c r="B466" s="421"/>
      <c r="C466" s="429"/>
      <c r="D466" s="281"/>
      <c r="E466" s="429"/>
      <c r="F466" s="429"/>
      <c r="G466" s="298"/>
      <c r="H466" s="298"/>
      <c r="I466" s="297"/>
      <c r="J466" s="429"/>
      <c r="K466" s="298"/>
      <c r="L466" s="298"/>
      <c r="M466" s="297"/>
      <c r="N466" s="429"/>
      <c r="O466" s="298"/>
      <c r="P466" s="298"/>
      <c r="Q466" s="297"/>
      <c r="R466" s="429"/>
      <c r="S466" s="298"/>
      <c r="T466" s="298"/>
      <c r="U466" s="297"/>
      <c r="V466" s="429"/>
      <c r="W466" s="316"/>
    </row>
    <row r="467" spans="1:23" x14ac:dyDescent="0.2">
      <c r="A467" s="421"/>
      <c r="B467" s="421"/>
      <c r="C467" s="429"/>
      <c r="D467" s="281"/>
      <c r="E467" s="429"/>
      <c r="F467" s="429"/>
      <c r="G467" s="298"/>
      <c r="H467" s="298"/>
      <c r="I467" s="297"/>
      <c r="J467" s="429"/>
      <c r="K467" s="298"/>
      <c r="L467" s="298"/>
      <c r="M467" s="297"/>
      <c r="N467" s="429"/>
      <c r="O467" s="298"/>
      <c r="P467" s="298"/>
      <c r="Q467" s="297"/>
      <c r="R467" s="429"/>
      <c r="S467" s="298"/>
      <c r="T467" s="298"/>
      <c r="U467" s="297"/>
      <c r="V467" s="429"/>
      <c r="W467" s="316"/>
    </row>
    <row r="468" spans="1:23" x14ac:dyDescent="0.2">
      <c r="A468" s="421"/>
      <c r="B468" s="421"/>
      <c r="C468" s="429"/>
      <c r="D468" s="281"/>
      <c r="E468" s="429"/>
      <c r="F468" s="429"/>
      <c r="G468" s="298"/>
      <c r="H468" s="298"/>
      <c r="I468" s="297"/>
      <c r="J468" s="429"/>
      <c r="K468" s="298"/>
      <c r="L468" s="298"/>
      <c r="M468" s="297"/>
      <c r="N468" s="429"/>
      <c r="O468" s="298"/>
      <c r="P468" s="298"/>
      <c r="Q468" s="297"/>
      <c r="R468" s="429"/>
      <c r="S468" s="298"/>
      <c r="T468" s="298"/>
      <c r="U468" s="297"/>
      <c r="V468" s="429"/>
      <c r="W468" s="316"/>
    </row>
    <row r="469" spans="1:23" x14ac:dyDescent="0.2">
      <c r="A469" s="421"/>
      <c r="B469" s="421"/>
      <c r="C469" s="429"/>
      <c r="D469" s="281"/>
      <c r="E469" s="429"/>
      <c r="F469" s="429"/>
      <c r="G469" s="298"/>
      <c r="H469" s="298"/>
      <c r="I469" s="297"/>
      <c r="J469" s="429"/>
      <c r="K469" s="298"/>
      <c r="L469" s="298"/>
      <c r="M469" s="297"/>
      <c r="N469" s="429"/>
      <c r="O469" s="298"/>
      <c r="P469" s="298"/>
      <c r="Q469" s="297"/>
      <c r="R469" s="429"/>
      <c r="S469" s="298"/>
      <c r="T469" s="298"/>
      <c r="U469" s="297"/>
      <c r="V469" s="429"/>
      <c r="W469" s="316"/>
    </row>
    <row r="470" spans="1:23" x14ac:dyDescent="0.2">
      <c r="A470" s="421"/>
      <c r="B470" s="421"/>
      <c r="C470" s="429"/>
      <c r="D470" s="281"/>
      <c r="E470" s="429"/>
      <c r="F470" s="429"/>
      <c r="G470" s="298"/>
      <c r="H470" s="298"/>
      <c r="I470" s="297"/>
      <c r="J470" s="429"/>
      <c r="K470" s="298"/>
      <c r="L470" s="298"/>
      <c r="M470" s="297"/>
      <c r="N470" s="429"/>
      <c r="O470" s="298"/>
      <c r="P470" s="298"/>
      <c r="Q470" s="297"/>
      <c r="R470" s="429"/>
      <c r="S470" s="298"/>
      <c r="T470" s="298"/>
      <c r="U470" s="297"/>
      <c r="V470" s="429"/>
      <c r="W470" s="316"/>
    </row>
    <row r="471" spans="1:23" x14ac:dyDescent="0.2">
      <c r="A471" s="421"/>
      <c r="B471" s="421"/>
      <c r="C471" s="429"/>
      <c r="D471" s="281"/>
      <c r="E471" s="429"/>
      <c r="F471" s="429"/>
      <c r="G471" s="298"/>
      <c r="H471" s="298"/>
      <c r="I471" s="297"/>
      <c r="J471" s="429"/>
      <c r="K471" s="298"/>
      <c r="L471" s="298"/>
      <c r="M471" s="297"/>
      <c r="N471" s="429"/>
      <c r="O471" s="298"/>
      <c r="P471" s="298"/>
      <c r="Q471" s="297"/>
      <c r="R471" s="429"/>
      <c r="S471" s="298"/>
      <c r="T471" s="298"/>
      <c r="U471" s="297"/>
      <c r="V471" s="429"/>
      <c r="W471" s="316"/>
    </row>
    <row r="472" spans="1:23" x14ac:dyDescent="0.2">
      <c r="A472" s="421"/>
      <c r="B472" s="421"/>
      <c r="C472" s="429"/>
      <c r="D472" s="281"/>
      <c r="E472" s="429"/>
      <c r="F472" s="429"/>
      <c r="G472" s="298"/>
      <c r="H472" s="298"/>
      <c r="I472" s="297"/>
      <c r="J472" s="429"/>
      <c r="K472" s="298"/>
      <c r="L472" s="298"/>
      <c r="M472" s="297"/>
      <c r="N472" s="429"/>
      <c r="O472" s="298"/>
      <c r="P472" s="298"/>
      <c r="Q472" s="297"/>
      <c r="R472" s="429"/>
      <c r="S472" s="298"/>
      <c r="T472" s="298"/>
      <c r="U472" s="297"/>
      <c r="V472" s="429"/>
      <c r="W472" s="316"/>
    </row>
    <row r="473" spans="1:23" x14ac:dyDescent="0.2">
      <c r="A473" s="421"/>
      <c r="B473" s="421"/>
      <c r="C473" s="429"/>
      <c r="D473" s="281"/>
      <c r="E473" s="429"/>
      <c r="F473" s="429"/>
      <c r="G473" s="298"/>
      <c r="H473" s="298"/>
      <c r="I473" s="297"/>
      <c r="J473" s="429"/>
      <c r="K473" s="298"/>
      <c r="L473" s="298"/>
      <c r="M473" s="297"/>
      <c r="N473" s="429"/>
      <c r="O473" s="298"/>
      <c r="P473" s="298"/>
      <c r="Q473" s="297"/>
      <c r="R473" s="429"/>
      <c r="S473" s="298"/>
      <c r="T473" s="298"/>
      <c r="U473" s="297"/>
      <c r="V473" s="429"/>
      <c r="W473" s="316"/>
    </row>
    <row r="474" spans="1:23" x14ac:dyDescent="0.2">
      <c r="A474" s="421"/>
      <c r="B474" s="421"/>
      <c r="C474" s="429"/>
      <c r="D474" s="281"/>
      <c r="E474" s="429"/>
      <c r="F474" s="429"/>
      <c r="G474" s="298"/>
      <c r="H474" s="298"/>
      <c r="I474" s="297"/>
      <c r="J474" s="429"/>
      <c r="K474" s="298"/>
      <c r="L474" s="298"/>
      <c r="M474" s="297"/>
      <c r="N474" s="429"/>
      <c r="O474" s="298"/>
      <c r="P474" s="298"/>
      <c r="Q474" s="297"/>
      <c r="R474" s="429"/>
      <c r="S474" s="298"/>
      <c r="T474" s="298"/>
      <c r="U474" s="297"/>
      <c r="V474" s="429"/>
      <c r="W474" s="316"/>
    </row>
    <row r="475" spans="1:23" x14ac:dyDescent="0.2">
      <c r="A475" s="421"/>
      <c r="B475" s="421"/>
      <c r="C475" s="429"/>
      <c r="D475" s="281"/>
      <c r="E475" s="429"/>
      <c r="F475" s="429"/>
      <c r="G475" s="298"/>
      <c r="H475" s="298"/>
      <c r="I475" s="297"/>
      <c r="J475" s="429"/>
      <c r="K475" s="298"/>
      <c r="L475" s="298"/>
      <c r="M475" s="297"/>
      <c r="N475" s="429"/>
      <c r="O475" s="298"/>
      <c r="P475" s="298"/>
      <c r="Q475" s="297"/>
      <c r="R475" s="429"/>
      <c r="S475" s="298"/>
      <c r="T475" s="298"/>
      <c r="U475" s="297"/>
      <c r="V475" s="429"/>
      <c r="W475" s="316"/>
    </row>
    <row r="476" spans="1:23" x14ac:dyDescent="0.2">
      <c r="A476" s="421"/>
      <c r="B476" s="421"/>
      <c r="C476" s="429"/>
      <c r="D476" s="281"/>
      <c r="E476" s="429"/>
      <c r="F476" s="429"/>
      <c r="G476" s="298"/>
      <c r="H476" s="298"/>
      <c r="I476" s="297"/>
      <c r="J476" s="429"/>
      <c r="K476" s="298"/>
      <c r="L476" s="298"/>
      <c r="M476" s="297"/>
      <c r="N476" s="429"/>
      <c r="O476" s="298"/>
      <c r="P476" s="298"/>
      <c r="Q476" s="297"/>
      <c r="R476" s="429"/>
      <c r="S476" s="298"/>
      <c r="T476" s="298"/>
      <c r="U476" s="297"/>
      <c r="V476" s="429"/>
      <c r="W476" s="316"/>
    </row>
    <row r="477" spans="1:23" x14ac:dyDescent="0.2">
      <c r="A477" s="421"/>
      <c r="B477" s="421"/>
      <c r="C477" s="429"/>
      <c r="D477" s="281"/>
      <c r="E477" s="429"/>
      <c r="F477" s="429"/>
      <c r="G477" s="298"/>
      <c r="H477" s="298"/>
      <c r="I477" s="297"/>
      <c r="J477" s="429"/>
      <c r="K477" s="298"/>
      <c r="L477" s="298"/>
      <c r="M477" s="297"/>
      <c r="N477" s="429"/>
      <c r="O477" s="298"/>
      <c r="P477" s="298"/>
      <c r="Q477" s="297"/>
      <c r="R477" s="429"/>
      <c r="S477" s="298"/>
      <c r="T477" s="298"/>
      <c r="U477" s="297"/>
      <c r="V477" s="429"/>
      <c r="W477" s="316"/>
    </row>
    <row r="478" spans="1:23" x14ac:dyDescent="0.2">
      <c r="A478" s="421"/>
      <c r="B478" s="421"/>
      <c r="C478" s="429"/>
      <c r="D478" s="281"/>
      <c r="E478" s="429"/>
      <c r="F478" s="429"/>
      <c r="G478" s="298"/>
      <c r="H478" s="298"/>
      <c r="I478" s="297"/>
      <c r="J478" s="429"/>
      <c r="K478" s="298"/>
      <c r="L478" s="298"/>
      <c r="M478" s="297"/>
      <c r="N478" s="429"/>
      <c r="O478" s="298"/>
      <c r="P478" s="298"/>
      <c r="Q478" s="297"/>
      <c r="R478" s="429"/>
      <c r="S478" s="298"/>
      <c r="T478" s="298"/>
      <c r="U478" s="297"/>
      <c r="V478" s="429"/>
      <c r="W478" s="316"/>
    </row>
    <row r="479" spans="1:23" x14ac:dyDescent="0.2">
      <c r="A479" s="421"/>
      <c r="B479" s="421"/>
      <c r="C479" s="429"/>
      <c r="D479" s="281"/>
      <c r="E479" s="429"/>
      <c r="F479" s="429"/>
      <c r="G479" s="298"/>
      <c r="H479" s="298"/>
      <c r="I479" s="297"/>
      <c r="J479" s="429"/>
      <c r="K479" s="298"/>
      <c r="L479" s="298"/>
      <c r="M479" s="297"/>
      <c r="N479" s="429"/>
      <c r="O479" s="298"/>
      <c r="P479" s="298"/>
      <c r="Q479" s="297"/>
      <c r="R479" s="429"/>
      <c r="S479" s="298"/>
      <c r="T479" s="298"/>
      <c r="U479" s="297"/>
      <c r="V479" s="429"/>
      <c r="W479" s="316"/>
    </row>
    <row r="480" spans="1:23" x14ac:dyDescent="0.2">
      <c r="A480" s="421"/>
      <c r="B480" s="421"/>
      <c r="C480" s="429"/>
      <c r="D480" s="281"/>
      <c r="E480" s="429"/>
      <c r="F480" s="429"/>
      <c r="G480" s="298"/>
      <c r="H480" s="298"/>
      <c r="I480" s="297"/>
      <c r="J480" s="429"/>
      <c r="K480" s="298"/>
      <c r="L480" s="298"/>
      <c r="M480" s="297"/>
      <c r="N480" s="429"/>
      <c r="O480" s="298"/>
      <c r="P480" s="298"/>
      <c r="Q480" s="297"/>
      <c r="R480" s="429"/>
      <c r="S480" s="298"/>
      <c r="T480" s="298"/>
      <c r="U480" s="297"/>
      <c r="V480" s="429"/>
      <c r="W480" s="316"/>
    </row>
    <row r="481" spans="1:23" x14ac:dyDescent="0.2">
      <c r="A481" s="421"/>
      <c r="B481" s="421"/>
      <c r="C481" s="429"/>
      <c r="D481" s="281"/>
      <c r="E481" s="429"/>
      <c r="F481" s="429"/>
      <c r="G481" s="298"/>
      <c r="H481" s="298"/>
      <c r="I481" s="297"/>
      <c r="J481" s="429"/>
      <c r="K481" s="298"/>
      <c r="L481" s="298"/>
      <c r="M481" s="297"/>
      <c r="N481" s="429"/>
      <c r="O481" s="298"/>
      <c r="P481" s="298"/>
      <c r="Q481" s="297"/>
      <c r="R481" s="429"/>
      <c r="S481" s="298"/>
      <c r="T481" s="298"/>
      <c r="U481" s="297"/>
      <c r="V481" s="429"/>
      <c r="W481" s="316"/>
    </row>
    <row r="482" spans="1:23" x14ac:dyDescent="0.2">
      <c r="A482" s="421"/>
      <c r="B482" s="421"/>
      <c r="C482" s="429"/>
      <c r="D482" s="281"/>
      <c r="E482" s="429"/>
      <c r="F482" s="429"/>
      <c r="G482" s="298"/>
      <c r="H482" s="298"/>
      <c r="I482" s="297"/>
      <c r="J482" s="429"/>
      <c r="K482" s="298"/>
      <c r="L482" s="298"/>
      <c r="M482" s="297"/>
      <c r="N482" s="429"/>
      <c r="O482" s="298"/>
      <c r="P482" s="298"/>
      <c r="Q482" s="297"/>
      <c r="R482" s="429"/>
      <c r="S482" s="298"/>
      <c r="T482" s="298"/>
      <c r="U482" s="297"/>
      <c r="V482" s="429"/>
      <c r="W482" s="316"/>
    </row>
    <row r="483" spans="1:23" x14ac:dyDescent="0.2">
      <c r="A483" s="421"/>
      <c r="B483" s="421"/>
      <c r="C483" s="429"/>
      <c r="D483" s="281"/>
      <c r="E483" s="429"/>
      <c r="F483" s="429"/>
      <c r="G483" s="298"/>
      <c r="H483" s="298"/>
      <c r="I483" s="297"/>
      <c r="J483" s="429"/>
      <c r="K483" s="298"/>
      <c r="L483" s="298"/>
      <c r="M483" s="297"/>
      <c r="N483" s="429"/>
      <c r="O483" s="298"/>
      <c r="P483" s="298"/>
      <c r="Q483" s="297"/>
      <c r="R483" s="429"/>
      <c r="S483" s="298"/>
      <c r="T483" s="298"/>
      <c r="U483" s="297"/>
      <c r="V483" s="429"/>
      <c r="W483" s="316"/>
    </row>
    <row r="484" spans="1:23" x14ac:dyDescent="0.2">
      <c r="A484" s="421"/>
      <c r="B484" s="421"/>
      <c r="C484" s="429"/>
      <c r="D484" s="281"/>
      <c r="E484" s="429"/>
      <c r="F484" s="429"/>
      <c r="G484" s="298"/>
      <c r="H484" s="298"/>
      <c r="I484" s="297"/>
      <c r="J484" s="429"/>
      <c r="K484" s="298"/>
      <c r="L484" s="298"/>
      <c r="M484" s="297"/>
      <c r="N484" s="429"/>
      <c r="O484" s="298"/>
      <c r="P484" s="298"/>
      <c r="Q484" s="297"/>
      <c r="R484" s="429"/>
      <c r="S484" s="298"/>
      <c r="T484" s="298"/>
      <c r="U484" s="297"/>
      <c r="V484" s="429"/>
      <c r="W484" s="316"/>
    </row>
    <row r="485" spans="1:23" x14ac:dyDescent="0.2">
      <c r="A485" s="421"/>
      <c r="B485" s="421"/>
      <c r="C485" s="429"/>
      <c r="D485" s="281"/>
      <c r="E485" s="429"/>
      <c r="F485" s="429"/>
      <c r="G485" s="298"/>
      <c r="H485" s="298"/>
      <c r="I485" s="297"/>
      <c r="J485" s="429"/>
      <c r="K485" s="298"/>
      <c r="L485" s="298"/>
      <c r="M485" s="297"/>
      <c r="N485" s="429"/>
      <c r="O485" s="298"/>
      <c r="P485" s="298"/>
      <c r="Q485" s="297"/>
      <c r="R485" s="429"/>
      <c r="S485" s="298"/>
      <c r="T485" s="298"/>
      <c r="U485" s="297"/>
      <c r="V485" s="429"/>
      <c r="W485" s="316"/>
    </row>
    <row r="486" spans="1:23" x14ac:dyDescent="0.2">
      <c r="A486" s="421"/>
      <c r="B486" s="421"/>
      <c r="C486" s="429"/>
      <c r="D486" s="281"/>
      <c r="E486" s="429"/>
      <c r="F486" s="429"/>
      <c r="G486" s="298"/>
      <c r="H486" s="298"/>
      <c r="I486" s="297"/>
      <c r="J486" s="429"/>
      <c r="K486" s="298"/>
      <c r="L486" s="298"/>
      <c r="M486" s="297"/>
      <c r="N486" s="429"/>
      <c r="O486" s="298"/>
      <c r="P486" s="298"/>
      <c r="Q486" s="297"/>
      <c r="R486" s="429"/>
      <c r="S486" s="298"/>
      <c r="T486" s="298"/>
      <c r="U486" s="297"/>
      <c r="V486" s="429"/>
      <c r="W486" s="316"/>
    </row>
    <row r="487" spans="1:23" x14ac:dyDescent="0.2">
      <c r="A487" s="421"/>
      <c r="B487" s="421"/>
      <c r="C487" s="429"/>
      <c r="D487" s="281"/>
      <c r="E487" s="429"/>
      <c r="F487" s="429"/>
      <c r="G487" s="298"/>
      <c r="H487" s="298"/>
      <c r="I487" s="297"/>
      <c r="J487" s="429"/>
      <c r="K487" s="298"/>
      <c r="L487" s="298"/>
      <c r="M487" s="297"/>
      <c r="N487" s="429"/>
      <c r="O487" s="298"/>
      <c r="P487" s="298"/>
      <c r="Q487" s="297"/>
      <c r="R487" s="429"/>
      <c r="S487" s="298"/>
      <c r="T487" s="298"/>
      <c r="U487" s="297"/>
      <c r="V487" s="429"/>
      <c r="W487" s="316"/>
    </row>
    <row r="488" spans="1:23" x14ac:dyDescent="0.2">
      <c r="A488" s="421"/>
      <c r="B488" s="421"/>
      <c r="C488" s="429"/>
      <c r="D488" s="281"/>
      <c r="E488" s="429"/>
      <c r="F488" s="429"/>
      <c r="G488" s="298"/>
      <c r="H488" s="298"/>
      <c r="I488" s="297"/>
      <c r="J488" s="429"/>
      <c r="K488" s="298"/>
      <c r="L488" s="298"/>
      <c r="M488" s="297"/>
      <c r="N488" s="429"/>
      <c r="O488" s="298"/>
      <c r="P488" s="298"/>
      <c r="Q488" s="297"/>
      <c r="R488" s="429"/>
      <c r="S488" s="298"/>
      <c r="T488" s="298"/>
      <c r="U488" s="297"/>
      <c r="V488" s="429"/>
      <c r="W488" s="316"/>
    </row>
    <row r="489" spans="1:23" x14ac:dyDescent="0.2">
      <c r="A489" s="421"/>
      <c r="B489" s="421"/>
      <c r="C489" s="429"/>
      <c r="D489" s="281"/>
      <c r="E489" s="429"/>
      <c r="F489" s="429"/>
      <c r="G489" s="298"/>
      <c r="H489" s="298"/>
      <c r="I489" s="297"/>
      <c r="J489" s="429"/>
      <c r="K489" s="298"/>
      <c r="L489" s="298"/>
      <c r="M489" s="297"/>
      <c r="N489" s="429"/>
      <c r="O489" s="298"/>
      <c r="P489" s="298"/>
      <c r="Q489" s="297"/>
      <c r="R489" s="429"/>
      <c r="S489" s="298"/>
      <c r="T489" s="298"/>
      <c r="U489" s="297"/>
      <c r="V489" s="429"/>
      <c r="W489" s="316"/>
    </row>
    <row r="490" spans="1:23" x14ac:dyDescent="0.2">
      <c r="A490" s="421"/>
      <c r="B490" s="421"/>
      <c r="C490" s="429"/>
      <c r="D490" s="281"/>
      <c r="E490" s="429"/>
      <c r="F490" s="429"/>
      <c r="G490" s="298"/>
      <c r="H490" s="298"/>
      <c r="I490" s="297"/>
      <c r="J490" s="429"/>
      <c r="K490" s="298"/>
      <c r="L490" s="298"/>
      <c r="M490" s="297"/>
      <c r="N490" s="429"/>
      <c r="O490" s="298"/>
      <c r="P490" s="298"/>
      <c r="Q490" s="297"/>
      <c r="R490" s="429"/>
      <c r="S490" s="298"/>
      <c r="T490" s="298"/>
      <c r="U490" s="297"/>
      <c r="V490" s="429"/>
      <c r="W490" s="316"/>
    </row>
    <row r="491" spans="1:23" x14ac:dyDescent="0.2">
      <c r="A491" s="421"/>
      <c r="B491" s="421"/>
      <c r="C491" s="429"/>
      <c r="D491" s="281"/>
      <c r="E491" s="429"/>
      <c r="F491" s="429"/>
      <c r="G491" s="298"/>
      <c r="H491" s="298"/>
      <c r="I491" s="297"/>
      <c r="J491" s="429"/>
      <c r="K491" s="298"/>
      <c r="L491" s="298"/>
      <c r="M491" s="297"/>
      <c r="N491" s="429"/>
      <c r="O491" s="298"/>
      <c r="P491" s="298"/>
      <c r="Q491" s="297"/>
      <c r="R491" s="429"/>
      <c r="S491" s="298"/>
      <c r="T491" s="298"/>
      <c r="U491" s="297"/>
      <c r="V491" s="429"/>
      <c r="W491" s="316"/>
    </row>
    <row r="492" spans="1:23" x14ac:dyDescent="0.2">
      <c r="A492" s="421"/>
      <c r="B492" s="421"/>
      <c r="C492" s="429"/>
      <c r="D492" s="281"/>
      <c r="E492" s="429"/>
      <c r="F492" s="429"/>
      <c r="G492" s="298"/>
      <c r="H492" s="298"/>
      <c r="I492" s="297"/>
      <c r="J492" s="429"/>
      <c r="K492" s="298"/>
      <c r="L492" s="298"/>
      <c r="M492" s="297"/>
      <c r="N492" s="429"/>
      <c r="O492" s="298"/>
      <c r="P492" s="298"/>
      <c r="Q492" s="297"/>
      <c r="R492" s="429"/>
      <c r="S492" s="298"/>
      <c r="T492" s="298"/>
      <c r="U492" s="297"/>
      <c r="V492" s="429"/>
      <c r="W492" s="316"/>
    </row>
    <row r="493" spans="1:23" x14ac:dyDescent="0.2">
      <c r="A493" s="421"/>
      <c r="B493" s="421"/>
      <c r="C493" s="429"/>
      <c r="D493" s="281"/>
      <c r="E493" s="429"/>
      <c r="F493" s="429"/>
      <c r="G493" s="298"/>
      <c r="H493" s="298"/>
      <c r="I493" s="297"/>
      <c r="J493" s="429"/>
      <c r="K493" s="298"/>
      <c r="L493" s="298"/>
      <c r="M493" s="297"/>
      <c r="N493" s="429"/>
      <c r="O493" s="298"/>
      <c r="P493" s="298"/>
      <c r="Q493" s="297"/>
      <c r="R493" s="429"/>
      <c r="S493" s="298"/>
      <c r="T493" s="298"/>
      <c r="U493" s="297"/>
      <c r="V493" s="429"/>
      <c r="W493" s="316"/>
    </row>
    <row r="494" spans="1:23" x14ac:dyDescent="0.2">
      <c r="A494" s="421"/>
      <c r="B494" s="421"/>
      <c r="C494" s="429"/>
      <c r="D494" s="281"/>
      <c r="E494" s="429"/>
      <c r="F494" s="429"/>
      <c r="G494" s="298"/>
      <c r="H494" s="298"/>
      <c r="I494" s="297"/>
      <c r="J494" s="429"/>
      <c r="K494" s="298"/>
      <c r="L494" s="298"/>
      <c r="M494" s="297"/>
      <c r="N494" s="429"/>
      <c r="O494" s="298"/>
      <c r="P494" s="298"/>
      <c r="Q494" s="297"/>
      <c r="R494" s="429"/>
      <c r="S494" s="298"/>
      <c r="T494" s="298"/>
      <c r="U494" s="297"/>
      <c r="V494" s="429"/>
      <c r="W494" s="316"/>
    </row>
    <row r="495" spans="1:23" x14ac:dyDescent="0.2">
      <c r="A495" s="421"/>
      <c r="B495" s="421"/>
      <c r="C495" s="429"/>
      <c r="D495" s="281"/>
      <c r="E495" s="429"/>
      <c r="F495" s="429"/>
      <c r="G495" s="298"/>
      <c r="H495" s="298"/>
      <c r="I495" s="297"/>
      <c r="J495" s="429"/>
      <c r="K495" s="298"/>
      <c r="L495" s="298"/>
      <c r="M495" s="297"/>
      <c r="N495" s="429"/>
      <c r="O495" s="298"/>
      <c r="P495" s="298"/>
      <c r="Q495" s="297"/>
      <c r="R495" s="429"/>
      <c r="S495" s="298"/>
      <c r="T495" s="298"/>
      <c r="U495" s="297"/>
      <c r="V495" s="429"/>
      <c r="W495" s="316"/>
    </row>
    <row r="496" spans="1:23" x14ac:dyDescent="0.2">
      <c r="A496" s="421"/>
      <c r="B496" s="421"/>
      <c r="C496" s="429"/>
      <c r="D496" s="281"/>
      <c r="E496" s="429"/>
      <c r="F496" s="429"/>
      <c r="G496" s="298"/>
      <c r="H496" s="298"/>
      <c r="I496" s="297"/>
      <c r="J496" s="429"/>
      <c r="K496" s="298"/>
      <c r="L496" s="298"/>
      <c r="M496" s="297"/>
      <c r="N496" s="429"/>
      <c r="O496" s="298"/>
      <c r="P496" s="298"/>
      <c r="Q496" s="297"/>
      <c r="R496" s="429"/>
      <c r="S496" s="298"/>
      <c r="T496" s="298"/>
      <c r="U496" s="297"/>
      <c r="V496" s="429"/>
      <c r="W496" s="316"/>
    </row>
    <row r="497" spans="1:23" x14ac:dyDescent="0.2">
      <c r="A497" s="421"/>
      <c r="B497" s="421"/>
      <c r="C497" s="429"/>
      <c r="D497" s="281"/>
      <c r="E497" s="429"/>
      <c r="F497" s="429"/>
      <c r="G497" s="298"/>
      <c r="H497" s="298"/>
      <c r="I497" s="297"/>
      <c r="J497" s="429"/>
      <c r="K497" s="298"/>
      <c r="L497" s="298"/>
      <c r="M497" s="297"/>
      <c r="N497" s="429"/>
      <c r="O497" s="298"/>
      <c r="P497" s="298"/>
      <c r="Q497" s="297"/>
      <c r="R497" s="429"/>
      <c r="S497" s="298"/>
      <c r="T497" s="298"/>
      <c r="U497" s="297"/>
      <c r="V497" s="429"/>
      <c r="W497" s="316"/>
    </row>
    <row r="498" spans="1:23" x14ac:dyDescent="0.2">
      <c r="A498" s="421"/>
      <c r="B498" s="421"/>
      <c r="C498" s="429"/>
      <c r="D498" s="281"/>
      <c r="E498" s="429"/>
      <c r="F498" s="429"/>
      <c r="G498" s="298"/>
      <c r="H498" s="298"/>
      <c r="I498" s="297"/>
      <c r="J498" s="429"/>
      <c r="K498" s="298"/>
      <c r="L498" s="298"/>
      <c r="M498" s="297"/>
      <c r="N498" s="429"/>
      <c r="O498" s="298"/>
      <c r="P498" s="298"/>
      <c r="Q498" s="297"/>
      <c r="R498" s="429"/>
      <c r="S498" s="298"/>
      <c r="T498" s="298"/>
      <c r="U498" s="297"/>
      <c r="V498" s="429"/>
      <c r="W498" s="316"/>
    </row>
    <row r="499" spans="1:23" x14ac:dyDescent="0.2">
      <c r="A499" s="421"/>
      <c r="B499" s="421"/>
      <c r="C499" s="429"/>
      <c r="D499" s="281"/>
      <c r="E499" s="429"/>
      <c r="F499" s="429"/>
      <c r="G499" s="298"/>
      <c r="H499" s="298"/>
      <c r="I499" s="297"/>
      <c r="J499" s="429"/>
      <c r="K499" s="298"/>
      <c r="L499" s="298"/>
      <c r="M499" s="297"/>
      <c r="N499" s="429"/>
      <c r="O499" s="298"/>
      <c r="P499" s="298"/>
      <c r="Q499" s="297"/>
      <c r="R499" s="429"/>
      <c r="S499" s="298"/>
      <c r="T499" s="298"/>
      <c r="U499" s="297"/>
      <c r="V499" s="429"/>
      <c r="W499" s="316"/>
    </row>
    <row r="500" spans="1:23" x14ac:dyDescent="0.2">
      <c r="A500" s="421"/>
      <c r="B500" s="421"/>
      <c r="C500" s="429"/>
      <c r="D500" s="281"/>
      <c r="E500" s="429"/>
      <c r="F500" s="429"/>
      <c r="G500" s="298"/>
      <c r="H500" s="298"/>
      <c r="I500" s="297"/>
      <c r="J500" s="429"/>
      <c r="K500" s="298"/>
      <c r="L500" s="298"/>
      <c r="M500" s="297"/>
      <c r="N500" s="429"/>
      <c r="O500" s="298"/>
      <c r="P500" s="298"/>
      <c r="Q500" s="297"/>
      <c r="R500" s="429"/>
      <c r="S500" s="298"/>
      <c r="T500" s="298"/>
      <c r="U500" s="297"/>
      <c r="V500" s="429"/>
      <c r="W500" s="316"/>
    </row>
    <row r="501" spans="1:23" x14ac:dyDescent="0.2">
      <c r="A501" s="421"/>
      <c r="B501" s="421"/>
      <c r="C501" s="429"/>
      <c r="D501" s="281"/>
      <c r="E501" s="429"/>
      <c r="F501" s="429"/>
      <c r="G501" s="298"/>
      <c r="H501" s="298"/>
      <c r="I501" s="297"/>
      <c r="J501" s="429"/>
      <c r="K501" s="298"/>
      <c r="L501" s="298"/>
      <c r="M501" s="297"/>
      <c r="N501" s="429"/>
      <c r="O501" s="298"/>
      <c r="P501" s="298"/>
      <c r="Q501" s="297"/>
      <c r="R501" s="429"/>
      <c r="S501" s="298"/>
      <c r="T501" s="298"/>
      <c r="U501" s="297"/>
      <c r="V501" s="429"/>
      <c r="W501" s="316"/>
    </row>
    <row r="502" spans="1:23" x14ac:dyDescent="0.2">
      <c r="A502" s="421"/>
      <c r="B502" s="421"/>
      <c r="C502" s="429"/>
      <c r="D502" s="281"/>
      <c r="E502" s="429"/>
      <c r="F502" s="429"/>
      <c r="G502" s="298"/>
      <c r="H502" s="298"/>
      <c r="I502" s="297"/>
      <c r="J502" s="429"/>
      <c r="K502" s="298"/>
      <c r="L502" s="298"/>
      <c r="M502" s="297"/>
      <c r="N502" s="429"/>
      <c r="O502" s="298"/>
      <c r="P502" s="298"/>
      <c r="Q502" s="297"/>
      <c r="R502" s="429"/>
      <c r="S502" s="298"/>
      <c r="T502" s="298"/>
      <c r="U502" s="297"/>
      <c r="V502" s="429"/>
      <c r="W502" s="316"/>
    </row>
    <row r="503" spans="1:23" x14ac:dyDescent="0.2">
      <c r="A503" s="421"/>
      <c r="B503" s="421"/>
      <c r="C503" s="429"/>
      <c r="D503" s="281"/>
      <c r="E503" s="429"/>
      <c r="F503" s="429"/>
      <c r="G503" s="298"/>
      <c r="H503" s="298"/>
      <c r="I503" s="297"/>
      <c r="J503" s="429"/>
      <c r="K503" s="298"/>
      <c r="L503" s="298"/>
      <c r="M503" s="297"/>
      <c r="N503" s="429"/>
      <c r="O503" s="298"/>
      <c r="P503" s="298"/>
      <c r="Q503" s="297"/>
      <c r="R503" s="429"/>
      <c r="S503" s="298"/>
      <c r="T503" s="298"/>
      <c r="U503" s="297"/>
      <c r="V503" s="429"/>
      <c r="W503" s="316"/>
    </row>
    <row r="504" spans="1:23" x14ac:dyDescent="0.2">
      <c r="A504" s="421"/>
      <c r="B504" s="421"/>
      <c r="C504" s="429"/>
      <c r="D504" s="281"/>
      <c r="E504" s="429"/>
      <c r="F504" s="429"/>
      <c r="G504" s="298"/>
      <c r="H504" s="298"/>
      <c r="I504" s="297"/>
      <c r="J504" s="429"/>
      <c r="K504" s="298"/>
      <c r="L504" s="298"/>
      <c r="M504" s="297"/>
      <c r="N504" s="429"/>
      <c r="O504" s="298"/>
      <c r="P504" s="298"/>
      <c r="Q504" s="297"/>
      <c r="R504" s="429"/>
      <c r="S504" s="298"/>
      <c r="T504" s="298"/>
      <c r="U504" s="297"/>
      <c r="V504" s="429"/>
      <c r="W504" s="316"/>
    </row>
    <row r="505" spans="1:23" x14ac:dyDescent="0.2">
      <c r="A505" s="421"/>
      <c r="B505" s="421"/>
      <c r="C505" s="429"/>
      <c r="D505" s="281"/>
      <c r="E505" s="429"/>
      <c r="F505" s="429"/>
      <c r="G505" s="298"/>
      <c r="H505" s="298"/>
      <c r="I505" s="297"/>
      <c r="J505" s="429"/>
      <c r="K505" s="298"/>
      <c r="L505" s="298"/>
      <c r="M505" s="297"/>
      <c r="N505" s="429"/>
      <c r="O505" s="298"/>
      <c r="P505" s="298"/>
      <c r="Q505" s="297"/>
      <c r="R505" s="429"/>
      <c r="S505" s="298"/>
      <c r="T505" s="298"/>
      <c r="U505" s="297"/>
      <c r="V505" s="429"/>
      <c r="W505" s="316"/>
    </row>
    <row r="506" spans="1:23" x14ac:dyDescent="0.2">
      <c r="A506" s="421"/>
      <c r="B506" s="421"/>
      <c r="C506" s="429"/>
      <c r="D506" s="281"/>
      <c r="E506" s="429"/>
      <c r="F506" s="429"/>
      <c r="G506" s="298"/>
      <c r="H506" s="298"/>
      <c r="I506" s="297"/>
      <c r="J506" s="429"/>
      <c r="K506" s="298"/>
      <c r="L506" s="298"/>
      <c r="M506" s="297"/>
      <c r="N506" s="429"/>
      <c r="O506" s="298"/>
      <c r="P506" s="298"/>
      <c r="Q506" s="297"/>
      <c r="R506" s="429"/>
      <c r="S506" s="298"/>
      <c r="T506" s="298"/>
      <c r="U506" s="297"/>
      <c r="V506" s="429"/>
      <c r="W506" s="316"/>
    </row>
    <row r="507" spans="1:23" x14ac:dyDescent="0.2">
      <c r="A507" s="421"/>
      <c r="B507" s="421"/>
      <c r="C507" s="429"/>
      <c r="D507" s="281"/>
      <c r="E507" s="429"/>
      <c r="F507" s="429"/>
      <c r="G507" s="298"/>
      <c r="H507" s="298"/>
      <c r="I507" s="297"/>
      <c r="J507" s="429"/>
      <c r="K507" s="298"/>
      <c r="L507" s="298"/>
      <c r="M507" s="297"/>
      <c r="N507" s="429"/>
      <c r="O507" s="298"/>
      <c r="P507" s="298"/>
      <c r="Q507" s="297"/>
      <c r="R507" s="429"/>
      <c r="S507" s="298"/>
      <c r="T507" s="298"/>
      <c r="U507" s="297"/>
      <c r="V507" s="429"/>
      <c r="W507" s="316"/>
    </row>
    <row r="508" spans="1:23" x14ac:dyDescent="0.2">
      <c r="A508" s="421"/>
      <c r="B508" s="421"/>
      <c r="C508" s="429"/>
      <c r="D508" s="281"/>
      <c r="E508" s="429"/>
      <c r="F508" s="429"/>
      <c r="G508" s="298"/>
      <c r="H508" s="298"/>
      <c r="I508" s="297"/>
      <c r="J508" s="429"/>
      <c r="K508" s="298"/>
      <c r="L508" s="298"/>
      <c r="M508" s="297"/>
      <c r="N508" s="429"/>
      <c r="O508" s="298"/>
      <c r="P508" s="298"/>
      <c r="Q508" s="297"/>
      <c r="R508" s="429"/>
      <c r="S508" s="298"/>
      <c r="T508" s="298"/>
      <c r="U508" s="297"/>
      <c r="V508" s="429"/>
      <c r="W508" s="316"/>
    </row>
    <row r="509" spans="1:23" x14ac:dyDescent="0.2">
      <c r="A509" s="421"/>
      <c r="B509" s="421"/>
      <c r="C509" s="429"/>
      <c r="D509" s="281"/>
      <c r="E509" s="429"/>
      <c r="F509" s="429"/>
      <c r="G509" s="298"/>
      <c r="H509" s="298"/>
      <c r="I509" s="297"/>
      <c r="J509" s="429"/>
      <c r="K509" s="298"/>
      <c r="L509" s="298"/>
      <c r="M509" s="297"/>
      <c r="N509" s="429"/>
      <c r="O509" s="298"/>
      <c r="P509" s="298"/>
      <c r="Q509" s="297"/>
      <c r="R509" s="429"/>
      <c r="S509" s="298"/>
      <c r="T509" s="298"/>
      <c r="U509" s="297"/>
      <c r="V509" s="429"/>
      <c r="W509" s="316"/>
    </row>
    <row r="510" spans="1:23" x14ac:dyDescent="0.2">
      <c r="A510" s="421"/>
      <c r="B510" s="421"/>
      <c r="C510" s="429"/>
      <c r="D510" s="281"/>
      <c r="E510" s="429"/>
      <c r="F510" s="429"/>
      <c r="G510" s="298"/>
      <c r="H510" s="298"/>
      <c r="I510" s="297"/>
      <c r="J510" s="429"/>
      <c r="K510" s="298"/>
      <c r="L510" s="298"/>
      <c r="M510" s="297"/>
      <c r="N510" s="429"/>
      <c r="O510" s="298"/>
      <c r="P510" s="298"/>
      <c r="Q510" s="297"/>
      <c r="R510" s="429"/>
      <c r="S510" s="298"/>
      <c r="T510" s="298"/>
      <c r="U510" s="297"/>
      <c r="V510" s="429"/>
      <c r="W510" s="316"/>
    </row>
    <row r="511" spans="1:23" x14ac:dyDescent="0.2">
      <c r="A511" s="421"/>
      <c r="B511" s="421"/>
      <c r="C511" s="429"/>
      <c r="D511" s="281"/>
      <c r="E511" s="429"/>
      <c r="F511" s="429"/>
      <c r="G511" s="298"/>
      <c r="H511" s="298"/>
      <c r="I511" s="297"/>
      <c r="J511" s="429"/>
      <c r="K511" s="298"/>
      <c r="L511" s="298"/>
      <c r="M511" s="297"/>
      <c r="N511" s="429"/>
      <c r="O511" s="298"/>
      <c r="P511" s="298"/>
      <c r="Q511" s="297"/>
      <c r="R511" s="429"/>
      <c r="S511" s="298"/>
      <c r="T511" s="298"/>
      <c r="U511" s="297"/>
      <c r="V511" s="429"/>
      <c r="W511" s="316"/>
    </row>
    <row r="512" spans="1:23" x14ac:dyDescent="0.2">
      <c r="A512" s="421"/>
      <c r="B512" s="421"/>
      <c r="C512" s="429"/>
      <c r="D512" s="281"/>
      <c r="E512" s="429"/>
      <c r="F512" s="429"/>
      <c r="G512" s="298"/>
      <c r="H512" s="298"/>
      <c r="I512" s="297"/>
      <c r="J512" s="429"/>
      <c r="K512" s="298"/>
      <c r="L512" s="298"/>
      <c r="M512" s="297"/>
      <c r="N512" s="429"/>
      <c r="O512" s="298"/>
      <c r="P512" s="298"/>
      <c r="Q512" s="297"/>
      <c r="R512" s="429"/>
      <c r="S512" s="298"/>
      <c r="T512" s="298"/>
      <c r="U512" s="297"/>
      <c r="V512" s="429"/>
      <c r="W512" s="316"/>
    </row>
    <row r="513" spans="1:23" x14ac:dyDescent="0.2">
      <c r="A513" s="421"/>
      <c r="B513" s="421"/>
      <c r="C513" s="429"/>
      <c r="D513" s="281"/>
      <c r="E513" s="429"/>
      <c r="F513" s="429"/>
      <c r="G513" s="298"/>
      <c r="H513" s="298"/>
      <c r="I513" s="297"/>
      <c r="J513" s="429"/>
      <c r="K513" s="298"/>
      <c r="L513" s="298"/>
      <c r="M513" s="297"/>
      <c r="N513" s="429"/>
      <c r="O513" s="298"/>
      <c r="P513" s="298"/>
      <c r="Q513" s="297"/>
      <c r="R513" s="429"/>
      <c r="S513" s="298"/>
      <c r="T513" s="298"/>
      <c r="U513" s="297"/>
      <c r="V513" s="429"/>
      <c r="W513" s="316"/>
    </row>
    <row r="514" spans="1:23" x14ac:dyDescent="0.2">
      <c r="A514" s="421"/>
      <c r="B514" s="421"/>
      <c r="C514" s="429"/>
      <c r="D514" s="281"/>
      <c r="E514" s="429"/>
      <c r="F514" s="429"/>
      <c r="G514" s="298"/>
      <c r="H514" s="298"/>
      <c r="I514" s="297"/>
      <c r="J514" s="429"/>
      <c r="K514" s="298"/>
      <c r="L514" s="298"/>
      <c r="M514" s="297"/>
      <c r="N514" s="429"/>
      <c r="O514" s="298"/>
      <c r="P514" s="298"/>
      <c r="Q514" s="297"/>
      <c r="R514" s="429"/>
      <c r="S514" s="298"/>
      <c r="T514" s="298"/>
      <c r="U514" s="297"/>
      <c r="V514" s="429"/>
      <c r="W514" s="316"/>
    </row>
    <row r="515" spans="1:23" x14ac:dyDescent="0.2">
      <c r="A515" s="421"/>
      <c r="B515" s="421"/>
      <c r="C515" s="429"/>
      <c r="D515" s="281"/>
      <c r="E515" s="429"/>
      <c r="F515" s="429"/>
      <c r="G515" s="298"/>
      <c r="H515" s="298"/>
      <c r="I515" s="297"/>
      <c r="J515" s="429"/>
      <c r="K515" s="298"/>
      <c r="L515" s="298"/>
      <c r="M515" s="297"/>
      <c r="N515" s="429"/>
      <c r="O515" s="298"/>
      <c r="P515" s="298"/>
      <c r="Q515" s="297"/>
      <c r="R515" s="429"/>
      <c r="S515" s="298"/>
      <c r="T515" s="298"/>
      <c r="U515" s="297"/>
      <c r="V515" s="429"/>
      <c r="W515" s="316"/>
    </row>
    <row r="516" spans="1:23" x14ac:dyDescent="0.2">
      <c r="A516" s="421"/>
      <c r="B516" s="421"/>
      <c r="C516" s="429"/>
      <c r="D516" s="281"/>
      <c r="E516" s="429"/>
      <c r="F516" s="429"/>
      <c r="G516" s="298"/>
      <c r="H516" s="298"/>
      <c r="I516" s="297"/>
      <c r="J516" s="429"/>
      <c r="K516" s="298"/>
      <c r="L516" s="298"/>
      <c r="M516" s="297"/>
      <c r="N516" s="429"/>
      <c r="O516" s="298"/>
      <c r="P516" s="298"/>
      <c r="Q516" s="297"/>
      <c r="R516" s="429"/>
      <c r="S516" s="298"/>
      <c r="T516" s="298"/>
      <c r="U516" s="297"/>
      <c r="V516" s="429"/>
      <c r="W516" s="316"/>
    </row>
    <row r="517" spans="1:23" x14ac:dyDescent="0.2">
      <c r="A517" s="421"/>
      <c r="B517" s="421"/>
      <c r="C517" s="429"/>
      <c r="D517" s="281"/>
      <c r="E517" s="429"/>
      <c r="F517" s="429"/>
      <c r="G517" s="298"/>
      <c r="H517" s="298"/>
      <c r="I517" s="297"/>
      <c r="J517" s="429"/>
      <c r="K517" s="298"/>
      <c r="L517" s="298"/>
      <c r="M517" s="297"/>
      <c r="N517" s="429"/>
      <c r="O517" s="298"/>
      <c r="P517" s="298"/>
      <c r="Q517" s="297"/>
      <c r="R517" s="429"/>
      <c r="S517" s="298"/>
      <c r="T517" s="298"/>
      <c r="U517" s="297"/>
      <c r="V517" s="429"/>
      <c r="W517" s="316"/>
    </row>
    <row r="518" spans="1:23" x14ac:dyDescent="0.2">
      <c r="A518" s="421"/>
      <c r="B518" s="421"/>
      <c r="C518" s="429"/>
      <c r="D518" s="281"/>
      <c r="E518" s="429"/>
      <c r="F518" s="429"/>
      <c r="G518" s="298"/>
      <c r="H518" s="298"/>
      <c r="I518" s="297"/>
      <c r="J518" s="429"/>
      <c r="K518" s="298"/>
      <c r="L518" s="298"/>
      <c r="M518" s="297"/>
      <c r="N518" s="429"/>
      <c r="O518" s="298"/>
      <c r="P518" s="298"/>
      <c r="Q518" s="297"/>
      <c r="R518" s="429"/>
      <c r="S518" s="298"/>
      <c r="T518" s="298"/>
      <c r="U518" s="297"/>
      <c r="V518" s="429"/>
      <c r="W518" s="316"/>
    </row>
    <row r="519" spans="1:23" x14ac:dyDescent="0.2">
      <c r="A519" s="421"/>
      <c r="B519" s="421"/>
      <c r="C519" s="429"/>
      <c r="D519" s="281"/>
      <c r="E519" s="429"/>
      <c r="F519" s="429"/>
      <c r="G519" s="298"/>
      <c r="H519" s="298"/>
      <c r="I519" s="297"/>
      <c r="J519" s="429"/>
      <c r="K519" s="298"/>
      <c r="L519" s="298"/>
      <c r="M519" s="297"/>
      <c r="N519" s="429"/>
      <c r="O519" s="298"/>
      <c r="P519" s="298"/>
      <c r="Q519" s="297"/>
      <c r="R519" s="429"/>
      <c r="S519" s="298"/>
      <c r="T519" s="298"/>
      <c r="U519" s="297"/>
      <c r="V519" s="429"/>
      <c r="W519" s="316"/>
    </row>
    <row r="520" spans="1:23" x14ac:dyDescent="0.2">
      <c r="A520" s="421"/>
      <c r="B520" s="421"/>
      <c r="C520" s="429"/>
      <c r="D520" s="281"/>
      <c r="E520" s="429"/>
      <c r="F520" s="429"/>
      <c r="G520" s="298"/>
      <c r="H520" s="298"/>
      <c r="I520" s="297"/>
      <c r="J520" s="429"/>
      <c r="K520" s="298"/>
      <c r="L520" s="298"/>
      <c r="M520" s="297"/>
      <c r="N520" s="429"/>
      <c r="O520" s="298"/>
      <c r="P520" s="298"/>
      <c r="Q520" s="297"/>
      <c r="R520" s="429"/>
      <c r="S520" s="298"/>
      <c r="T520" s="298"/>
      <c r="U520" s="297"/>
      <c r="V520" s="429"/>
      <c r="W520" s="316"/>
    </row>
    <row r="521" spans="1:23" x14ac:dyDescent="0.2">
      <c r="A521" s="421"/>
      <c r="B521" s="421"/>
      <c r="C521" s="429"/>
      <c r="D521" s="281"/>
      <c r="E521" s="429"/>
      <c r="F521" s="429"/>
      <c r="G521" s="298"/>
      <c r="H521" s="298"/>
      <c r="I521" s="297"/>
      <c r="J521" s="429"/>
      <c r="K521" s="298"/>
      <c r="L521" s="298"/>
      <c r="M521" s="297"/>
      <c r="N521" s="429"/>
      <c r="O521" s="298"/>
      <c r="P521" s="298"/>
      <c r="Q521" s="297"/>
      <c r="R521" s="429"/>
      <c r="S521" s="298"/>
      <c r="T521" s="298"/>
      <c r="U521" s="297"/>
      <c r="V521" s="429"/>
      <c r="W521" s="316"/>
    </row>
    <row r="522" spans="1:23" x14ac:dyDescent="0.2">
      <c r="A522" s="421"/>
      <c r="B522" s="421"/>
      <c r="C522" s="429"/>
      <c r="D522" s="281"/>
      <c r="E522" s="429"/>
      <c r="F522" s="429"/>
      <c r="G522" s="298"/>
      <c r="H522" s="298"/>
      <c r="I522" s="297"/>
      <c r="J522" s="429"/>
      <c r="K522" s="298"/>
      <c r="L522" s="298"/>
      <c r="M522" s="297"/>
      <c r="N522" s="429"/>
      <c r="O522" s="298"/>
      <c r="P522" s="298"/>
      <c r="Q522" s="297"/>
      <c r="R522" s="429"/>
      <c r="S522" s="298"/>
      <c r="T522" s="298"/>
      <c r="U522" s="297"/>
      <c r="V522" s="429"/>
      <c r="W522" s="316"/>
    </row>
    <row r="523" spans="1:23" x14ac:dyDescent="0.2">
      <c r="A523" s="421"/>
      <c r="B523" s="421"/>
      <c r="C523" s="429"/>
      <c r="D523" s="281"/>
      <c r="E523" s="429"/>
      <c r="F523" s="429"/>
      <c r="G523" s="298"/>
      <c r="H523" s="298"/>
      <c r="I523" s="297"/>
      <c r="J523" s="429"/>
      <c r="K523" s="298"/>
      <c r="L523" s="298"/>
      <c r="M523" s="297"/>
      <c r="N523" s="429"/>
      <c r="O523" s="298"/>
      <c r="P523" s="298"/>
      <c r="Q523" s="297"/>
      <c r="R523" s="429"/>
      <c r="S523" s="298"/>
      <c r="T523" s="298"/>
      <c r="U523" s="297"/>
      <c r="V523" s="429"/>
      <c r="W523" s="316"/>
    </row>
    <row r="524" spans="1:23" x14ac:dyDescent="0.2">
      <c r="A524" s="421"/>
      <c r="B524" s="421"/>
      <c r="C524" s="429"/>
      <c r="D524" s="281"/>
      <c r="E524" s="429"/>
      <c r="F524" s="429"/>
      <c r="G524" s="298"/>
      <c r="H524" s="298"/>
      <c r="I524" s="297"/>
      <c r="J524" s="429"/>
      <c r="K524" s="298"/>
      <c r="L524" s="298"/>
      <c r="M524" s="297"/>
      <c r="N524" s="429"/>
      <c r="O524" s="298"/>
      <c r="P524" s="298"/>
      <c r="Q524" s="297"/>
      <c r="R524" s="429"/>
      <c r="S524" s="298"/>
      <c r="T524" s="298"/>
      <c r="U524" s="297"/>
      <c r="V524" s="429"/>
      <c r="W524" s="316"/>
    </row>
    <row r="525" spans="1:23" x14ac:dyDescent="0.2">
      <c r="A525" s="421"/>
      <c r="B525" s="421"/>
      <c r="C525" s="429"/>
      <c r="D525" s="281"/>
      <c r="E525" s="429"/>
      <c r="F525" s="429"/>
      <c r="G525" s="298"/>
      <c r="H525" s="298"/>
      <c r="I525" s="297"/>
      <c r="J525" s="429"/>
      <c r="K525" s="298"/>
      <c r="L525" s="298"/>
      <c r="M525" s="297"/>
      <c r="N525" s="429"/>
      <c r="O525" s="298"/>
      <c r="P525" s="298"/>
      <c r="Q525" s="297"/>
      <c r="R525" s="429"/>
      <c r="S525" s="298"/>
      <c r="T525" s="298"/>
      <c r="U525" s="297"/>
      <c r="V525" s="429"/>
      <c r="W525" s="316"/>
    </row>
    <row r="526" spans="1:23" x14ac:dyDescent="0.2">
      <c r="A526" s="421"/>
      <c r="B526" s="421"/>
      <c r="C526" s="429"/>
      <c r="D526" s="281"/>
      <c r="E526" s="429"/>
      <c r="F526" s="429"/>
      <c r="G526" s="298"/>
      <c r="H526" s="298"/>
      <c r="I526" s="297"/>
      <c r="J526" s="429"/>
      <c r="K526" s="298"/>
      <c r="L526" s="298"/>
      <c r="M526" s="297"/>
      <c r="N526" s="429"/>
      <c r="O526" s="298"/>
      <c r="P526" s="298"/>
      <c r="Q526" s="297"/>
      <c r="R526" s="429"/>
      <c r="S526" s="298"/>
      <c r="T526" s="298"/>
      <c r="U526" s="297"/>
      <c r="V526" s="429"/>
      <c r="W526" s="316"/>
    </row>
    <row r="527" spans="1:23" x14ac:dyDescent="0.2">
      <c r="A527" s="421"/>
      <c r="B527" s="421"/>
      <c r="C527" s="429"/>
      <c r="D527" s="281"/>
      <c r="E527" s="429"/>
      <c r="F527" s="429"/>
      <c r="G527" s="298"/>
      <c r="H527" s="298"/>
      <c r="I527" s="297"/>
      <c r="J527" s="429"/>
      <c r="K527" s="298"/>
      <c r="L527" s="298"/>
      <c r="M527" s="297"/>
      <c r="N527" s="429"/>
      <c r="O527" s="298"/>
      <c r="P527" s="298"/>
      <c r="Q527" s="297"/>
      <c r="R527" s="429"/>
      <c r="S527" s="298"/>
      <c r="T527" s="298"/>
      <c r="U527" s="297"/>
      <c r="V527" s="429"/>
      <c r="W527" s="316"/>
    </row>
    <row r="528" spans="1:23" x14ac:dyDescent="0.2">
      <c r="A528" s="421"/>
      <c r="B528" s="421"/>
      <c r="C528" s="429"/>
      <c r="D528" s="281"/>
      <c r="E528" s="429"/>
      <c r="F528" s="429"/>
      <c r="G528" s="298"/>
      <c r="H528" s="298"/>
      <c r="I528" s="297"/>
      <c r="J528" s="429"/>
      <c r="K528" s="298"/>
      <c r="L528" s="298"/>
      <c r="M528" s="297"/>
      <c r="N528" s="429"/>
      <c r="O528" s="298"/>
      <c r="P528" s="298"/>
      <c r="Q528" s="297"/>
      <c r="R528" s="429"/>
      <c r="S528" s="298"/>
      <c r="T528" s="298"/>
      <c r="U528" s="297"/>
      <c r="V528" s="429"/>
      <c r="W528" s="316"/>
    </row>
    <row r="529" spans="1:23" x14ac:dyDescent="0.2">
      <c r="A529" s="421"/>
      <c r="B529" s="421"/>
      <c r="C529" s="429"/>
      <c r="D529" s="281"/>
      <c r="E529" s="429"/>
      <c r="F529" s="429"/>
      <c r="G529" s="298"/>
      <c r="H529" s="298"/>
      <c r="I529" s="297"/>
      <c r="J529" s="429"/>
      <c r="K529" s="298"/>
      <c r="L529" s="298"/>
      <c r="M529" s="297"/>
      <c r="N529" s="429"/>
      <c r="O529" s="298"/>
      <c r="P529" s="298"/>
      <c r="Q529" s="297"/>
      <c r="R529" s="429"/>
      <c r="S529" s="298"/>
      <c r="T529" s="298"/>
      <c r="U529" s="297"/>
      <c r="V529" s="429"/>
      <c r="W529" s="316"/>
    </row>
    <row r="530" spans="1:23" x14ac:dyDescent="0.2">
      <c r="A530" s="421"/>
      <c r="B530" s="421"/>
      <c r="C530" s="429"/>
      <c r="D530" s="281"/>
      <c r="E530" s="429"/>
      <c r="F530" s="429"/>
      <c r="G530" s="298"/>
      <c r="H530" s="298"/>
      <c r="I530" s="297"/>
      <c r="J530" s="429"/>
      <c r="K530" s="298"/>
      <c r="L530" s="298"/>
      <c r="M530" s="297"/>
      <c r="N530" s="429"/>
      <c r="O530" s="298"/>
      <c r="P530" s="298"/>
      <c r="Q530" s="297"/>
      <c r="R530" s="429"/>
      <c r="S530" s="298"/>
      <c r="T530" s="298"/>
      <c r="U530" s="297"/>
      <c r="V530" s="429"/>
      <c r="W530" s="316"/>
    </row>
    <row r="531" spans="1:23" x14ac:dyDescent="0.2">
      <c r="A531" s="421"/>
      <c r="B531" s="421"/>
      <c r="C531" s="429"/>
      <c r="D531" s="281"/>
      <c r="E531" s="429"/>
      <c r="F531" s="429"/>
      <c r="G531" s="298"/>
      <c r="H531" s="298"/>
      <c r="I531" s="297"/>
      <c r="J531" s="429"/>
      <c r="K531" s="298"/>
      <c r="L531" s="298"/>
      <c r="M531" s="297"/>
      <c r="N531" s="429"/>
      <c r="O531" s="298"/>
      <c r="P531" s="298"/>
      <c r="Q531" s="297"/>
      <c r="R531" s="429"/>
      <c r="S531" s="298"/>
      <c r="T531" s="298"/>
      <c r="U531" s="297"/>
      <c r="V531" s="429"/>
      <c r="W531" s="316"/>
    </row>
    <row r="532" spans="1:23" x14ac:dyDescent="0.2">
      <c r="A532" s="421"/>
      <c r="B532" s="421"/>
      <c r="C532" s="429"/>
      <c r="D532" s="281"/>
      <c r="E532" s="429"/>
      <c r="F532" s="429"/>
      <c r="G532" s="298"/>
      <c r="H532" s="298"/>
      <c r="I532" s="297"/>
      <c r="J532" s="429"/>
      <c r="K532" s="298"/>
      <c r="L532" s="298"/>
      <c r="M532" s="297"/>
      <c r="N532" s="429"/>
      <c r="O532" s="298"/>
      <c r="P532" s="298"/>
      <c r="Q532" s="297"/>
      <c r="R532" s="429"/>
      <c r="S532" s="298"/>
      <c r="T532" s="298"/>
      <c r="U532" s="297"/>
      <c r="V532" s="429"/>
      <c r="W532" s="316"/>
    </row>
    <row r="533" spans="1:23" x14ac:dyDescent="0.2">
      <c r="A533" s="421"/>
      <c r="B533" s="421"/>
      <c r="C533" s="429"/>
      <c r="D533" s="281"/>
      <c r="E533" s="429"/>
      <c r="F533" s="429"/>
      <c r="G533" s="298"/>
      <c r="H533" s="298"/>
      <c r="I533" s="297"/>
      <c r="J533" s="429"/>
      <c r="K533" s="298"/>
      <c r="L533" s="298"/>
      <c r="M533" s="297"/>
      <c r="N533" s="429"/>
      <c r="O533" s="298"/>
      <c r="P533" s="298"/>
      <c r="Q533" s="297"/>
      <c r="R533" s="429"/>
      <c r="S533" s="298"/>
      <c r="T533" s="298"/>
      <c r="U533" s="297"/>
      <c r="V533" s="429"/>
      <c r="W533" s="316"/>
    </row>
    <row r="534" spans="1:23" x14ac:dyDescent="0.2">
      <c r="A534" s="421"/>
      <c r="B534" s="421"/>
      <c r="C534" s="429"/>
      <c r="D534" s="281"/>
      <c r="E534" s="429"/>
      <c r="F534" s="429"/>
      <c r="G534" s="298"/>
      <c r="H534" s="298"/>
      <c r="I534" s="297"/>
      <c r="J534" s="429"/>
      <c r="K534" s="298"/>
      <c r="L534" s="298"/>
      <c r="M534" s="297"/>
      <c r="N534" s="429"/>
      <c r="O534" s="298"/>
      <c r="P534" s="298"/>
      <c r="Q534" s="297"/>
      <c r="R534" s="429"/>
      <c r="S534" s="298"/>
      <c r="T534" s="298"/>
      <c r="U534" s="297"/>
      <c r="V534" s="429"/>
      <c r="W534" s="316"/>
    </row>
    <row r="535" spans="1:23" x14ac:dyDescent="0.2">
      <c r="A535" s="421"/>
      <c r="B535" s="421"/>
      <c r="C535" s="429"/>
      <c r="D535" s="281"/>
      <c r="E535" s="429"/>
      <c r="F535" s="429"/>
      <c r="G535" s="298"/>
      <c r="H535" s="298"/>
      <c r="I535" s="297"/>
      <c r="J535" s="429"/>
      <c r="K535" s="298"/>
      <c r="L535" s="298"/>
      <c r="M535" s="297"/>
      <c r="N535" s="429"/>
      <c r="O535" s="298"/>
      <c r="P535" s="298"/>
      <c r="Q535" s="297"/>
      <c r="R535" s="429"/>
      <c r="S535" s="298"/>
      <c r="T535" s="298"/>
      <c r="U535" s="297"/>
      <c r="V535" s="429"/>
      <c r="W535" s="316"/>
    </row>
    <row r="536" spans="1:23" x14ac:dyDescent="0.2">
      <c r="A536" s="421"/>
      <c r="B536" s="421"/>
      <c r="C536" s="429"/>
      <c r="D536" s="281"/>
      <c r="E536" s="429"/>
      <c r="F536" s="429"/>
      <c r="G536" s="298"/>
      <c r="H536" s="298"/>
      <c r="I536" s="297"/>
      <c r="J536" s="429"/>
      <c r="K536" s="298"/>
      <c r="L536" s="298"/>
      <c r="M536" s="297"/>
      <c r="N536" s="429"/>
      <c r="O536" s="298"/>
      <c r="P536" s="298"/>
      <c r="Q536" s="297"/>
      <c r="R536" s="429"/>
      <c r="S536" s="298"/>
      <c r="T536" s="298"/>
      <c r="U536" s="297"/>
      <c r="V536" s="429"/>
      <c r="W536" s="316"/>
    </row>
    <row r="537" spans="1:23" x14ac:dyDescent="0.2">
      <c r="A537" s="421"/>
      <c r="B537" s="421"/>
      <c r="C537" s="429"/>
      <c r="D537" s="281"/>
      <c r="E537" s="429"/>
      <c r="F537" s="429"/>
      <c r="G537" s="298"/>
      <c r="H537" s="298"/>
      <c r="I537" s="297"/>
      <c r="J537" s="429"/>
      <c r="K537" s="298"/>
      <c r="L537" s="298"/>
      <c r="M537" s="297"/>
      <c r="N537" s="429"/>
      <c r="O537" s="298"/>
      <c r="P537" s="298"/>
      <c r="Q537" s="297"/>
      <c r="R537" s="429"/>
      <c r="S537" s="298"/>
      <c r="T537" s="298"/>
      <c r="U537" s="297"/>
      <c r="V537" s="429"/>
      <c r="W537" s="316"/>
    </row>
    <row r="538" spans="1:23" x14ac:dyDescent="0.2">
      <c r="A538" s="421"/>
      <c r="B538" s="421"/>
      <c r="C538" s="429"/>
      <c r="D538" s="281"/>
      <c r="E538" s="429"/>
      <c r="F538" s="429"/>
      <c r="G538" s="298"/>
      <c r="H538" s="298"/>
      <c r="I538" s="297"/>
      <c r="J538" s="429"/>
      <c r="K538" s="298"/>
      <c r="L538" s="298"/>
      <c r="M538" s="297"/>
      <c r="N538" s="429"/>
      <c r="O538" s="298"/>
      <c r="P538" s="298"/>
      <c r="Q538" s="297"/>
      <c r="R538" s="429"/>
      <c r="S538" s="298"/>
      <c r="T538" s="298"/>
      <c r="U538" s="297"/>
      <c r="V538" s="429"/>
      <c r="W538" s="316"/>
    </row>
    <row r="539" spans="1:23" x14ac:dyDescent="0.2">
      <c r="A539" s="421"/>
      <c r="B539" s="421"/>
      <c r="C539" s="429"/>
      <c r="D539" s="281"/>
      <c r="E539" s="429"/>
      <c r="F539" s="429"/>
      <c r="G539" s="298"/>
      <c r="H539" s="298"/>
      <c r="I539" s="297"/>
      <c r="J539" s="429"/>
      <c r="K539" s="298"/>
      <c r="L539" s="298"/>
      <c r="M539" s="297"/>
      <c r="N539" s="429"/>
      <c r="O539" s="298"/>
      <c r="P539" s="298"/>
      <c r="Q539" s="297"/>
      <c r="R539" s="429"/>
      <c r="S539" s="298"/>
      <c r="T539" s="298"/>
      <c r="U539" s="297"/>
      <c r="V539" s="429"/>
      <c r="W539" s="316"/>
    </row>
    <row r="540" spans="1:23" x14ac:dyDescent="0.2">
      <c r="A540" s="421"/>
      <c r="B540" s="421"/>
      <c r="C540" s="429"/>
      <c r="D540" s="281"/>
      <c r="E540" s="429"/>
      <c r="F540" s="429"/>
      <c r="G540" s="298"/>
      <c r="H540" s="298"/>
      <c r="I540" s="297"/>
      <c r="J540" s="429"/>
      <c r="K540" s="298"/>
      <c r="L540" s="298"/>
      <c r="M540" s="297"/>
      <c r="N540" s="429"/>
      <c r="O540" s="298"/>
      <c r="P540" s="298"/>
      <c r="Q540" s="297"/>
      <c r="R540" s="429"/>
      <c r="S540" s="298"/>
      <c r="T540" s="298"/>
      <c r="U540" s="297"/>
      <c r="V540" s="429"/>
      <c r="W540" s="316"/>
    </row>
    <row r="541" spans="1:23" x14ac:dyDescent="0.2">
      <c r="A541" s="421"/>
      <c r="B541" s="421"/>
      <c r="C541" s="429"/>
      <c r="D541" s="281"/>
      <c r="E541" s="429"/>
      <c r="F541" s="429"/>
      <c r="G541" s="298"/>
      <c r="H541" s="298"/>
      <c r="I541" s="297"/>
      <c r="J541" s="429"/>
      <c r="K541" s="298"/>
      <c r="L541" s="298"/>
      <c r="M541" s="297"/>
      <c r="N541" s="429"/>
      <c r="O541" s="298"/>
      <c r="P541" s="298"/>
      <c r="Q541" s="297"/>
      <c r="R541" s="429"/>
      <c r="S541" s="298"/>
      <c r="T541" s="298"/>
      <c r="U541" s="297"/>
      <c r="V541" s="429"/>
      <c r="W541" s="316"/>
    </row>
    <row r="542" spans="1:23" x14ac:dyDescent="0.2">
      <c r="A542" s="421"/>
      <c r="B542" s="421"/>
      <c r="C542" s="429"/>
      <c r="D542" s="281"/>
      <c r="E542" s="429"/>
      <c r="F542" s="429"/>
      <c r="G542" s="298"/>
      <c r="H542" s="298"/>
      <c r="I542" s="297"/>
      <c r="J542" s="429"/>
      <c r="K542" s="298"/>
      <c r="L542" s="298"/>
      <c r="M542" s="297"/>
      <c r="N542" s="429"/>
      <c r="O542" s="298"/>
      <c r="P542" s="298"/>
      <c r="Q542" s="297"/>
      <c r="R542" s="429"/>
      <c r="S542" s="298"/>
      <c r="T542" s="298"/>
      <c r="U542" s="297"/>
      <c r="V542" s="429"/>
      <c r="W542" s="316"/>
    </row>
    <row r="543" spans="1:23" x14ac:dyDescent="0.2">
      <c r="A543" s="421"/>
      <c r="B543" s="421"/>
      <c r="C543" s="429"/>
      <c r="D543" s="281"/>
      <c r="E543" s="429"/>
      <c r="F543" s="429"/>
      <c r="G543" s="298"/>
      <c r="H543" s="298"/>
      <c r="I543" s="297"/>
      <c r="J543" s="429"/>
      <c r="K543" s="298"/>
      <c r="L543" s="298"/>
      <c r="M543" s="297"/>
      <c r="N543" s="429"/>
      <c r="O543" s="298"/>
      <c r="P543" s="298"/>
      <c r="Q543" s="297"/>
      <c r="R543" s="429"/>
      <c r="S543" s="298"/>
      <c r="T543" s="298"/>
      <c r="U543" s="297"/>
      <c r="V543" s="429"/>
      <c r="W543" s="316"/>
    </row>
    <row r="544" spans="1:23" x14ac:dyDescent="0.2">
      <c r="A544" s="421"/>
      <c r="B544" s="421"/>
      <c r="C544" s="429"/>
      <c r="D544" s="281"/>
      <c r="E544" s="429"/>
      <c r="F544" s="429"/>
      <c r="G544" s="298"/>
      <c r="H544" s="298"/>
      <c r="I544" s="297"/>
      <c r="J544" s="429"/>
      <c r="K544" s="298"/>
      <c r="L544" s="298"/>
      <c r="M544" s="297"/>
      <c r="N544" s="429"/>
      <c r="O544" s="298"/>
      <c r="P544" s="298"/>
      <c r="Q544" s="297"/>
      <c r="R544" s="429"/>
      <c r="S544" s="298"/>
      <c r="T544" s="298"/>
      <c r="U544" s="297"/>
      <c r="V544" s="429"/>
      <c r="W544" s="316"/>
    </row>
    <row r="545" spans="1:23" x14ac:dyDescent="0.2">
      <c r="A545" s="421"/>
      <c r="B545" s="421"/>
      <c r="C545" s="429"/>
      <c r="D545" s="281"/>
      <c r="E545" s="429"/>
      <c r="F545" s="429"/>
      <c r="G545" s="298"/>
      <c r="H545" s="298"/>
      <c r="I545" s="297"/>
      <c r="J545" s="429"/>
      <c r="K545" s="298"/>
      <c r="L545" s="298"/>
      <c r="M545" s="297"/>
      <c r="N545" s="429"/>
      <c r="O545" s="298"/>
      <c r="P545" s="298"/>
      <c r="Q545" s="297"/>
      <c r="R545" s="429"/>
      <c r="S545" s="298"/>
      <c r="T545" s="298"/>
      <c r="U545" s="297"/>
      <c r="V545" s="429"/>
      <c r="W545" s="316"/>
    </row>
    <row r="546" spans="1:23" x14ac:dyDescent="0.2">
      <c r="A546" s="421"/>
      <c r="B546" s="421"/>
      <c r="C546" s="429"/>
      <c r="D546" s="281"/>
      <c r="E546" s="429"/>
      <c r="F546" s="429"/>
      <c r="G546" s="298"/>
      <c r="H546" s="298"/>
      <c r="I546" s="297"/>
      <c r="J546" s="429"/>
      <c r="K546" s="298"/>
      <c r="L546" s="298"/>
      <c r="M546" s="297"/>
      <c r="N546" s="429"/>
      <c r="O546" s="298"/>
      <c r="P546" s="298"/>
      <c r="Q546" s="297"/>
      <c r="R546" s="429"/>
      <c r="S546" s="298"/>
      <c r="T546" s="298"/>
      <c r="U546" s="297"/>
      <c r="V546" s="429"/>
      <c r="W546" s="316"/>
    </row>
    <row r="547" spans="1:23" x14ac:dyDescent="0.2">
      <c r="A547" s="421"/>
      <c r="B547" s="421"/>
      <c r="C547" s="429"/>
      <c r="D547" s="281"/>
      <c r="E547" s="429"/>
      <c r="F547" s="429"/>
      <c r="G547" s="298"/>
      <c r="H547" s="298"/>
      <c r="I547" s="297"/>
      <c r="J547" s="429"/>
      <c r="K547" s="298"/>
      <c r="L547" s="298"/>
      <c r="M547" s="297"/>
      <c r="N547" s="429"/>
      <c r="O547" s="298"/>
      <c r="P547" s="298"/>
      <c r="Q547" s="297"/>
      <c r="R547" s="429"/>
      <c r="S547" s="298"/>
      <c r="T547" s="298"/>
      <c r="U547" s="297"/>
      <c r="V547" s="429"/>
      <c r="W547" s="316"/>
    </row>
    <row r="548" spans="1:23" x14ac:dyDescent="0.2">
      <c r="A548" s="421"/>
      <c r="B548" s="421"/>
      <c r="C548" s="429"/>
      <c r="D548" s="281"/>
      <c r="E548" s="429"/>
      <c r="F548" s="429"/>
      <c r="G548" s="298"/>
      <c r="H548" s="298"/>
      <c r="I548" s="297"/>
      <c r="J548" s="429"/>
      <c r="K548" s="298"/>
      <c r="L548" s="298"/>
      <c r="M548" s="297"/>
      <c r="N548" s="429"/>
      <c r="O548" s="298"/>
      <c r="P548" s="298"/>
      <c r="Q548" s="297"/>
      <c r="R548" s="429"/>
      <c r="S548" s="298"/>
      <c r="T548" s="298"/>
      <c r="U548" s="297"/>
      <c r="V548" s="429"/>
      <c r="W548" s="316"/>
    </row>
    <row r="549" spans="1:23" x14ac:dyDescent="0.2">
      <c r="A549" s="421"/>
      <c r="B549" s="421"/>
      <c r="C549" s="429"/>
      <c r="D549" s="281"/>
      <c r="E549" s="429"/>
      <c r="F549" s="429"/>
      <c r="G549" s="298"/>
      <c r="H549" s="298"/>
      <c r="I549" s="297"/>
      <c r="J549" s="429"/>
      <c r="K549" s="298"/>
      <c r="L549" s="298"/>
      <c r="M549" s="297"/>
      <c r="N549" s="429"/>
      <c r="O549" s="298"/>
      <c r="P549" s="298"/>
      <c r="Q549" s="297"/>
      <c r="R549" s="429"/>
      <c r="S549" s="298"/>
      <c r="T549" s="298"/>
      <c r="U549" s="297"/>
      <c r="V549" s="429"/>
      <c r="W549" s="316"/>
    </row>
    <row r="550" spans="1:23" x14ac:dyDescent="0.2">
      <c r="A550" s="421"/>
      <c r="B550" s="421"/>
      <c r="C550" s="429"/>
      <c r="D550" s="281"/>
      <c r="E550" s="429"/>
      <c r="F550" s="429"/>
      <c r="G550" s="298"/>
      <c r="H550" s="298"/>
      <c r="I550" s="297"/>
      <c r="J550" s="429"/>
      <c r="K550" s="298"/>
      <c r="L550" s="298"/>
      <c r="M550" s="297"/>
      <c r="N550" s="429"/>
      <c r="O550" s="298"/>
      <c r="P550" s="298"/>
      <c r="Q550" s="297"/>
      <c r="R550" s="429"/>
      <c r="S550" s="298"/>
      <c r="T550" s="298"/>
      <c r="U550" s="297"/>
      <c r="V550" s="429"/>
      <c r="W550" s="316"/>
    </row>
    <row r="551" spans="1:23" x14ac:dyDescent="0.2">
      <c r="A551" s="421"/>
      <c r="B551" s="421"/>
      <c r="C551" s="429"/>
      <c r="D551" s="281"/>
      <c r="E551" s="429"/>
      <c r="F551" s="429"/>
      <c r="G551" s="298"/>
      <c r="H551" s="298"/>
      <c r="I551" s="297"/>
      <c r="J551" s="429"/>
      <c r="K551" s="298"/>
      <c r="L551" s="298"/>
      <c r="M551" s="297"/>
      <c r="N551" s="429"/>
      <c r="O551" s="298"/>
      <c r="P551" s="298"/>
      <c r="Q551" s="297"/>
      <c r="R551" s="429"/>
      <c r="S551" s="298"/>
      <c r="T551" s="298"/>
      <c r="U551" s="297"/>
      <c r="V551" s="429"/>
      <c r="W551" s="316"/>
    </row>
    <row r="552" spans="1:23" x14ac:dyDescent="0.2">
      <c r="A552" s="421"/>
      <c r="B552" s="421"/>
      <c r="C552" s="429"/>
      <c r="D552" s="281"/>
      <c r="E552" s="429"/>
      <c r="F552" s="429"/>
      <c r="G552" s="298"/>
      <c r="H552" s="298"/>
      <c r="I552" s="297"/>
      <c r="J552" s="429"/>
      <c r="K552" s="298"/>
      <c r="L552" s="298"/>
      <c r="M552" s="297"/>
      <c r="N552" s="429"/>
      <c r="O552" s="298"/>
      <c r="P552" s="298"/>
      <c r="Q552" s="297"/>
      <c r="R552" s="429"/>
      <c r="S552" s="298"/>
      <c r="T552" s="298"/>
      <c r="U552" s="297"/>
      <c r="V552" s="429"/>
      <c r="W552" s="316"/>
    </row>
    <row r="553" spans="1:23" x14ac:dyDescent="0.2">
      <c r="A553" s="421"/>
      <c r="B553" s="421"/>
      <c r="C553" s="429"/>
      <c r="D553" s="281"/>
      <c r="E553" s="429"/>
      <c r="F553" s="429"/>
      <c r="G553" s="298"/>
      <c r="H553" s="298"/>
      <c r="I553" s="297"/>
      <c r="J553" s="429"/>
      <c r="K553" s="298"/>
      <c r="L553" s="298"/>
      <c r="M553" s="297"/>
      <c r="N553" s="429"/>
      <c r="O553" s="298"/>
      <c r="P553" s="298"/>
      <c r="Q553" s="297"/>
      <c r="R553" s="429"/>
      <c r="S553" s="298"/>
      <c r="T553" s="298"/>
      <c r="U553" s="297"/>
      <c r="V553" s="429"/>
      <c r="W553" s="316"/>
    </row>
    <row r="554" spans="1:23" x14ac:dyDescent="0.2">
      <c r="A554" s="421"/>
      <c r="B554" s="421"/>
      <c r="C554" s="429"/>
      <c r="D554" s="281"/>
      <c r="E554" s="429"/>
      <c r="F554" s="429"/>
      <c r="G554" s="298"/>
      <c r="H554" s="298"/>
      <c r="I554" s="297"/>
      <c r="J554" s="429"/>
      <c r="K554" s="298"/>
      <c r="L554" s="298"/>
      <c r="M554" s="297"/>
      <c r="N554" s="429"/>
      <c r="O554" s="298"/>
      <c r="P554" s="298"/>
      <c r="Q554" s="297"/>
      <c r="R554" s="429"/>
      <c r="S554" s="298"/>
      <c r="T554" s="298"/>
      <c r="U554" s="297"/>
      <c r="V554" s="429"/>
      <c r="W554" s="316"/>
    </row>
    <row r="555" spans="1:23" x14ac:dyDescent="0.2">
      <c r="A555" s="421"/>
      <c r="B555" s="421"/>
      <c r="C555" s="429"/>
      <c r="D555" s="281"/>
      <c r="E555" s="429"/>
      <c r="F555" s="429"/>
      <c r="G555" s="298"/>
      <c r="H555" s="298"/>
      <c r="I555" s="297"/>
      <c r="J555" s="429"/>
      <c r="K555" s="298"/>
      <c r="L555" s="298"/>
      <c r="M555" s="297"/>
      <c r="N555" s="429"/>
      <c r="O555" s="298"/>
      <c r="P555" s="298"/>
      <c r="Q555" s="297"/>
      <c r="R555" s="429"/>
      <c r="S555" s="298"/>
      <c r="T555" s="298"/>
      <c r="U555" s="297"/>
      <c r="V555" s="429"/>
      <c r="W555" s="316"/>
    </row>
    <row r="556" spans="1:23" x14ac:dyDescent="0.2">
      <c r="A556" s="421"/>
      <c r="B556" s="421"/>
      <c r="C556" s="429"/>
      <c r="D556" s="281"/>
      <c r="E556" s="429"/>
      <c r="F556" s="429"/>
      <c r="G556" s="298"/>
      <c r="H556" s="298"/>
      <c r="I556" s="297"/>
      <c r="J556" s="429"/>
      <c r="K556" s="298"/>
      <c r="L556" s="298"/>
      <c r="M556" s="297"/>
      <c r="N556" s="429"/>
      <c r="O556" s="298"/>
      <c r="P556" s="298"/>
      <c r="Q556" s="297"/>
      <c r="R556" s="429"/>
      <c r="S556" s="298"/>
      <c r="T556" s="298"/>
      <c r="U556" s="297"/>
      <c r="V556" s="429"/>
      <c r="W556" s="316"/>
    </row>
    <row r="557" spans="1:23" x14ac:dyDescent="0.2">
      <c r="A557" s="421"/>
      <c r="B557" s="421"/>
      <c r="C557" s="429"/>
      <c r="D557" s="281"/>
      <c r="E557" s="429"/>
      <c r="F557" s="429"/>
      <c r="G557" s="298"/>
      <c r="H557" s="298"/>
      <c r="I557" s="297"/>
      <c r="J557" s="429"/>
      <c r="K557" s="298"/>
      <c r="L557" s="298"/>
      <c r="M557" s="297"/>
      <c r="N557" s="429"/>
      <c r="O557" s="298"/>
      <c r="P557" s="298"/>
      <c r="Q557" s="297"/>
      <c r="R557" s="429"/>
      <c r="S557" s="298"/>
      <c r="T557" s="298"/>
      <c r="U557" s="297"/>
      <c r="V557" s="429"/>
      <c r="W557" s="316"/>
    </row>
    <row r="558" spans="1:23" x14ac:dyDescent="0.2">
      <c r="A558" s="421"/>
      <c r="B558" s="421"/>
      <c r="C558" s="429"/>
      <c r="D558" s="281"/>
      <c r="E558" s="429"/>
      <c r="F558" s="429"/>
      <c r="G558" s="298"/>
      <c r="H558" s="298"/>
      <c r="I558" s="297"/>
      <c r="J558" s="429"/>
      <c r="K558" s="298"/>
      <c r="L558" s="298"/>
      <c r="M558" s="297"/>
      <c r="N558" s="429"/>
      <c r="O558" s="298"/>
      <c r="P558" s="298"/>
      <c r="Q558" s="297"/>
      <c r="R558" s="429"/>
      <c r="S558" s="298"/>
      <c r="T558" s="298"/>
      <c r="U558" s="297"/>
      <c r="V558" s="429"/>
      <c r="W558" s="316"/>
    </row>
    <row r="559" spans="1:23" x14ac:dyDescent="0.2">
      <c r="A559" s="421"/>
      <c r="B559" s="421"/>
      <c r="C559" s="429"/>
      <c r="D559" s="281"/>
      <c r="E559" s="429"/>
      <c r="F559" s="429"/>
      <c r="G559" s="298"/>
      <c r="H559" s="298"/>
      <c r="I559" s="297"/>
      <c r="J559" s="429"/>
      <c r="K559" s="298"/>
      <c r="L559" s="298"/>
      <c r="M559" s="297"/>
      <c r="N559" s="429"/>
      <c r="O559" s="298"/>
      <c r="P559" s="298"/>
      <c r="Q559" s="297"/>
      <c r="R559" s="429"/>
      <c r="S559" s="298"/>
      <c r="T559" s="298"/>
      <c r="U559" s="297"/>
      <c r="V559" s="429"/>
      <c r="W559" s="316"/>
    </row>
    <row r="560" spans="1:23" x14ac:dyDescent="0.2">
      <c r="A560" s="421"/>
      <c r="B560" s="421"/>
      <c r="C560" s="429"/>
      <c r="D560" s="281"/>
      <c r="E560" s="429"/>
      <c r="F560" s="429"/>
      <c r="G560" s="298"/>
      <c r="H560" s="298"/>
      <c r="I560" s="297"/>
      <c r="J560" s="429"/>
      <c r="K560" s="298"/>
      <c r="L560" s="298"/>
      <c r="M560" s="297"/>
      <c r="N560" s="429"/>
      <c r="O560" s="298"/>
      <c r="P560" s="298"/>
      <c r="Q560" s="297"/>
      <c r="R560" s="429"/>
      <c r="S560" s="298"/>
      <c r="T560" s="298"/>
      <c r="U560" s="297"/>
      <c r="V560" s="429"/>
      <c r="W560" s="316"/>
    </row>
    <row r="561" spans="1:23" x14ac:dyDescent="0.2">
      <c r="A561" s="421"/>
      <c r="B561" s="421"/>
      <c r="C561" s="429"/>
      <c r="D561" s="281"/>
      <c r="E561" s="429"/>
      <c r="F561" s="429"/>
      <c r="G561" s="298"/>
      <c r="H561" s="298"/>
      <c r="I561" s="297"/>
      <c r="J561" s="429"/>
      <c r="K561" s="298"/>
      <c r="L561" s="298"/>
      <c r="M561" s="297"/>
      <c r="N561" s="429"/>
      <c r="O561" s="298"/>
      <c r="P561" s="298"/>
      <c r="Q561" s="297"/>
      <c r="R561" s="429"/>
      <c r="S561" s="298"/>
      <c r="T561" s="298"/>
      <c r="U561" s="297"/>
      <c r="V561" s="429"/>
      <c r="W561" s="316"/>
    </row>
    <row r="562" spans="1:23" x14ac:dyDescent="0.2">
      <c r="A562" s="421"/>
      <c r="B562" s="421"/>
      <c r="C562" s="429"/>
      <c r="D562" s="281"/>
      <c r="E562" s="429"/>
      <c r="F562" s="429"/>
      <c r="G562" s="298"/>
      <c r="H562" s="298"/>
      <c r="I562" s="297"/>
      <c r="J562" s="429"/>
      <c r="K562" s="298"/>
      <c r="L562" s="298"/>
      <c r="M562" s="297"/>
      <c r="N562" s="429"/>
      <c r="O562" s="298"/>
      <c r="P562" s="298"/>
      <c r="Q562" s="297"/>
      <c r="R562" s="429"/>
      <c r="S562" s="298"/>
      <c r="T562" s="298"/>
      <c r="U562" s="297"/>
      <c r="V562" s="429"/>
      <c r="W562" s="316"/>
    </row>
    <row r="563" spans="1:23" x14ac:dyDescent="0.2">
      <c r="A563" s="421"/>
      <c r="B563" s="421"/>
      <c r="C563" s="429"/>
      <c r="D563" s="281"/>
      <c r="E563" s="429"/>
      <c r="F563" s="429"/>
      <c r="G563" s="298"/>
      <c r="H563" s="298"/>
      <c r="I563" s="297"/>
      <c r="J563" s="429"/>
      <c r="K563" s="298"/>
      <c r="L563" s="298"/>
      <c r="M563" s="297"/>
      <c r="N563" s="429"/>
      <c r="O563" s="298"/>
      <c r="P563" s="298"/>
      <c r="Q563" s="297"/>
      <c r="R563" s="429"/>
      <c r="S563" s="298"/>
      <c r="T563" s="298"/>
      <c r="U563" s="297"/>
      <c r="V563" s="429"/>
      <c r="W563" s="316"/>
    </row>
    <row r="564" spans="1:23" x14ac:dyDescent="0.2">
      <c r="A564" s="421"/>
      <c r="B564" s="421"/>
      <c r="C564" s="429"/>
      <c r="D564" s="281"/>
      <c r="E564" s="429"/>
      <c r="F564" s="429"/>
      <c r="G564" s="298"/>
      <c r="H564" s="298"/>
      <c r="I564" s="297"/>
      <c r="J564" s="429"/>
      <c r="K564" s="298"/>
      <c r="L564" s="298"/>
      <c r="M564" s="297"/>
      <c r="N564" s="429"/>
      <c r="O564" s="298"/>
      <c r="P564" s="298"/>
      <c r="Q564" s="297"/>
      <c r="R564" s="429"/>
      <c r="S564" s="298"/>
      <c r="T564" s="298"/>
      <c r="U564" s="297"/>
      <c r="V564" s="429"/>
      <c r="W564" s="316"/>
    </row>
    <row r="565" spans="1:23" x14ac:dyDescent="0.2">
      <c r="A565" s="421"/>
      <c r="B565" s="421"/>
      <c r="C565" s="429"/>
      <c r="D565" s="281"/>
      <c r="E565" s="429"/>
      <c r="F565" s="429"/>
      <c r="G565" s="298"/>
      <c r="H565" s="298"/>
      <c r="I565" s="297"/>
      <c r="J565" s="429"/>
      <c r="K565" s="298"/>
      <c r="L565" s="298"/>
      <c r="M565" s="297"/>
      <c r="N565" s="429"/>
      <c r="O565" s="298"/>
      <c r="P565" s="298"/>
      <c r="Q565" s="297"/>
      <c r="R565" s="429"/>
      <c r="S565" s="298"/>
      <c r="T565" s="298"/>
      <c r="U565" s="297"/>
      <c r="V565" s="429"/>
      <c r="W565" s="316"/>
    </row>
    <row r="566" spans="1:23" x14ac:dyDescent="0.2">
      <c r="A566" s="421"/>
      <c r="B566" s="421"/>
      <c r="C566" s="429"/>
      <c r="D566" s="281"/>
      <c r="E566" s="429"/>
      <c r="F566" s="429"/>
      <c r="G566" s="298"/>
      <c r="H566" s="298"/>
      <c r="I566" s="297"/>
      <c r="J566" s="429"/>
      <c r="K566" s="298"/>
      <c r="L566" s="298"/>
      <c r="M566" s="297"/>
      <c r="N566" s="429"/>
      <c r="O566" s="298"/>
      <c r="P566" s="298"/>
      <c r="Q566" s="297"/>
      <c r="R566" s="429"/>
      <c r="S566" s="298"/>
      <c r="T566" s="298"/>
      <c r="U566" s="297"/>
      <c r="V566" s="429"/>
      <c r="W566" s="316"/>
    </row>
    <row r="567" spans="1:23" x14ac:dyDescent="0.2">
      <c r="A567" s="421"/>
      <c r="B567" s="421"/>
      <c r="C567" s="429"/>
      <c r="D567" s="281"/>
      <c r="E567" s="429"/>
      <c r="F567" s="429"/>
      <c r="G567" s="298"/>
      <c r="H567" s="298"/>
      <c r="I567" s="297"/>
      <c r="J567" s="429"/>
      <c r="K567" s="298"/>
      <c r="L567" s="298"/>
      <c r="M567" s="297"/>
      <c r="N567" s="429"/>
      <c r="O567" s="298"/>
      <c r="P567" s="298"/>
      <c r="Q567" s="297"/>
      <c r="R567" s="429"/>
      <c r="S567" s="298"/>
      <c r="T567" s="298"/>
      <c r="U567" s="297"/>
      <c r="V567" s="429"/>
      <c r="W567" s="316"/>
    </row>
    <row r="568" spans="1:23" x14ac:dyDescent="0.2">
      <c r="A568" s="421"/>
      <c r="B568" s="421"/>
      <c r="C568" s="429"/>
      <c r="D568" s="281"/>
      <c r="E568" s="429"/>
      <c r="F568" s="429"/>
      <c r="G568" s="298"/>
      <c r="H568" s="298"/>
      <c r="I568" s="297"/>
      <c r="J568" s="429"/>
      <c r="K568" s="298"/>
      <c r="L568" s="298"/>
      <c r="M568" s="297"/>
      <c r="N568" s="429"/>
      <c r="O568" s="298"/>
      <c r="P568" s="298"/>
      <c r="Q568" s="297"/>
      <c r="R568" s="429"/>
      <c r="S568" s="298"/>
      <c r="T568" s="298"/>
      <c r="U568" s="297"/>
      <c r="V568" s="429"/>
      <c r="W568" s="316"/>
    </row>
    <row r="569" spans="1:23" x14ac:dyDescent="0.2">
      <c r="A569" s="421"/>
      <c r="B569" s="421"/>
      <c r="C569" s="429"/>
      <c r="D569" s="281"/>
      <c r="E569" s="429"/>
      <c r="F569" s="429"/>
      <c r="G569" s="298"/>
      <c r="H569" s="298"/>
      <c r="I569" s="297"/>
      <c r="J569" s="429"/>
      <c r="K569" s="298"/>
      <c r="L569" s="298"/>
      <c r="M569" s="297"/>
      <c r="N569" s="429"/>
      <c r="O569" s="298"/>
      <c r="P569" s="298"/>
      <c r="Q569" s="297"/>
      <c r="R569" s="429"/>
      <c r="S569" s="298"/>
      <c r="T569" s="298"/>
      <c r="U569" s="297"/>
      <c r="V569" s="429"/>
      <c r="W569" s="316"/>
    </row>
    <row r="570" spans="1:23" x14ac:dyDescent="0.2">
      <c r="A570" s="421"/>
      <c r="B570" s="421"/>
      <c r="C570" s="429"/>
      <c r="D570" s="281"/>
      <c r="E570" s="429"/>
      <c r="F570" s="429"/>
      <c r="G570" s="298"/>
      <c r="H570" s="298"/>
      <c r="I570" s="297"/>
      <c r="J570" s="429"/>
      <c r="K570" s="298"/>
      <c r="L570" s="298"/>
      <c r="M570" s="297"/>
      <c r="N570" s="429"/>
      <c r="O570" s="298"/>
      <c r="P570" s="298"/>
      <c r="Q570" s="297"/>
      <c r="R570" s="429"/>
      <c r="S570" s="298"/>
      <c r="T570" s="298"/>
      <c r="U570" s="297"/>
      <c r="V570" s="429"/>
      <c r="W570" s="316"/>
    </row>
    <row r="571" spans="1:23" x14ac:dyDescent="0.2">
      <c r="A571" s="421"/>
      <c r="B571" s="421"/>
      <c r="C571" s="429"/>
      <c r="D571" s="281"/>
      <c r="E571" s="429"/>
      <c r="F571" s="429"/>
      <c r="G571" s="298"/>
      <c r="H571" s="298"/>
      <c r="I571" s="297"/>
      <c r="J571" s="429"/>
      <c r="K571" s="298"/>
      <c r="L571" s="298"/>
      <c r="M571" s="297"/>
      <c r="N571" s="429"/>
      <c r="O571" s="298"/>
      <c r="P571" s="298"/>
      <c r="Q571" s="297"/>
      <c r="R571" s="429"/>
      <c r="S571" s="298"/>
      <c r="T571" s="298"/>
      <c r="U571" s="297"/>
      <c r="V571" s="429"/>
      <c r="W571" s="316"/>
    </row>
    <row r="572" spans="1:23" x14ac:dyDescent="0.2">
      <c r="A572" s="421"/>
      <c r="B572" s="421"/>
      <c r="C572" s="429"/>
      <c r="D572" s="281"/>
      <c r="E572" s="429"/>
      <c r="F572" s="429"/>
      <c r="G572" s="298"/>
      <c r="H572" s="298"/>
      <c r="I572" s="297"/>
      <c r="J572" s="429"/>
      <c r="K572" s="298"/>
      <c r="L572" s="298"/>
      <c r="M572" s="297"/>
      <c r="N572" s="429"/>
      <c r="O572" s="298"/>
      <c r="P572" s="298"/>
      <c r="Q572" s="297"/>
      <c r="R572" s="429"/>
      <c r="S572" s="298"/>
      <c r="T572" s="298"/>
      <c r="U572" s="297"/>
      <c r="V572" s="429"/>
      <c r="W572" s="316"/>
    </row>
    <row r="573" spans="1:23" x14ac:dyDescent="0.2">
      <c r="A573" s="421"/>
      <c r="B573" s="421"/>
      <c r="C573" s="429"/>
      <c r="D573" s="281"/>
      <c r="E573" s="429"/>
      <c r="F573" s="429"/>
      <c r="G573" s="298"/>
      <c r="H573" s="298"/>
      <c r="I573" s="297"/>
      <c r="J573" s="429"/>
      <c r="K573" s="298"/>
      <c r="L573" s="298"/>
      <c r="M573" s="297"/>
      <c r="N573" s="429"/>
      <c r="O573" s="298"/>
      <c r="P573" s="298"/>
      <c r="Q573" s="297"/>
      <c r="R573" s="429"/>
      <c r="S573" s="298"/>
      <c r="T573" s="298"/>
      <c r="U573" s="297"/>
      <c r="V573" s="429"/>
      <c r="W573" s="316"/>
    </row>
    <row r="574" spans="1:23" x14ac:dyDescent="0.2">
      <c r="A574" s="421"/>
      <c r="B574" s="421"/>
      <c r="C574" s="429"/>
      <c r="D574" s="281"/>
      <c r="E574" s="429"/>
      <c r="F574" s="429"/>
      <c r="G574" s="298"/>
      <c r="H574" s="298"/>
      <c r="I574" s="297"/>
      <c r="J574" s="429"/>
      <c r="K574" s="298"/>
      <c r="L574" s="298"/>
      <c r="M574" s="297"/>
      <c r="N574" s="429"/>
      <c r="O574" s="298"/>
      <c r="P574" s="298"/>
      <c r="Q574" s="297"/>
      <c r="R574" s="429"/>
      <c r="S574" s="298"/>
      <c r="T574" s="298"/>
      <c r="U574" s="297"/>
      <c r="V574" s="429"/>
      <c r="W574" s="316"/>
    </row>
    <row r="575" spans="1:23" x14ac:dyDescent="0.2">
      <c r="A575" s="421"/>
      <c r="B575" s="421"/>
      <c r="C575" s="429"/>
      <c r="D575" s="281"/>
      <c r="E575" s="429"/>
      <c r="F575" s="429"/>
      <c r="G575" s="298"/>
      <c r="H575" s="298"/>
      <c r="I575" s="297"/>
      <c r="J575" s="429"/>
      <c r="K575" s="298"/>
      <c r="L575" s="298"/>
      <c r="M575" s="297"/>
      <c r="N575" s="429"/>
      <c r="O575" s="298"/>
      <c r="P575" s="298"/>
      <c r="Q575" s="297"/>
      <c r="R575" s="429"/>
      <c r="S575" s="298"/>
      <c r="T575" s="298"/>
      <c r="U575" s="297"/>
      <c r="V575" s="429"/>
      <c r="W575" s="316"/>
    </row>
    <row r="576" spans="1:23" x14ac:dyDescent="0.2">
      <c r="A576" s="421"/>
      <c r="B576" s="421"/>
      <c r="C576" s="429"/>
      <c r="D576" s="281"/>
      <c r="E576" s="429"/>
      <c r="F576" s="429"/>
      <c r="G576" s="298"/>
      <c r="H576" s="298"/>
      <c r="I576" s="297"/>
      <c r="J576" s="429"/>
      <c r="K576" s="298"/>
      <c r="L576" s="298"/>
      <c r="M576" s="297"/>
      <c r="N576" s="429"/>
      <c r="O576" s="298"/>
      <c r="P576" s="298"/>
      <c r="Q576" s="297"/>
      <c r="R576" s="429"/>
      <c r="S576" s="298"/>
      <c r="T576" s="298"/>
      <c r="U576" s="297"/>
      <c r="V576" s="429"/>
      <c r="W576" s="316"/>
    </row>
    <row r="577" spans="1:23" x14ac:dyDescent="0.2">
      <c r="A577" s="421"/>
      <c r="B577" s="421"/>
      <c r="C577" s="429"/>
      <c r="D577" s="281"/>
      <c r="E577" s="429"/>
      <c r="F577" s="429"/>
      <c r="G577" s="298"/>
      <c r="H577" s="298"/>
      <c r="I577" s="297"/>
      <c r="J577" s="429"/>
      <c r="K577" s="298"/>
      <c r="L577" s="298"/>
      <c r="M577" s="297"/>
      <c r="N577" s="429"/>
      <c r="O577" s="298"/>
      <c r="P577" s="298"/>
      <c r="Q577" s="297"/>
      <c r="R577" s="429"/>
      <c r="S577" s="298"/>
      <c r="T577" s="298"/>
      <c r="U577" s="297"/>
      <c r="V577" s="429"/>
      <c r="W577" s="316"/>
    </row>
    <row r="578" spans="1:23" x14ac:dyDescent="0.2">
      <c r="A578" s="421"/>
      <c r="B578" s="421"/>
      <c r="C578" s="429"/>
      <c r="D578" s="281"/>
      <c r="E578" s="429"/>
      <c r="F578" s="429"/>
      <c r="G578" s="298"/>
      <c r="H578" s="298"/>
      <c r="I578" s="297"/>
      <c r="J578" s="429"/>
      <c r="K578" s="298"/>
      <c r="L578" s="298"/>
      <c r="M578" s="297"/>
      <c r="N578" s="429"/>
      <c r="O578" s="298"/>
      <c r="P578" s="298"/>
      <c r="Q578" s="297"/>
      <c r="R578" s="429"/>
      <c r="S578" s="298"/>
      <c r="T578" s="298"/>
      <c r="U578" s="297"/>
      <c r="V578" s="429"/>
      <c r="W578" s="316"/>
    </row>
    <row r="579" spans="1:23" x14ac:dyDescent="0.2">
      <c r="A579" s="421"/>
      <c r="B579" s="421"/>
      <c r="C579" s="429"/>
      <c r="D579" s="281"/>
      <c r="E579" s="429"/>
      <c r="F579" s="429"/>
      <c r="G579" s="298"/>
      <c r="H579" s="298"/>
      <c r="I579" s="297"/>
      <c r="J579" s="429"/>
      <c r="K579" s="298"/>
      <c r="L579" s="298"/>
      <c r="M579" s="297"/>
      <c r="N579" s="429"/>
      <c r="O579" s="298"/>
      <c r="P579" s="298"/>
      <c r="Q579" s="297"/>
      <c r="R579" s="429"/>
      <c r="S579" s="298"/>
      <c r="T579" s="298"/>
      <c r="U579" s="297"/>
      <c r="V579" s="429"/>
      <c r="W579" s="316"/>
    </row>
    <row r="580" spans="1:23" x14ac:dyDescent="0.2">
      <c r="A580" s="421"/>
      <c r="B580" s="421"/>
      <c r="C580" s="429"/>
      <c r="D580" s="281"/>
      <c r="E580" s="429"/>
      <c r="F580" s="429"/>
      <c r="G580" s="298"/>
      <c r="H580" s="298"/>
      <c r="I580" s="297"/>
      <c r="J580" s="429"/>
      <c r="K580" s="298"/>
      <c r="L580" s="298"/>
      <c r="M580" s="297"/>
      <c r="N580" s="429"/>
      <c r="O580" s="298"/>
      <c r="P580" s="298"/>
      <c r="Q580" s="297"/>
      <c r="R580" s="429"/>
      <c r="S580" s="298"/>
      <c r="T580" s="298"/>
      <c r="U580" s="297"/>
      <c r="V580" s="429"/>
      <c r="W580" s="316"/>
    </row>
    <row r="581" spans="1:23" x14ac:dyDescent="0.2">
      <c r="A581" s="421"/>
      <c r="B581" s="421"/>
      <c r="C581" s="429"/>
      <c r="D581" s="281"/>
      <c r="E581" s="429"/>
      <c r="F581" s="429"/>
      <c r="G581" s="298"/>
      <c r="H581" s="298"/>
      <c r="I581" s="297"/>
      <c r="J581" s="429"/>
      <c r="K581" s="298"/>
      <c r="L581" s="298"/>
      <c r="M581" s="297"/>
      <c r="N581" s="429"/>
      <c r="O581" s="298"/>
      <c r="P581" s="298"/>
      <c r="Q581" s="297"/>
      <c r="R581" s="429"/>
      <c r="S581" s="298"/>
      <c r="T581" s="298"/>
      <c r="U581" s="297"/>
      <c r="V581" s="429"/>
      <c r="W581" s="316"/>
    </row>
    <row r="582" spans="1:23" x14ac:dyDescent="0.2">
      <c r="A582" s="421"/>
      <c r="B582" s="421"/>
      <c r="C582" s="429"/>
      <c r="D582" s="281"/>
      <c r="E582" s="429"/>
      <c r="F582" s="429"/>
      <c r="G582" s="298"/>
      <c r="H582" s="298"/>
      <c r="I582" s="297"/>
      <c r="J582" s="429"/>
      <c r="K582" s="298"/>
      <c r="L582" s="298"/>
      <c r="M582" s="297"/>
      <c r="N582" s="429"/>
      <c r="O582" s="298"/>
      <c r="P582" s="298"/>
      <c r="Q582" s="297"/>
      <c r="R582" s="429"/>
      <c r="S582" s="298"/>
      <c r="T582" s="298"/>
      <c r="U582" s="297"/>
      <c r="V582" s="429"/>
      <c r="W582" s="316"/>
    </row>
    <row r="583" spans="1:23" x14ac:dyDescent="0.2">
      <c r="A583" s="421"/>
      <c r="B583" s="421"/>
      <c r="C583" s="429"/>
      <c r="D583" s="281"/>
      <c r="E583" s="429"/>
      <c r="F583" s="429"/>
      <c r="G583" s="298"/>
      <c r="H583" s="298"/>
      <c r="I583" s="297"/>
      <c r="J583" s="429"/>
      <c r="K583" s="298"/>
      <c r="L583" s="298"/>
      <c r="M583" s="297"/>
      <c r="N583" s="429"/>
      <c r="O583" s="298"/>
      <c r="P583" s="298"/>
      <c r="Q583" s="297"/>
      <c r="R583" s="429"/>
      <c r="S583" s="298"/>
      <c r="T583" s="298"/>
      <c r="U583" s="297"/>
      <c r="V583" s="429"/>
      <c r="W583" s="316"/>
    </row>
    <row r="584" spans="1:23" x14ac:dyDescent="0.2">
      <c r="A584" s="421"/>
      <c r="B584" s="421"/>
      <c r="C584" s="429"/>
      <c r="D584" s="281"/>
      <c r="E584" s="429"/>
      <c r="F584" s="429"/>
      <c r="G584" s="298"/>
      <c r="H584" s="298"/>
      <c r="I584" s="297"/>
      <c r="J584" s="429"/>
      <c r="K584" s="298"/>
      <c r="L584" s="298"/>
      <c r="M584" s="297"/>
      <c r="N584" s="429"/>
      <c r="O584" s="298"/>
      <c r="P584" s="298"/>
      <c r="Q584" s="297"/>
      <c r="R584" s="429"/>
      <c r="S584" s="298"/>
      <c r="T584" s="298"/>
      <c r="U584" s="297"/>
      <c r="V584" s="429"/>
      <c r="W584" s="316"/>
    </row>
    <row r="585" spans="1:23" x14ac:dyDescent="0.2">
      <c r="A585" s="421"/>
      <c r="B585" s="421"/>
      <c r="C585" s="429"/>
      <c r="D585" s="281"/>
      <c r="E585" s="429"/>
      <c r="F585" s="429"/>
      <c r="G585" s="298"/>
      <c r="H585" s="298"/>
      <c r="I585" s="297"/>
      <c r="J585" s="429"/>
      <c r="K585" s="298"/>
      <c r="L585" s="298"/>
      <c r="M585" s="297"/>
      <c r="N585" s="429"/>
      <c r="O585" s="298"/>
      <c r="P585" s="298"/>
      <c r="Q585" s="297"/>
      <c r="R585" s="429"/>
      <c r="S585" s="298"/>
      <c r="T585" s="298"/>
      <c r="U585" s="297"/>
      <c r="V585" s="429"/>
      <c r="W585" s="316"/>
    </row>
    <row r="586" spans="1:23" x14ac:dyDescent="0.2">
      <c r="A586" s="421"/>
      <c r="B586" s="421"/>
      <c r="C586" s="429"/>
      <c r="D586" s="281"/>
      <c r="E586" s="429"/>
      <c r="F586" s="429"/>
      <c r="G586" s="298"/>
      <c r="H586" s="298"/>
      <c r="I586" s="297"/>
      <c r="J586" s="429"/>
      <c r="K586" s="298"/>
      <c r="L586" s="298"/>
      <c r="M586" s="297"/>
      <c r="N586" s="429"/>
      <c r="O586" s="298"/>
      <c r="P586" s="298"/>
      <c r="Q586" s="297"/>
      <c r="R586" s="429"/>
      <c r="S586" s="298"/>
      <c r="T586" s="298"/>
      <c r="U586" s="297"/>
      <c r="V586" s="429"/>
      <c r="W586" s="316"/>
    </row>
    <row r="587" spans="1:23" x14ac:dyDescent="0.2">
      <c r="A587" s="421"/>
      <c r="B587" s="421"/>
      <c r="C587" s="429"/>
      <c r="D587" s="281"/>
      <c r="E587" s="429"/>
      <c r="F587" s="429"/>
      <c r="G587" s="298"/>
      <c r="H587" s="298"/>
      <c r="I587" s="297"/>
      <c r="J587" s="429"/>
      <c r="K587" s="298"/>
      <c r="L587" s="298"/>
      <c r="M587" s="297"/>
      <c r="N587" s="429"/>
      <c r="O587" s="298"/>
      <c r="P587" s="298"/>
      <c r="Q587" s="297"/>
      <c r="R587" s="429"/>
      <c r="S587" s="298"/>
      <c r="T587" s="298"/>
      <c r="U587" s="297"/>
      <c r="V587" s="429"/>
      <c r="W587" s="316"/>
    </row>
    <row r="588" spans="1:23" x14ac:dyDescent="0.2">
      <c r="A588" s="421"/>
      <c r="B588" s="421"/>
      <c r="C588" s="429"/>
      <c r="D588" s="281"/>
      <c r="E588" s="429"/>
      <c r="F588" s="429"/>
      <c r="G588" s="298"/>
      <c r="H588" s="298"/>
      <c r="I588" s="297"/>
      <c r="J588" s="429"/>
      <c r="K588" s="298"/>
      <c r="L588" s="298"/>
      <c r="M588" s="297"/>
      <c r="N588" s="429"/>
      <c r="O588" s="298"/>
      <c r="P588" s="298"/>
      <c r="Q588" s="297"/>
      <c r="R588" s="429"/>
      <c r="S588" s="298"/>
      <c r="T588" s="298"/>
      <c r="U588" s="297"/>
      <c r="V588" s="429"/>
      <c r="W588" s="316"/>
    </row>
    <row r="589" spans="1:23" x14ac:dyDescent="0.2">
      <c r="A589" s="421"/>
      <c r="B589" s="421"/>
      <c r="C589" s="429"/>
      <c r="D589" s="281"/>
      <c r="E589" s="429"/>
      <c r="F589" s="429"/>
      <c r="G589" s="298"/>
      <c r="H589" s="298"/>
      <c r="I589" s="297"/>
      <c r="J589" s="429"/>
      <c r="K589" s="298"/>
      <c r="L589" s="298"/>
      <c r="M589" s="297"/>
      <c r="N589" s="429"/>
      <c r="O589" s="298"/>
      <c r="P589" s="298"/>
      <c r="Q589" s="297"/>
      <c r="R589" s="429"/>
      <c r="S589" s="298"/>
      <c r="T589" s="298"/>
      <c r="U589" s="297"/>
      <c r="V589" s="429"/>
      <c r="W589" s="316"/>
    </row>
    <row r="590" spans="1:23" x14ac:dyDescent="0.2">
      <c r="A590" s="421"/>
      <c r="B590" s="421"/>
      <c r="C590" s="429"/>
      <c r="D590" s="281"/>
      <c r="E590" s="429"/>
      <c r="F590" s="429"/>
      <c r="G590" s="298"/>
      <c r="H590" s="298"/>
      <c r="I590" s="297"/>
      <c r="J590" s="429"/>
      <c r="K590" s="298"/>
      <c r="L590" s="298"/>
      <c r="M590" s="297"/>
      <c r="N590" s="429"/>
      <c r="O590" s="298"/>
      <c r="P590" s="298"/>
      <c r="Q590" s="297"/>
      <c r="R590" s="429"/>
      <c r="S590" s="298"/>
      <c r="T590" s="298"/>
      <c r="U590" s="297"/>
      <c r="V590" s="429"/>
      <c r="W590" s="316"/>
    </row>
    <row r="591" spans="1:23" x14ac:dyDescent="0.2">
      <c r="A591" s="421"/>
      <c r="B591" s="421"/>
      <c r="C591" s="429"/>
      <c r="D591" s="281"/>
      <c r="E591" s="429"/>
      <c r="F591" s="429"/>
      <c r="G591" s="298"/>
      <c r="H591" s="298"/>
      <c r="I591" s="297"/>
      <c r="J591" s="429"/>
      <c r="K591" s="298"/>
      <c r="L591" s="298"/>
      <c r="M591" s="297"/>
      <c r="N591" s="429"/>
      <c r="O591" s="298"/>
      <c r="P591" s="298"/>
      <c r="Q591" s="297"/>
      <c r="R591" s="429"/>
      <c r="S591" s="298"/>
      <c r="T591" s="298"/>
      <c r="U591" s="297"/>
      <c r="V591" s="429"/>
      <c r="W591" s="316"/>
    </row>
    <row r="592" spans="1:23" x14ac:dyDescent="0.2">
      <c r="A592" s="421"/>
      <c r="B592" s="421"/>
      <c r="C592" s="429"/>
      <c r="D592" s="281"/>
      <c r="E592" s="429"/>
      <c r="F592" s="429"/>
      <c r="G592" s="298"/>
      <c r="H592" s="298"/>
      <c r="I592" s="297"/>
      <c r="J592" s="429"/>
      <c r="K592" s="298"/>
      <c r="L592" s="298"/>
      <c r="M592" s="297"/>
      <c r="N592" s="429"/>
      <c r="O592" s="298"/>
      <c r="P592" s="298"/>
      <c r="Q592" s="297"/>
      <c r="R592" s="429"/>
      <c r="S592" s="298"/>
      <c r="T592" s="298"/>
      <c r="U592" s="297"/>
      <c r="V592" s="429"/>
      <c r="W592" s="316"/>
    </row>
    <row r="593" spans="1:23" x14ac:dyDescent="0.2">
      <c r="A593" s="421"/>
      <c r="B593" s="421"/>
      <c r="C593" s="429"/>
      <c r="D593" s="281"/>
      <c r="E593" s="429"/>
      <c r="F593" s="429"/>
      <c r="G593" s="298"/>
      <c r="H593" s="298"/>
      <c r="I593" s="297"/>
      <c r="J593" s="429"/>
      <c r="K593" s="298"/>
      <c r="L593" s="298"/>
      <c r="M593" s="297"/>
      <c r="N593" s="429"/>
      <c r="O593" s="298"/>
      <c r="P593" s="298"/>
      <c r="Q593" s="297"/>
      <c r="R593" s="429"/>
      <c r="S593" s="298"/>
      <c r="T593" s="298"/>
      <c r="U593" s="297"/>
      <c r="V593" s="429"/>
      <c r="W593" s="316"/>
    </row>
    <row r="594" spans="1:23" x14ac:dyDescent="0.2">
      <c r="A594" s="421"/>
      <c r="B594" s="421"/>
      <c r="C594" s="429"/>
      <c r="D594" s="281"/>
      <c r="E594" s="429"/>
      <c r="F594" s="429"/>
      <c r="G594" s="298"/>
      <c r="H594" s="298"/>
      <c r="I594" s="297"/>
      <c r="J594" s="429"/>
      <c r="K594" s="298"/>
      <c r="L594" s="298"/>
      <c r="M594" s="297"/>
      <c r="N594" s="429"/>
      <c r="O594" s="298"/>
      <c r="P594" s="298"/>
      <c r="Q594" s="297"/>
      <c r="R594" s="429"/>
      <c r="S594" s="298"/>
      <c r="T594" s="298"/>
      <c r="U594" s="297"/>
      <c r="V594" s="429"/>
      <c r="W594" s="316"/>
    </row>
    <row r="595" spans="1:23" x14ac:dyDescent="0.2">
      <c r="A595" s="421"/>
      <c r="B595" s="421"/>
      <c r="C595" s="429"/>
      <c r="D595" s="281"/>
      <c r="E595" s="429"/>
      <c r="F595" s="429"/>
      <c r="G595" s="298"/>
      <c r="H595" s="298"/>
      <c r="I595" s="297"/>
      <c r="J595" s="429"/>
      <c r="K595" s="298"/>
      <c r="L595" s="298"/>
      <c r="M595" s="297"/>
      <c r="N595" s="429"/>
      <c r="O595" s="298"/>
      <c r="P595" s="298"/>
      <c r="Q595" s="297"/>
      <c r="R595" s="429"/>
      <c r="S595" s="298"/>
      <c r="T595" s="298"/>
      <c r="U595" s="297"/>
      <c r="V595" s="429"/>
      <c r="W595" s="316"/>
    </row>
    <row r="596" spans="1:23" x14ac:dyDescent="0.2">
      <c r="A596" s="421"/>
      <c r="B596" s="421"/>
      <c r="C596" s="429"/>
      <c r="D596" s="281"/>
      <c r="E596" s="429"/>
      <c r="F596" s="429"/>
      <c r="G596" s="298"/>
      <c r="H596" s="298"/>
      <c r="I596" s="297"/>
      <c r="J596" s="429"/>
      <c r="K596" s="298"/>
      <c r="L596" s="298"/>
      <c r="M596" s="297"/>
      <c r="N596" s="429"/>
      <c r="O596" s="298"/>
      <c r="P596" s="298"/>
      <c r="Q596" s="297"/>
      <c r="R596" s="429"/>
      <c r="S596" s="298"/>
      <c r="T596" s="298"/>
      <c r="U596" s="297"/>
      <c r="V596" s="429"/>
      <c r="W596" s="316"/>
    </row>
    <row r="597" spans="1:23" x14ac:dyDescent="0.2">
      <c r="A597" s="421"/>
      <c r="B597" s="421"/>
      <c r="C597" s="429"/>
      <c r="D597" s="281"/>
      <c r="E597" s="429"/>
      <c r="F597" s="429"/>
      <c r="G597" s="298"/>
      <c r="H597" s="298"/>
      <c r="I597" s="297"/>
      <c r="J597" s="429"/>
      <c r="K597" s="298"/>
      <c r="L597" s="298"/>
      <c r="M597" s="297"/>
      <c r="N597" s="429"/>
      <c r="O597" s="298"/>
      <c r="P597" s="298"/>
      <c r="Q597" s="297"/>
      <c r="R597" s="429"/>
      <c r="S597" s="298"/>
      <c r="T597" s="298"/>
      <c r="U597" s="297"/>
      <c r="V597" s="429"/>
      <c r="W597" s="316"/>
    </row>
    <row r="598" spans="1:23" x14ac:dyDescent="0.2">
      <c r="A598" s="421"/>
      <c r="B598" s="421"/>
      <c r="C598" s="429"/>
      <c r="D598" s="281"/>
      <c r="E598" s="429"/>
      <c r="F598" s="429"/>
      <c r="G598" s="298"/>
      <c r="H598" s="298"/>
      <c r="I598" s="297"/>
      <c r="J598" s="429"/>
      <c r="K598" s="298"/>
      <c r="L598" s="298"/>
      <c r="M598" s="297"/>
      <c r="N598" s="429"/>
      <c r="O598" s="298"/>
      <c r="P598" s="298"/>
      <c r="Q598" s="297"/>
      <c r="R598" s="429"/>
      <c r="S598" s="298"/>
      <c r="T598" s="298"/>
      <c r="U598" s="297"/>
      <c r="V598" s="429"/>
      <c r="W598" s="316"/>
    </row>
    <row r="599" spans="1:23" x14ac:dyDescent="0.2">
      <c r="A599" s="421"/>
      <c r="B599" s="421"/>
      <c r="C599" s="429"/>
      <c r="D599" s="281"/>
      <c r="E599" s="429"/>
      <c r="F599" s="429"/>
      <c r="G599" s="298"/>
      <c r="H599" s="298"/>
      <c r="I599" s="297"/>
      <c r="J599" s="429"/>
      <c r="K599" s="298"/>
      <c r="L599" s="298"/>
      <c r="M599" s="297"/>
      <c r="N599" s="429"/>
      <c r="O599" s="298"/>
      <c r="P599" s="298"/>
      <c r="Q599" s="297"/>
      <c r="R599" s="429"/>
      <c r="S599" s="298"/>
      <c r="T599" s="298"/>
      <c r="U599" s="297"/>
      <c r="V599" s="429"/>
      <c r="W599" s="316"/>
    </row>
  </sheetData>
  <autoFilter ref="A6:S18"/>
  <mergeCells count="153">
    <mergeCell ref="Q91:S91"/>
    <mergeCell ref="A1:J1"/>
    <mergeCell ref="M1:N1"/>
    <mergeCell ref="E3:G3"/>
    <mergeCell ref="J3:K3"/>
    <mergeCell ref="N3:O3"/>
    <mergeCell ref="D5:G5"/>
    <mergeCell ref="I5:K5"/>
    <mergeCell ref="M5:O5"/>
    <mergeCell ref="A15:A18"/>
    <mergeCell ref="B15:B18"/>
    <mergeCell ref="A19:A22"/>
    <mergeCell ref="B19:B22"/>
    <mergeCell ref="A23:A26"/>
    <mergeCell ref="B23:B26"/>
    <mergeCell ref="Q5:S5"/>
    <mergeCell ref="A47:A50"/>
    <mergeCell ref="B47:B50"/>
    <mergeCell ref="B67:B70"/>
    <mergeCell ref="A71:A74"/>
    <mergeCell ref="B71:B74"/>
    <mergeCell ref="A75:A78"/>
    <mergeCell ref="B75:B78"/>
    <mergeCell ref="A79:A82"/>
    <mergeCell ref="U5:W5"/>
    <mergeCell ref="A7:A10"/>
    <mergeCell ref="B7:B10"/>
    <mergeCell ref="A11:A14"/>
    <mergeCell ref="B11:B14"/>
    <mergeCell ref="A39:A42"/>
    <mergeCell ref="B39:B42"/>
    <mergeCell ref="A43:A46"/>
    <mergeCell ref="B43:B46"/>
    <mergeCell ref="A27:A30"/>
    <mergeCell ref="B27:B30"/>
    <mergeCell ref="A31:A34"/>
    <mergeCell ref="B31:B34"/>
    <mergeCell ref="A35:A38"/>
    <mergeCell ref="B35:B38"/>
    <mergeCell ref="B79:B82"/>
    <mergeCell ref="M47:O74"/>
    <mergeCell ref="A51:A54"/>
    <mergeCell ref="B51:B54"/>
    <mergeCell ref="A55:A58"/>
    <mergeCell ref="B55:B58"/>
    <mergeCell ref="A59:A62"/>
    <mergeCell ref="B59:B62"/>
    <mergeCell ref="A63:A66"/>
    <mergeCell ref="B63:B66"/>
    <mergeCell ref="A67:A70"/>
    <mergeCell ref="A95:A98"/>
    <mergeCell ref="B95:B98"/>
    <mergeCell ref="A99:A102"/>
    <mergeCell ref="B99:B102"/>
    <mergeCell ref="A103:A106"/>
    <mergeCell ref="B103:B106"/>
    <mergeCell ref="A83:A86"/>
    <mergeCell ref="B83:B86"/>
    <mergeCell ref="A87:A90"/>
    <mergeCell ref="B87:B90"/>
    <mergeCell ref="A91:A94"/>
    <mergeCell ref="B91:B94"/>
    <mergeCell ref="A119:A122"/>
    <mergeCell ref="B119:B122"/>
    <mergeCell ref="A123:A126"/>
    <mergeCell ref="B123:B126"/>
    <mergeCell ref="A127:A130"/>
    <mergeCell ref="B127:B130"/>
    <mergeCell ref="A107:A110"/>
    <mergeCell ref="B107:B110"/>
    <mergeCell ref="A111:A114"/>
    <mergeCell ref="B111:B114"/>
    <mergeCell ref="A115:A118"/>
    <mergeCell ref="B115:B118"/>
    <mergeCell ref="B155:B158"/>
    <mergeCell ref="B159:B162"/>
    <mergeCell ref="B163:B166"/>
    <mergeCell ref="B167:B170"/>
    <mergeCell ref="B171:B174"/>
    <mergeCell ref="B175:B178"/>
    <mergeCell ref="B131:B134"/>
    <mergeCell ref="B135:B138"/>
    <mergeCell ref="B139:B142"/>
    <mergeCell ref="B143:B146"/>
    <mergeCell ref="B147:B150"/>
    <mergeCell ref="B151:B154"/>
    <mergeCell ref="B203:B206"/>
    <mergeCell ref="B207:B210"/>
    <mergeCell ref="B211:B214"/>
    <mergeCell ref="B215:B218"/>
    <mergeCell ref="B219:B222"/>
    <mergeCell ref="B223:B226"/>
    <mergeCell ref="B179:B182"/>
    <mergeCell ref="B183:B186"/>
    <mergeCell ref="B187:B190"/>
    <mergeCell ref="B191:B194"/>
    <mergeCell ref="B195:B198"/>
    <mergeCell ref="B199:B202"/>
    <mergeCell ref="B251:B254"/>
    <mergeCell ref="B255:B258"/>
    <mergeCell ref="B259:B262"/>
    <mergeCell ref="B263:B266"/>
    <mergeCell ref="B227:B230"/>
    <mergeCell ref="B231:B234"/>
    <mergeCell ref="B235:B238"/>
    <mergeCell ref="B239:B242"/>
    <mergeCell ref="B243:B246"/>
    <mergeCell ref="B247:B250"/>
    <mergeCell ref="B267:B270"/>
    <mergeCell ref="B271:B274"/>
    <mergeCell ref="B275:B278"/>
    <mergeCell ref="B279:B282"/>
    <mergeCell ref="B283:B286"/>
    <mergeCell ref="B287:B290"/>
    <mergeCell ref="B291:B294"/>
    <mergeCell ref="B295:B298"/>
    <mergeCell ref="B299:B302"/>
    <mergeCell ref="B303:B306"/>
    <mergeCell ref="B307:B310"/>
    <mergeCell ref="B311:B314"/>
    <mergeCell ref="B315:B318"/>
    <mergeCell ref="B319:B322"/>
    <mergeCell ref="B323:B326"/>
    <mergeCell ref="B327:B330"/>
    <mergeCell ref="B331:B334"/>
    <mergeCell ref="B335:B338"/>
    <mergeCell ref="B339:B342"/>
    <mergeCell ref="B343:B346"/>
    <mergeCell ref="B347:B350"/>
    <mergeCell ref="B351:B354"/>
    <mergeCell ref="B355:B358"/>
    <mergeCell ref="B359:B362"/>
    <mergeCell ref="B363:B366"/>
    <mergeCell ref="B367:B370"/>
    <mergeCell ref="B371:B374"/>
    <mergeCell ref="B375:B378"/>
    <mergeCell ref="B379:B382"/>
    <mergeCell ref="B383:B386"/>
    <mergeCell ref="B387:B390"/>
    <mergeCell ref="B391:B394"/>
    <mergeCell ref="B395:B398"/>
    <mergeCell ref="B399:B402"/>
    <mergeCell ref="B403:B406"/>
    <mergeCell ref="B407:B410"/>
    <mergeCell ref="B411:B414"/>
    <mergeCell ref="B415:B418"/>
    <mergeCell ref="B419:B422"/>
    <mergeCell ref="B423:B426"/>
    <mergeCell ref="B427:B430"/>
    <mergeCell ref="B431:B434"/>
    <mergeCell ref="B435:B438"/>
    <mergeCell ref="B439:B442"/>
    <mergeCell ref="B443:B446"/>
  </mergeCells>
  <conditionalFormatting sqref="G2:H4 K2:L4 O2:P4 S2:T4 G447:H1048576 O267:P330 H123 K102:L102 K100:L100 W110:X110 W113:X113 W129:X130 W122:X122 W133:X134 O195:P226 K117:L117 O156:P158 K228:L230 O165:P167 S131:T131 S149:T154 G95:H95 G91:H92 O232:P235 K233:L234 O248:P250 K236:L238 K245:L246 K248:L250 K269:L270 K276:L278 K280:L286 K304:L306 K308:L314 K316:L318 L324:L326 L320:L322 L328:L330 K352:L354 K356:L358 K360:L362 K364:L366 K368:L370 L332:L334 O332:P334 O336:P338 L336:L338 K340:L342 O340:P342 O344:P346 K344:L346 O161:P163 S200:T205 S156:T187 T155 O185:P186 P184 O348:P350 P347 K196 P159 S236:T238 S240:T1048576 K240:L242 L239 O352:P354 P351 O356:P358 P355 O360:P362 P359 O364:P370 P363 P155 O169:P175 P168 O188:P190 P187 O372:P1048576 P371 L219 K164:L165 L166 K166:K167 L232 L244 O177:P178 P176 O180:P183 P179 L268 K272:L274 L271 K288:L290 L287 K292:L294 L291 K296:L302 L295 K348:L350 L347 K372:L382 K384:L1048576 L383">
    <cfRule type="cellIs" dxfId="4146" priority="2072" operator="greaterThan">
      <formula>0</formula>
    </cfRule>
  </conditionalFormatting>
  <conditionalFormatting sqref="B7:B10">
    <cfRule type="expression" dxfId="4145" priority="2062">
      <formula>B7="CN"</formula>
    </cfRule>
  </conditionalFormatting>
  <conditionalFormatting sqref="S7:T10 O8:P10 K7:L10 G7:H10">
    <cfRule type="cellIs" dxfId="4144" priority="2061" operator="greaterThan">
      <formula>0</formula>
    </cfRule>
  </conditionalFormatting>
  <conditionalFormatting sqref="B11:B14">
    <cfRule type="expression" dxfId="4143" priority="2054">
      <formula>B11="CN"</formula>
    </cfRule>
  </conditionalFormatting>
  <conditionalFormatting sqref="O13:P14 K13:L14 G11:H14">
    <cfRule type="cellIs" dxfId="4142" priority="2053" operator="greaterThan">
      <formula>0</formula>
    </cfRule>
  </conditionalFormatting>
  <conditionalFormatting sqref="B15:B18">
    <cfRule type="expression" dxfId="4141" priority="2046">
      <formula>B15="CN"</formula>
    </cfRule>
  </conditionalFormatting>
  <conditionalFormatting sqref="O15:P18 K16:L18 G15:H18">
    <cfRule type="cellIs" dxfId="4140" priority="2045" operator="greaterThan">
      <formula>0</formula>
    </cfRule>
  </conditionalFormatting>
  <conditionalFormatting sqref="O7:P7">
    <cfRule type="cellIs" dxfId="4139" priority="2041" operator="greaterThan">
      <formula>0</formula>
    </cfRule>
  </conditionalFormatting>
  <conditionalFormatting sqref="W2:X4 W267:X285 W313:X1048576 X286:X312">
    <cfRule type="cellIs" dxfId="4138" priority="2040" operator="greaterThan">
      <formula>0</formula>
    </cfRule>
  </conditionalFormatting>
  <conditionalFormatting sqref="W7:X10">
    <cfRule type="cellIs" dxfId="4137" priority="2036" operator="greaterThan">
      <formula>0</formula>
    </cfRule>
  </conditionalFormatting>
  <conditionalFormatting sqref="W11:X14">
    <cfRule type="cellIs" dxfId="4136" priority="2032" operator="greaterThan">
      <formula>0</formula>
    </cfRule>
  </conditionalFormatting>
  <conditionalFormatting sqref="W15:X18">
    <cfRule type="cellIs" dxfId="4135" priority="2028" operator="greaterThan">
      <formula>0</formula>
    </cfRule>
  </conditionalFormatting>
  <conditionalFormatting sqref="B19:B22">
    <cfRule type="expression" dxfId="4134" priority="2018">
      <formula>B19="CN"</formula>
    </cfRule>
  </conditionalFormatting>
  <conditionalFormatting sqref="O20:P22 K20:L22 G20:H22">
    <cfRule type="cellIs" dxfId="4133" priority="2017" operator="greaterThan">
      <formula>0</formula>
    </cfRule>
  </conditionalFormatting>
  <conditionalFormatting sqref="W19:X22">
    <cfRule type="cellIs" dxfId="4132" priority="2013" operator="greaterThan">
      <formula>0</formula>
    </cfRule>
  </conditionalFormatting>
  <conditionalFormatting sqref="B23:B26">
    <cfRule type="expression" dxfId="4131" priority="2003">
      <formula>B23="CN"</formula>
    </cfRule>
  </conditionalFormatting>
  <conditionalFormatting sqref="O24:P26 K24:L26 G24:H26">
    <cfRule type="cellIs" dxfId="4130" priority="2002" operator="greaterThan">
      <formula>0</formula>
    </cfRule>
  </conditionalFormatting>
  <conditionalFormatting sqref="W23:X26">
    <cfRule type="cellIs" dxfId="4129" priority="1998" operator="greaterThan">
      <formula>0</formula>
    </cfRule>
  </conditionalFormatting>
  <conditionalFormatting sqref="B27:B30">
    <cfRule type="expression" dxfId="4128" priority="1988">
      <formula>B27="CN"</formula>
    </cfRule>
  </conditionalFormatting>
  <conditionalFormatting sqref="O28:P30 K27:L30 G27:H30">
    <cfRule type="cellIs" dxfId="4127" priority="1987" operator="greaterThan">
      <formula>0</formula>
    </cfRule>
  </conditionalFormatting>
  <conditionalFormatting sqref="W27:X30">
    <cfRule type="cellIs" dxfId="4126" priority="1983" operator="greaterThan">
      <formula>0</formula>
    </cfRule>
  </conditionalFormatting>
  <conditionalFormatting sqref="B31:B34">
    <cfRule type="expression" dxfId="4125" priority="1973">
      <formula>B31="CN"</formula>
    </cfRule>
  </conditionalFormatting>
  <conditionalFormatting sqref="O32:P34 K31:L34 G33:H34">
    <cfRule type="cellIs" dxfId="4124" priority="1972" operator="greaterThan">
      <formula>0</formula>
    </cfRule>
  </conditionalFormatting>
  <conditionalFormatting sqref="W31:X34">
    <cfRule type="cellIs" dxfId="4123" priority="1968" operator="greaterThan">
      <formula>0</formula>
    </cfRule>
  </conditionalFormatting>
  <conditionalFormatting sqref="B35:B38">
    <cfRule type="expression" dxfId="4122" priority="1958">
      <formula>B35="CN"</formula>
    </cfRule>
  </conditionalFormatting>
  <conditionalFormatting sqref="O36:P38 K36:L38 G38:H38">
    <cfRule type="cellIs" dxfId="4121" priority="1957" operator="greaterThan">
      <formula>0</formula>
    </cfRule>
  </conditionalFormatting>
  <conditionalFormatting sqref="W35:X38">
    <cfRule type="cellIs" dxfId="4120" priority="1953" operator="greaterThan">
      <formula>0</formula>
    </cfRule>
  </conditionalFormatting>
  <conditionalFormatting sqref="B39:B42">
    <cfRule type="expression" dxfId="4119" priority="1943">
      <formula>B39="CN"</formula>
    </cfRule>
  </conditionalFormatting>
  <conditionalFormatting sqref="O40:P42 K40:L42 G39:H42">
    <cfRule type="cellIs" dxfId="4118" priority="1942" operator="greaterThan">
      <formula>0</formula>
    </cfRule>
  </conditionalFormatting>
  <conditionalFormatting sqref="W39:X42">
    <cfRule type="cellIs" dxfId="4117" priority="1938" operator="greaterThan">
      <formula>0</formula>
    </cfRule>
  </conditionalFormatting>
  <conditionalFormatting sqref="B43:B46">
    <cfRule type="expression" dxfId="4116" priority="1928">
      <formula>B43="CN"</formula>
    </cfRule>
  </conditionalFormatting>
  <conditionalFormatting sqref="O44:P46 K44:L46 G44:H46">
    <cfRule type="cellIs" dxfId="4115" priority="1927" operator="greaterThan">
      <formula>0</formula>
    </cfRule>
  </conditionalFormatting>
  <conditionalFormatting sqref="W43:X46">
    <cfRule type="cellIs" dxfId="4114" priority="1923" operator="greaterThan">
      <formula>0</formula>
    </cfRule>
  </conditionalFormatting>
  <conditionalFormatting sqref="B47:B50">
    <cfRule type="expression" dxfId="4113" priority="1916">
      <formula>B47="CN"</formula>
    </cfRule>
  </conditionalFormatting>
  <conditionalFormatting sqref="K48:L50 G47:H50">
    <cfRule type="cellIs" dxfId="4112" priority="1915" operator="greaterThan">
      <formula>0</formula>
    </cfRule>
  </conditionalFormatting>
  <conditionalFormatting sqref="W47:X50">
    <cfRule type="cellIs" dxfId="4111" priority="1911" operator="greaterThan">
      <formula>0</formula>
    </cfRule>
  </conditionalFormatting>
  <conditionalFormatting sqref="B51:B54">
    <cfRule type="expression" dxfId="4110" priority="1904">
      <formula>B51="CN"</formula>
    </cfRule>
  </conditionalFormatting>
  <conditionalFormatting sqref="K52:L53 G51:H54">
    <cfRule type="cellIs" dxfId="4109" priority="1903" operator="greaterThan">
      <formula>0</formula>
    </cfRule>
  </conditionalFormatting>
  <conditionalFormatting sqref="W52:X54">
    <cfRule type="cellIs" dxfId="4108" priority="1899" operator="greaterThan">
      <formula>0</formula>
    </cfRule>
  </conditionalFormatting>
  <conditionalFormatting sqref="B55:B58">
    <cfRule type="expression" dxfId="4107" priority="1892">
      <formula>B55="CN"</formula>
    </cfRule>
  </conditionalFormatting>
  <conditionalFormatting sqref="K57:L58 G56:H58">
    <cfRule type="cellIs" dxfId="4106" priority="1891" operator="greaterThan">
      <formula>0</formula>
    </cfRule>
  </conditionalFormatting>
  <conditionalFormatting sqref="W56:X58">
    <cfRule type="cellIs" dxfId="4105" priority="1887" operator="greaterThan">
      <formula>0</formula>
    </cfRule>
  </conditionalFormatting>
  <conditionalFormatting sqref="B59:B62">
    <cfRule type="expression" dxfId="4104" priority="1880">
      <formula>B59="CN"</formula>
    </cfRule>
  </conditionalFormatting>
  <conditionalFormatting sqref="K60:L62 G60:H62">
    <cfRule type="cellIs" dxfId="4103" priority="1879" operator="greaterThan">
      <formula>0</formula>
    </cfRule>
  </conditionalFormatting>
  <conditionalFormatting sqref="W60:X62">
    <cfRule type="cellIs" dxfId="4102" priority="1875" operator="greaterThan">
      <formula>0</formula>
    </cfRule>
  </conditionalFormatting>
  <conditionalFormatting sqref="B63:B66">
    <cfRule type="expression" dxfId="4101" priority="1868">
      <formula>B63="CN"</formula>
    </cfRule>
  </conditionalFormatting>
  <conditionalFormatting sqref="K64:L66 G64:H66">
    <cfRule type="cellIs" dxfId="4100" priority="1867" operator="greaterThan">
      <formula>0</formula>
    </cfRule>
  </conditionalFormatting>
  <conditionalFormatting sqref="W64:X66">
    <cfRule type="cellIs" dxfId="4099" priority="1863" operator="greaterThan">
      <formula>0</formula>
    </cfRule>
  </conditionalFormatting>
  <conditionalFormatting sqref="B67:B70">
    <cfRule type="expression" dxfId="4098" priority="1856">
      <formula>B67="CN"</formula>
    </cfRule>
  </conditionalFormatting>
  <conditionalFormatting sqref="K68:L70 G67:H70">
    <cfRule type="cellIs" dxfId="4097" priority="1855" operator="greaterThan">
      <formula>0</formula>
    </cfRule>
  </conditionalFormatting>
  <conditionalFormatting sqref="W68:X70">
    <cfRule type="cellIs" dxfId="4096" priority="1851" operator="greaterThan">
      <formula>0</formula>
    </cfRule>
  </conditionalFormatting>
  <conditionalFormatting sqref="B71:B74">
    <cfRule type="expression" dxfId="4095" priority="1844">
      <formula>B71="CN"</formula>
    </cfRule>
  </conditionalFormatting>
  <conditionalFormatting sqref="K72:L74 G71:H74">
    <cfRule type="cellIs" dxfId="4094" priority="1843" operator="greaterThan">
      <formula>0</formula>
    </cfRule>
  </conditionalFormatting>
  <conditionalFormatting sqref="W71:X74">
    <cfRule type="cellIs" dxfId="4093" priority="1839" operator="greaterThan">
      <formula>0</formula>
    </cfRule>
  </conditionalFormatting>
  <conditionalFormatting sqref="B75:B78">
    <cfRule type="expression" dxfId="4092" priority="1829">
      <formula>B75="CN"</formula>
    </cfRule>
  </conditionalFormatting>
  <conditionalFormatting sqref="O76:P78 K76:L78 G75:H75 G77:H78">
    <cfRule type="cellIs" dxfId="4091" priority="1828" operator="greaterThan">
      <formula>0</formula>
    </cfRule>
  </conditionalFormatting>
  <conditionalFormatting sqref="W75:X78">
    <cfRule type="cellIs" dxfId="4090" priority="1824" operator="greaterThan">
      <formula>0</formula>
    </cfRule>
  </conditionalFormatting>
  <conditionalFormatting sqref="B79:B82">
    <cfRule type="expression" dxfId="4089" priority="1814">
      <formula>B79="CN"</formula>
    </cfRule>
  </conditionalFormatting>
  <conditionalFormatting sqref="O80:P82 K93:L94 G80:H82">
    <cfRule type="cellIs" dxfId="4088" priority="1813" operator="greaterThan">
      <formula>0</formula>
    </cfRule>
  </conditionalFormatting>
  <conditionalFormatting sqref="W79:X82">
    <cfRule type="cellIs" dxfId="4087" priority="1809" operator="greaterThan">
      <formula>0</formula>
    </cfRule>
  </conditionalFormatting>
  <conditionalFormatting sqref="B83:B86">
    <cfRule type="expression" dxfId="4086" priority="1799">
      <formula>B83="CN"</formula>
    </cfRule>
  </conditionalFormatting>
  <conditionalFormatting sqref="O104:P104 K85:L86 G84:H86 O106:P106 P105">
    <cfRule type="cellIs" dxfId="4085" priority="1798" operator="greaterThan">
      <formula>0</formula>
    </cfRule>
  </conditionalFormatting>
  <conditionalFormatting sqref="W83:X86">
    <cfRule type="cellIs" dxfId="4084" priority="1794" operator="greaterThan">
      <formula>0</formula>
    </cfRule>
  </conditionalFormatting>
  <conditionalFormatting sqref="B87:B90">
    <cfRule type="expression" dxfId="4083" priority="1784">
      <formula>B87="CN"</formula>
    </cfRule>
  </conditionalFormatting>
  <conditionalFormatting sqref="K88:L90 G87:H90 O108:P110">
    <cfRule type="cellIs" dxfId="4082" priority="1783" operator="greaterThan">
      <formula>0</formula>
    </cfRule>
  </conditionalFormatting>
  <conditionalFormatting sqref="W87:X90">
    <cfRule type="cellIs" dxfId="4081" priority="1779" operator="greaterThan">
      <formula>0</formula>
    </cfRule>
  </conditionalFormatting>
  <conditionalFormatting sqref="B91:B94">
    <cfRule type="expression" dxfId="4080" priority="1772">
      <formula>B91="CN"</formula>
    </cfRule>
  </conditionalFormatting>
  <conditionalFormatting sqref="O141:P142">
    <cfRule type="cellIs" dxfId="4079" priority="1771" operator="greaterThan">
      <formula>0</formula>
    </cfRule>
  </conditionalFormatting>
  <conditionalFormatting sqref="W91:X94">
    <cfRule type="cellIs" dxfId="4078" priority="1767" operator="greaterThan">
      <formula>0</formula>
    </cfRule>
  </conditionalFormatting>
  <conditionalFormatting sqref="B95:B98">
    <cfRule type="expression" dxfId="4077" priority="1760">
      <formula>B95="CN"</formula>
    </cfRule>
  </conditionalFormatting>
  <conditionalFormatting sqref="K96:L98 O96:P98">
    <cfRule type="cellIs" dxfId="4076" priority="1759" operator="greaterThan">
      <formula>0</formula>
    </cfRule>
  </conditionalFormatting>
  <conditionalFormatting sqref="W95:X98">
    <cfRule type="cellIs" dxfId="4075" priority="1755" operator="greaterThan">
      <formula>0</formula>
    </cfRule>
  </conditionalFormatting>
  <conditionalFormatting sqref="B99:B102">
    <cfRule type="expression" dxfId="4074" priority="1751">
      <formula>B99="CN"</formula>
    </cfRule>
  </conditionalFormatting>
  <conditionalFormatting sqref="W99:X102">
    <cfRule type="cellIs" dxfId="4073" priority="1746" operator="greaterThan">
      <formula>0</formula>
    </cfRule>
  </conditionalFormatting>
  <conditionalFormatting sqref="B103:B106">
    <cfRule type="expression" dxfId="4072" priority="1739">
      <formula>B103="CN"</formula>
    </cfRule>
  </conditionalFormatting>
  <conditionalFormatting sqref="K104:L106 G105:H106">
    <cfRule type="cellIs" dxfId="4071" priority="1738" operator="greaterThan">
      <formula>0</formula>
    </cfRule>
  </conditionalFormatting>
  <conditionalFormatting sqref="B107:B110">
    <cfRule type="expression" dxfId="4070" priority="1727">
      <formula>B107="CN"</formula>
    </cfRule>
  </conditionalFormatting>
  <conditionalFormatting sqref="K108:L110 G109:H110">
    <cfRule type="cellIs" dxfId="4069" priority="1726" operator="greaterThan">
      <formula>0</formula>
    </cfRule>
  </conditionalFormatting>
  <conditionalFormatting sqref="B111:B114">
    <cfRule type="expression" dxfId="4068" priority="1718">
      <formula>B111="CN"</formula>
    </cfRule>
  </conditionalFormatting>
  <conditionalFormatting sqref="K112:L114">
    <cfRule type="cellIs" dxfId="4067" priority="1717" operator="greaterThan">
      <formula>0</formula>
    </cfRule>
  </conditionalFormatting>
  <conditionalFormatting sqref="B115:B118">
    <cfRule type="expression" dxfId="4066" priority="1706">
      <formula>B115="CN"</formula>
    </cfRule>
  </conditionalFormatting>
  <conditionalFormatting sqref="G116:H118">
    <cfRule type="cellIs" dxfId="4065" priority="1705" operator="greaterThan">
      <formula>0</formula>
    </cfRule>
  </conditionalFormatting>
  <conditionalFormatting sqref="B119:B122">
    <cfRule type="expression" dxfId="4064" priority="1694">
      <formula>B119="CN"</formula>
    </cfRule>
  </conditionalFormatting>
  <conditionalFormatting sqref="P148:P150 K120:L121">
    <cfRule type="cellIs" dxfId="4063" priority="1693" operator="greaterThan">
      <formula>0</formula>
    </cfRule>
  </conditionalFormatting>
  <conditionalFormatting sqref="B123:B126">
    <cfRule type="expression" dxfId="4062" priority="1676">
      <formula>B123="CN"</formula>
    </cfRule>
  </conditionalFormatting>
  <conditionalFormatting sqref="S124:T126 O152:P154 K126:L126 G120:H122 H119">
    <cfRule type="cellIs" dxfId="4061" priority="1675" operator="greaterThan">
      <formula>0</formula>
    </cfRule>
  </conditionalFormatting>
  <conditionalFormatting sqref="B127:B130">
    <cfRule type="expression" dxfId="4060" priority="1661">
      <formula>B127="CN"</formula>
    </cfRule>
  </conditionalFormatting>
  <conditionalFormatting sqref="S127:T130 L130">
    <cfRule type="cellIs" dxfId="4059" priority="1660" operator="greaterThan">
      <formula>0</formula>
    </cfRule>
  </conditionalFormatting>
  <conditionalFormatting sqref="B131:B446">
    <cfRule type="expression" dxfId="4058" priority="1643">
      <formula>B131="CN"</formula>
    </cfRule>
  </conditionalFormatting>
  <conditionalFormatting sqref="K132:L134 L136:L138 K149:L150 K158:L158 K172:L174 L176:L178 K252:L258 L140:L146 O250:P250 K260:L262 K264:L266 G251:H446 L153:L154 O252:P258 O260:P266 L180:L182 K168:L170 L156:L157 H132:H156 D133:G133 L184:L196">
    <cfRule type="cellIs" dxfId="156" priority="1642" operator="greaterThan">
      <formula>0</formula>
    </cfRule>
  </conditionalFormatting>
  <conditionalFormatting sqref="W140:X266">
    <cfRule type="cellIs" dxfId="4057" priority="1638" operator="greaterThan">
      <formula>0</formula>
    </cfRule>
  </conditionalFormatting>
  <conditionalFormatting sqref="O19:P19">
    <cfRule type="cellIs" dxfId="4056" priority="1634" operator="greaterThan">
      <formula>0</formula>
    </cfRule>
  </conditionalFormatting>
  <conditionalFormatting sqref="O23:P23">
    <cfRule type="cellIs" dxfId="4055" priority="1630" operator="greaterThan">
      <formula>0</formula>
    </cfRule>
  </conditionalFormatting>
  <conditionalFormatting sqref="O27:P27">
    <cfRule type="cellIs" dxfId="4054" priority="1626" operator="greaterThan">
      <formula>0</formula>
    </cfRule>
  </conditionalFormatting>
  <conditionalFormatting sqref="O31:P31">
    <cfRule type="cellIs" dxfId="4053" priority="1622" operator="greaterThan">
      <formula>0</formula>
    </cfRule>
  </conditionalFormatting>
  <conditionalFormatting sqref="O35:P35">
    <cfRule type="cellIs" dxfId="4052" priority="1618" operator="greaterThan">
      <formula>0</formula>
    </cfRule>
  </conditionalFormatting>
  <conditionalFormatting sqref="O39:P39">
    <cfRule type="cellIs" dxfId="4051" priority="1614" operator="greaterThan">
      <formula>0</formula>
    </cfRule>
  </conditionalFormatting>
  <conditionalFormatting sqref="O75:P75">
    <cfRule type="cellIs" dxfId="4050" priority="1610" operator="greaterThan">
      <formula>0</formula>
    </cfRule>
  </conditionalFormatting>
  <conditionalFormatting sqref="O79:P79">
    <cfRule type="cellIs" dxfId="4049" priority="1606" operator="greaterThan">
      <formula>0</formula>
    </cfRule>
  </conditionalFormatting>
  <conditionalFormatting sqref="O107:P107">
    <cfRule type="cellIs" dxfId="4048" priority="1602" operator="greaterThan">
      <formula>0</formula>
    </cfRule>
  </conditionalFormatting>
  <conditionalFormatting sqref="O12:P12 K11:L12">
    <cfRule type="cellIs" dxfId="4047" priority="1591" operator="greaterThan">
      <formula>0</formula>
    </cfRule>
  </conditionalFormatting>
  <conditionalFormatting sqref="O11:P11">
    <cfRule type="cellIs" dxfId="4046" priority="1587" operator="greaterThan">
      <formula>0</formula>
    </cfRule>
  </conditionalFormatting>
  <conditionalFormatting sqref="S27:T30">
    <cfRule type="cellIs" dxfId="4045" priority="1563" operator="greaterThan">
      <formula>0</formula>
    </cfRule>
  </conditionalFormatting>
  <conditionalFormatting sqref="S19:T22">
    <cfRule type="cellIs" dxfId="4044" priority="1571" operator="greaterThan">
      <formula>0</formula>
    </cfRule>
  </conditionalFormatting>
  <conditionalFormatting sqref="S13:T14">
    <cfRule type="cellIs" dxfId="4043" priority="1579" operator="greaterThan">
      <formula>0</formula>
    </cfRule>
  </conditionalFormatting>
  <conditionalFormatting sqref="S15:T18">
    <cfRule type="cellIs" dxfId="4042" priority="1575" operator="greaterThan">
      <formula>0</formula>
    </cfRule>
  </conditionalFormatting>
  <conditionalFormatting sqref="S23:T26">
    <cfRule type="cellIs" dxfId="4041" priority="1567" operator="greaterThan">
      <formula>0</formula>
    </cfRule>
  </conditionalFormatting>
  <conditionalFormatting sqref="S31:T34">
    <cfRule type="cellIs" dxfId="4040" priority="1559" operator="greaterThan">
      <formula>0</formula>
    </cfRule>
  </conditionalFormatting>
  <conditionalFormatting sqref="S35:T38">
    <cfRule type="cellIs" dxfId="4039" priority="1555" operator="greaterThan">
      <formula>0</formula>
    </cfRule>
  </conditionalFormatting>
  <conditionalFormatting sqref="S39:T42">
    <cfRule type="cellIs" dxfId="4038" priority="1551" operator="greaterThan">
      <formula>0</formula>
    </cfRule>
  </conditionalFormatting>
  <conditionalFormatting sqref="S43:T46">
    <cfRule type="cellIs" dxfId="4037" priority="1547" operator="greaterThan">
      <formula>0</formula>
    </cfRule>
  </conditionalFormatting>
  <conditionalFormatting sqref="S47:T50">
    <cfRule type="cellIs" dxfId="4036" priority="1543" operator="greaterThan">
      <formula>0</formula>
    </cfRule>
  </conditionalFormatting>
  <conditionalFormatting sqref="S52:T54">
    <cfRule type="cellIs" dxfId="4035" priority="1539" operator="greaterThan">
      <formula>0</formula>
    </cfRule>
  </conditionalFormatting>
  <conditionalFormatting sqref="S56:T58">
    <cfRule type="cellIs" dxfId="4034" priority="1535" operator="greaterThan">
      <formula>0</formula>
    </cfRule>
  </conditionalFormatting>
  <conditionalFormatting sqref="S59:T62">
    <cfRule type="cellIs" dxfId="4033" priority="1531" operator="greaterThan">
      <formula>0</formula>
    </cfRule>
  </conditionalFormatting>
  <conditionalFormatting sqref="S63:T66">
    <cfRule type="cellIs" dxfId="4032" priority="1527" operator="greaterThan">
      <formula>0</formula>
    </cfRule>
  </conditionalFormatting>
  <conditionalFormatting sqref="S67:T70">
    <cfRule type="cellIs" dxfId="4031" priority="1523" operator="greaterThan">
      <formula>0</formula>
    </cfRule>
  </conditionalFormatting>
  <conditionalFormatting sqref="S71:T74">
    <cfRule type="cellIs" dxfId="4030" priority="1519" operator="greaterThan">
      <formula>0</formula>
    </cfRule>
  </conditionalFormatting>
  <conditionalFormatting sqref="S76:T78">
    <cfRule type="cellIs" dxfId="4029" priority="1515" operator="greaterThan">
      <formula>0</formula>
    </cfRule>
  </conditionalFormatting>
  <conditionalFormatting sqref="S80:T82">
    <cfRule type="cellIs" dxfId="4028" priority="1511" operator="greaterThan">
      <formula>0</formula>
    </cfRule>
  </conditionalFormatting>
  <conditionalFormatting sqref="S84:T86">
    <cfRule type="cellIs" dxfId="4027" priority="1507" operator="greaterThan">
      <formula>0</formula>
    </cfRule>
  </conditionalFormatting>
  <conditionalFormatting sqref="S88:T90 T91">
    <cfRule type="cellIs" dxfId="4026" priority="1503" operator="greaterThan">
      <formula>0</formula>
    </cfRule>
  </conditionalFormatting>
  <conditionalFormatting sqref="S92:T94">
    <cfRule type="cellIs" dxfId="4025" priority="1499" operator="greaterThan">
      <formula>0</formula>
    </cfRule>
  </conditionalFormatting>
  <conditionalFormatting sqref="S96:T98">
    <cfRule type="cellIs" dxfId="4024" priority="1495" operator="greaterThan">
      <formula>0</formula>
    </cfRule>
  </conditionalFormatting>
  <conditionalFormatting sqref="S100:T102">
    <cfRule type="cellIs" dxfId="4023" priority="1491" operator="greaterThan">
      <formula>0</formula>
    </cfRule>
  </conditionalFormatting>
  <conditionalFormatting sqref="S104:T106">
    <cfRule type="cellIs" dxfId="4022" priority="1487" operator="greaterThan">
      <formula>0</formula>
    </cfRule>
  </conditionalFormatting>
  <conditionalFormatting sqref="S108:T110">
    <cfRule type="cellIs" dxfId="4021" priority="1483" operator="greaterThan">
      <formula>0</formula>
    </cfRule>
  </conditionalFormatting>
  <conditionalFormatting sqref="S112:T114 S116:T119">
    <cfRule type="cellIs" dxfId="4020" priority="1479" operator="greaterThan">
      <formula>0</formula>
    </cfRule>
  </conditionalFormatting>
  <conditionalFormatting sqref="S120:T122">
    <cfRule type="cellIs" dxfId="4019" priority="1471" operator="greaterThan">
      <formula>0</formula>
    </cfRule>
  </conditionalFormatting>
  <conditionalFormatting sqref="S11:T12">
    <cfRule type="cellIs" dxfId="4018" priority="1467" operator="greaterThan">
      <formula>0</formula>
    </cfRule>
  </conditionalFormatting>
  <conditionalFormatting sqref="S75:T75">
    <cfRule type="cellIs" dxfId="4017" priority="1463" operator="greaterThan">
      <formula>0</formula>
    </cfRule>
  </conditionalFormatting>
  <conditionalFormatting sqref="S79:T79">
    <cfRule type="cellIs" dxfId="4016" priority="1459" operator="greaterThan">
      <formula>0</formula>
    </cfRule>
  </conditionalFormatting>
  <conditionalFormatting sqref="S83:T83">
    <cfRule type="cellIs" dxfId="4015" priority="1455" operator="greaterThan">
      <formula>0</formula>
    </cfRule>
  </conditionalFormatting>
  <conditionalFormatting sqref="S87:T87">
    <cfRule type="cellIs" dxfId="4014" priority="1451" operator="greaterThan">
      <formula>0</formula>
    </cfRule>
  </conditionalFormatting>
  <conditionalFormatting sqref="S95:T95">
    <cfRule type="cellIs" dxfId="4013" priority="1447" operator="greaterThan">
      <formula>0</formula>
    </cfRule>
  </conditionalFormatting>
  <conditionalFormatting sqref="S99:T99">
    <cfRule type="cellIs" dxfId="4012" priority="1443" operator="greaterThan">
      <formula>0</formula>
    </cfRule>
  </conditionalFormatting>
  <conditionalFormatting sqref="S103:T103">
    <cfRule type="cellIs" dxfId="4011" priority="1439" operator="greaterThan">
      <formula>0</formula>
    </cfRule>
  </conditionalFormatting>
  <conditionalFormatting sqref="S107:T107">
    <cfRule type="cellIs" dxfId="4010" priority="1435" operator="greaterThan">
      <formula>0</formula>
    </cfRule>
  </conditionalFormatting>
  <conditionalFormatting sqref="S111:T111">
    <cfRule type="cellIs" dxfId="4009" priority="1431" operator="greaterThan">
      <formula>0</formula>
    </cfRule>
  </conditionalFormatting>
  <conditionalFormatting sqref="S115:T115">
    <cfRule type="cellIs" dxfId="4008" priority="1427" operator="greaterThan">
      <formula>0</formula>
    </cfRule>
  </conditionalFormatting>
  <conditionalFormatting sqref="S123:T123">
    <cfRule type="cellIs" dxfId="4007" priority="1423" operator="greaterThan">
      <formula>0</formula>
    </cfRule>
  </conditionalFormatting>
  <conditionalFormatting sqref="K15:L15">
    <cfRule type="cellIs" dxfId="4006" priority="1419" operator="greaterThan">
      <formula>0</formula>
    </cfRule>
  </conditionalFormatting>
  <conditionalFormatting sqref="K19:L19">
    <cfRule type="cellIs" dxfId="4005" priority="1415" operator="greaterThan">
      <formula>0</formula>
    </cfRule>
  </conditionalFormatting>
  <conditionalFormatting sqref="K23:L23">
    <cfRule type="cellIs" dxfId="4004" priority="1411" operator="greaterThan">
      <formula>0</formula>
    </cfRule>
  </conditionalFormatting>
  <conditionalFormatting sqref="K35:L35">
    <cfRule type="cellIs" dxfId="4003" priority="1407" operator="greaterThan">
      <formula>0</formula>
    </cfRule>
  </conditionalFormatting>
  <conditionalFormatting sqref="K39:L39">
    <cfRule type="cellIs" dxfId="4002" priority="1403" operator="greaterThan">
      <formula>0</formula>
    </cfRule>
  </conditionalFormatting>
  <conditionalFormatting sqref="K43:L43">
    <cfRule type="cellIs" dxfId="4001" priority="1399" operator="greaterThan">
      <formula>0</formula>
    </cfRule>
  </conditionalFormatting>
  <conditionalFormatting sqref="K47:L47">
    <cfRule type="cellIs" dxfId="4000" priority="1395" operator="greaterThan">
      <formula>0</formula>
    </cfRule>
  </conditionalFormatting>
  <conditionalFormatting sqref="G35:H35">
    <cfRule type="cellIs" dxfId="3999" priority="1359" operator="greaterThan">
      <formula>0</formula>
    </cfRule>
  </conditionalFormatting>
  <conditionalFormatting sqref="L119">
    <cfRule type="cellIs" dxfId="3998" priority="1383" operator="greaterThan">
      <formula>0</formula>
    </cfRule>
  </conditionalFormatting>
  <conditionalFormatting sqref="G19:H19">
    <cfRule type="cellIs" dxfId="3997" priority="1391" operator="greaterThan">
      <formula>0</formula>
    </cfRule>
  </conditionalFormatting>
  <conditionalFormatting sqref="G23:H23">
    <cfRule type="cellIs" dxfId="3996" priority="1387" operator="greaterThan">
      <formula>0</formula>
    </cfRule>
  </conditionalFormatting>
  <conditionalFormatting sqref="K51:L51">
    <cfRule type="cellIs" dxfId="3995" priority="1379" operator="greaterThan">
      <formula>0</formula>
    </cfRule>
  </conditionalFormatting>
  <conditionalFormatting sqref="G32:H32">
    <cfRule type="cellIs" dxfId="3994" priority="1375" operator="greaterThan">
      <formula>0</formula>
    </cfRule>
  </conditionalFormatting>
  <conditionalFormatting sqref="G43:H43">
    <cfRule type="cellIs" dxfId="3993" priority="1371" operator="greaterThan">
      <formula>0</formula>
    </cfRule>
  </conditionalFormatting>
  <conditionalFormatting sqref="G31:H31">
    <cfRule type="cellIs" dxfId="3992" priority="1367" operator="greaterThan">
      <formula>0</formula>
    </cfRule>
  </conditionalFormatting>
  <conditionalFormatting sqref="G37:H37">
    <cfRule type="cellIs" dxfId="3991" priority="1363" operator="greaterThan">
      <formula>0</formula>
    </cfRule>
  </conditionalFormatting>
  <conditionalFormatting sqref="G36:H36">
    <cfRule type="cellIs" dxfId="3990" priority="1355" operator="greaterThan">
      <formula>0</formula>
    </cfRule>
  </conditionalFormatting>
  <conditionalFormatting sqref="W51:X51">
    <cfRule type="cellIs" dxfId="3989" priority="1351" operator="greaterThan">
      <formula>0</formula>
    </cfRule>
  </conditionalFormatting>
  <conditionalFormatting sqref="W55:X55">
    <cfRule type="cellIs" dxfId="3988" priority="1347" operator="greaterThan">
      <formula>0</formula>
    </cfRule>
  </conditionalFormatting>
  <conditionalFormatting sqref="W59:X59">
    <cfRule type="cellIs" dxfId="3987" priority="1343" operator="greaterThan">
      <formula>0</formula>
    </cfRule>
  </conditionalFormatting>
  <conditionalFormatting sqref="W63:X63">
    <cfRule type="cellIs" dxfId="3986" priority="1339" operator="greaterThan">
      <formula>0</formula>
    </cfRule>
  </conditionalFormatting>
  <conditionalFormatting sqref="W67:X67">
    <cfRule type="cellIs" dxfId="3985" priority="1338" operator="greaterThan">
      <formula>0</formula>
    </cfRule>
  </conditionalFormatting>
  <conditionalFormatting sqref="S51:T51">
    <cfRule type="cellIs" dxfId="3984" priority="1334" operator="greaterThan">
      <formula>0</formula>
    </cfRule>
  </conditionalFormatting>
  <conditionalFormatting sqref="S55:T55">
    <cfRule type="cellIs" dxfId="3983" priority="1330" operator="greaterThan">
      <formula>0</formula>
    </cfRule>
  </conditionalFormatting>
  <conditionalFormatting sqref="O43:P43">
    <cfRule type="cellIs" dxfId="3982" priority="1326" operator="greaterThan">
      <formula>0</formula>
    </cfRule>
  </conditionalFormatting>
  <conditionalFormatting sqref="G128:H130">
    <cfRule type="cellIs" dxfId="3981" priority="1319" operator="greaterThan">
      <formula>0</formula>
    </cfRule>
  </conditionalFormatting>
  <conditionalFormatting sqref="G55:H55">
    <cfRule type="cellIs" dxfId="3980" priority="1311" operator="greaterThan">
      <formula>0</formula>
    </cfRule>
  </conditionalFormatting>
  <conditionalFormatting sqref="G59:H59">
    <cfRule type="cellIs" dxfId="3979" priority="1307" operator="greaterThan">
      <formula>0</formula>
    </cfRule>
  </conditionalFormatting>
  <conditionalFormatting sqref="G63:H63">
    <cfRule type="cellIs" dxfId="3978" priority="1303" operator="greaterThan">
      <formula>0</formula>
    </cfRule>
  </conditionalFormatting>
  <conditionalFormatting sqref="G76:H76">
    <cfRule type="cellIs" dxfId="3977" priority="1299" operator="greaterThan">
      <formula>0</formula>
    </cfRule>
  </conditionalFormatting>
  <conditionalFormatting sqref="G79:H79">
    <cfRule type="cellIs" dxfId="3976" priority="1295" operator="greaterThan">
      <formula>0</formula>
    </cfRule>
  </conditionalFormatting>
  <conditionalFormatting sqref="G83:H83">
    <cfRule type="cellIs" dxfId="3975" priority="1291" operator="greaterThan">
      <formula>0</formula>
    </cfRule>
  </conditionalFormatting>
  <conditionalFormatting sqref="K84:L84">
    <cfRule type="cellIs" dxfId="3974" priority="1287" operator="greaterThan">
      <formula>0</formula>
    </cfRule>
  </conditionalFormatting>
  <conditionalFormatting sqref="L123">
    <cfRule type="cellIs" dxfId="3973" priority="1283" operator="greaterThan">
      <formula>0</formula>
    </cfRule>
  </conditionalFormatting>
  <conditionalFormatting sqref="L131">
    <cfRule type="cellIs" dxfId="3972" priority="1275" operator="greaterThan">
      <formula>0</formula>
    </cfRule>
  </conditionalFormatting>
  <conditionalFormatting sqref="L135">
    <cfRule type="cellIs" dxfId="3971" priority="1271" operator="greaterThan">
      <formula>0</formula>
    </cfRule>
  </conditionalFormatting>
  <conditionalFormatting sqref="P143:P146">
    <cfRule type="cellIs" dxfId="3970" priority="1263" operator="greaterThan">
      <formula>0</formula>
    </cfRule>
  </conditionalFormatting>
  <conditionalFormatting sqref="P147">
    <cfRule type="cellIs" dxfId="3969" priority="1255" operator="greaterThan">
      <formula>0</formula>
    </cfRule>
  </conditionalFormatting>
  <conditionalFormatting sqref="P151">
    <cfRule type="cellIs" dxfId="3968" priority="1251" operator="greaterThan">
      <formula>0</formula>
    </cfRule>
  </conditionalFormatting>
  <conditionalFormatting sqref="K55:L55">
    <cfRule type="cellIs" dxfId="3967" priority="1247" operator="greaterThan">
      <formula>0</formula>
    </cfRule>
  </conditionalFormatting>
  <conditionalFormatting sqref="K54:L54">
    <cfRule type="cellIs" dxfId="3966" priority="1243" operator="greaterThan">
      <formula>0</formula>
    </cfRule>
  </conditionalFormatting>
  <conditionalFormatting sqref="K91:L91">
    <cfRule type="cellIs" dxfId="3965" priority="1207" operator="greaterThan">
      <formula>0</formula>
    </cfRule>
  </conditionalFormatting>
  <conditionalFormatting sqref="K59:L59">
    <cfRule type="cellIs" dxfId="3964" priority="1239" operator="greaterThan">
      <formula>0</formula>
    </cfRule>
  </conditionalFormatting>
  <conditionalFormatting sqref="K63:L63">
    <cfRule type="cellIs" dxfId="3963" priority="1235" operator="greaterThan">
      <formula>0</formula>
    </cfRule>
  </conditionalFormatting>
  <conditionalFormatting sqref="K67:L67">
    <cfRule type="cellIs" dxfId="3962" priority="1231" operator="greaterThan">
      <formula>0</formula>
    </cfRule>
  </conditionalFormatting>
  <conditionalFormatting sqref="K71:L71">
    <cfRule type="cellIs" dxfId="3961" priority="1227" operator="greaterThan">
      <formula>0</formula>
    </cfRule>
  </conditionalFormatting>
  <conditionalFormatting sqref="K75:L75">
    <cfRule type="cellIs" dxfId="3960" priority="1223" operator="greaterThan">
      <formula>0</formula>
    </cfRule>
  </conditionalFormatting>
  <conditionalFormatting sqref="K79:L80">
    <cfRule type="cellIs" dxfId="3959" priority="1219" operator="greaterThan">
      <formula>0</formula>
    </cfRule>
  </conditionalFormatting>
  <conditionalFormatting sqref="K83:L83">
    <cfRule type="cellIs" dxfId="3958" priority="1215" operator="greaterThan">
      <formula>0</formula>
    </cfRule>
  </conditionalFormatting>
  <conditionalFormatting sqref="K87:L87">
    <cfRule type="cellIs" dxfId="3957" priority="1211" operator="greaterThan">
      <formula>0</formula>
    </cfRule>
  </conditionalFormatting>
  <conditionalFormatting sqref="K95:L95">
    <cfRule type="cellIs" dxfId="3956" priority="1203" operator="greaterThan">
      <formula>0</formula>
    </cfRule>
  </conditionalFormatting>
  <conditionalFormatting sqref="K103:L103">
    <cfRule type="cellIs" dxfId="3955" priority="1195" operator="greaterThan">
      <formula>0</formula>
    </cfRule>
  </conditionalFormatting>
  <conditionalFormatting sqref="K107:L107">
    <cfRule type="cellIs" dxfId="3954" priority="1191" operator="greaterThan">
      <formula>0</formula>
    </cfRule>
  </conditionalFormatting>
  <conditionalFormatting sqref="L111">
    <cfRule type="cellIs" dxfId="3953" priority="1187" operator="greaterThan">
      <formula>0</formula>
    </cfRule>
  </conditionalFormatting>
  <conditionalFormatting sqref="L115">
    <cfRule type="cellIs" dxfId="3952" priority="1183" operator="greaterThan">
      <formula>0</formula>
    </cfRule>
  </conditionalFormatting>
  <conditionalFormatting sqref="O83:P83">
    <cfRule type="cellIs" dxfId="3951" priority="1179" operator="greaterThan">
      <formula>0</formula>
    </cfRule>
  </conditionalFormatting>
  <conditionalFormatting sqref="H115">
    <cfRule type="cellIs" dxfId="3950" priority="1168" operator="greaterThan">
      <formula>0</formula>
    </cfRule>
  </conditionalFormatting>
  <conditionalFormatting sqref="P91">
    <cfRule type="cellIs" dxfId="3949" priority="1158" operator="greaterThan">
      <formula>0</formula>
    </cfRule>
  </conditionalFormatting>
  <conditionalFormatting sqref="O84:P85">
    <cfRule type="cellIs" dxfId="3948" priority="1157" operator="greaterThan">
      <formula>0</formula>
    </cfRule>
  </conditionalFormatting>
  <conditionalFormatting sqref="O87:P87">
    <cfRule type="cellIs" dxfId="3947" priority="1156" operator="greaterThan">
      <formula>0</formula>
    </cfRule>
  </conditionalFormatting>
  <conditionalFormatting sqref="L139">
    <cfRule type="cellIs" dxfId="3946" priority="1152" operator="greaterThan">
      <formula>0</formula>
    </cfRule>
  </conditionalFormatting>
  <conditionalFormatting sqref="L147">
    <cfRule type="cellIs" dxfId="3945" priority="1148" operator="greaterThan">
      <formula>0</formula>
    </cfRule>
  </conditionalFormatting>
  <conditionalFormatting sqref="L155">
    <cfRule type="cellIs" dxfId="3943" priority="1140" operator="greaterThan">
      <formula>0</formula>
    </cfRule>
  </conditionalFormatting>
  <conditionalFormatting sqref="L167 K171:L171 L175 L159:L163 I162:K162">
    <cfRule type="cellIs" dxfId="3942" priority="1136" operator="greaterThan">
      <formula>0</formula>
    </cfRule>
  </conditionalFormatting>
  <conditionalFormatting sqref="L179">
    <cfRule type="cellIs" dxfId="3941" priority="1132" operator="greaterThan">
      <formula>0</formula>
    </cfRule>
  </conditionalFormatting>
  <conditionalFormatting sqref="L183">
    <cfRule type="cellIs" dxfId="3940" priority="1128" operator="greaterThan">
      <formula>0</formula>
    </cfRule>
  </conditionalFormatting>
  <conditionalFormatting sqref="L198 O227:P229">
    <cfRule type="cellIs" dxfId="3939" priority="1120" operator="greaterThan">
      <formula>0</formula>
    </cfRule>
  </conditionalFormatting>
  <conditionalFormatting sqref="K202:L202 O230:P231">
    <cfRule type="cellIs" dxfId="3938" priority="1113" operator="greaterThan">
      <formula>0</formula>
    </cfRule>
  </conditionalFormatting>
  <conditionalFormatting sqref="W103:X104">
    <cfRule type="cellIs" dxfId="3937" priority="1101" operator="greaterThan">
      <formula>0</formula>
    </cfRule>
  </conditionalFormatting>
  <conditionalFormatting sqref="W109:X109">
    <cfRule type="cellIs" dxfId="3936" priority="1097" operator="greaterThan">
      <formula>0</formula>
    </cfRule>
  </conditionalFormatting>
  <conditionalFormatting sqref="W114:X116">
    <cfRule type="cellIs" dxfId="3935" priority="1093" operator="greaterThan">
      <formula>0</formula>
    </cfRule>
  </conditionalFormatting>
  <conditionalFormatting sqref="W118:X118 W121:X121">
    <cfRule type="cellIs" dxfId="3934" priority="1089" operator="greaterThan">
      <formula>0</formula>
    </cfRule>
  </conditionalFormatting>
  <conditionalFormatting sqref="W105:X105">
    <cfRule type="cellIs" dxfId="3933" priority="1081" operator="greaterThan">
      <formula>0</formula>
    </cfRule>
  </conditionalFormatting>
  <conditionalFormatting sqref="W106:X106">
    <cfRule type="cellIs" dxfId="3932" priority="1077" operator="greaterThan">
      <formula>0</formula>
    </cfRule>
  </conditionalFormatting>
  <conditionalFormatting sqref="W117:X117">
    <cfRule type="cellIs" dxfId="3931" priority="1065" operator="greaterThan">
      <formula>0</formula>
    </cfRule>
  </conditionalFormatting>
  <conditionalFormatting sqref="W107:X107">
    <cfRule type="cellIs" dxfId="3930" priority="1060" operator="greaterThan">
      <formula>0</formula>
    </cfRule>
  </conditionalFormatting>
  <conditionalFormatting sqref="W111:X111">
    <cfRule type="cellIs" dxfId="3929" priority="1059" operator="greaterThan">
      <formula>0</formula>
    </cfRule>
  </conditionalFormatting>
  <conditionalFormatting sqref="W108:X108">
    <cfRule type="cellIs" dxfId="3928" priority="1049" operator="greaterThan">
      <formula>0</formula>
    </cfRule>
  </conditionalFormatting>
  <conditionalFormatting sqref="W112:X112">
    <cfRule type="cellIs" dxfId="3927" priority="1045" operator="greaterThan">
      <formula>0</formula>
    </cfRule>
  </conditionalFormatting>
  <conditionalFormatting sqref="W120:X120">
    <cfRule type="cellIs" dxfId="3926" priority="1041" operator="greaterThan">
      <formula>0</formula>
    </cfRule>
  </conditionalFormatting>
  <conditionalFormatting sqref="W124:X124">
    <cfRule type="cellIs" dxfId="3925" priority="1037" operator="greaterThan">
      <formula>0</formula>
    </cfRule>
  </conditionalFormatting>
  <conditionalFormatting sqref="W128:X128">
    <cfRule type="cellIs" dxfId="3924" priority="1033" operator="greaterThan">
      <formula>0</formula>
    </cfRule>
  </conditionalFormatting>
  <conditionalFormatting sqref="W132:X132">
    <cfRule type="cellIs" dxfId="3923" priority="1029" operator="greaterThan">
      <formula>0</formula>
    </cfRule>
  </conditionalFormatting>
  <conditionalFormatting sqref="W136:X136">
    <cfRule type="cellIs" dxfId="3922" priority="1025" operator="greaterThan">
      <formula>0</formula>
    </cfRule>
  </conditionalFormatting>
  <conditionalFormatting sqref="O191:P191">
    <cfRule type="cellIs" dxfId="3921" priority="1021" operator="greaterThan">
      <formula>0</formula>
    </cfRule>
  </conditionalFormatting>
  <conditionalFormatting sqref="O192:P194">
    <cfRule type="cellIs" dxfId="3920" priority="1017" operator="greaterThan">
      <formula>0</formula>
    </cfRule>
  </conditionalFormatting>
  <conditionalFormatting sqref="K118:L118">
    <cfRule type="cellIs" dxfId="3919" priority="1013" operator="greaterThan">
      <formula>0</formula>
    </cfRule>
  </conditionalFormatting>
  <conditionalFormatting sqref="K201:L202">
    <cfRule type="cellIs" dxfId="3918" priority="977" operator="greaterThan">
      <formula>0</formula>
    </cfRule>
  </conditionalFormatting>
  <conditionalFormatting sqref="O164:P164">
    <cfRule type="cellIs" dxfId="3917" priority="973" operator="greaterThan">
      <formula>0</formula>
    </cfRule>
  </conditionalFormatting>
  <conditionalFormatting sqref="K124:L125">
    <cfRule type="cellIs" dxfId="3916" priority="985" operator="greaterThan">
      <formula>0</formula>
    </cfRule>
  </conditionalFormatting>
  <conditionalFormatting sqref="L197">
    <cfRule type="cellIs" dxfId="3915" priority="981" operator="greaterThan">
      <formula>0</formula>
    </cfRule>
  </conditionalFormatting>
  <conditionalFormatting sqref="S132:T148">
    <cfRule type="cellIs" dxfId="3914" priority="969" operator="greaterThan">
      <formula>0</formula>
    </cfRule>
  </conditionalFormatting>
  <conditionalFormatting sqref="K220:L222 K224:L226">
    <cfRule type="cellIs" dxfId="3913" priority="965" operator="greaterThan">
      <formula>0</formula>
    </cfRule>
  </conditionalFormatting>
  <conditionalFormatting sqref="G125:H125">
    <cfRule type="cellIs" dxfId="3912" priority="945" operator="greaterThan">
      <formula>0</formula>
    </cfRule>
  </conditionalFormatting>
  <conditionalFormatting sqref="H108">
    <cfRule type="cellIs" dxfId="3911" priority="957" operator="greaterThan">
      <formula>0</formula>
    </cfRule>
  </conditionalFormatting>
  <conditionalFormatting sqref="G124:H124">
    <cfRule type="cellIs" dxfId="3910" priority="949" operator="greaterThan">
      <formula>0</formula>
    </cfRule>
  </conditionalFormatting>
  <conditionalFormatting sqref="W119:X119">
    <cfRule type="cellIs" dxfId="3909" priority="941" operator="greaterThan">
      <formula>0</formula>
    </cfRule>
  </conditionalFormatting>
  <conditionalFormatting sqref="W123:X123">
    <cfRule type="cellIs" dxfId="3908" priority="937" operator="greaterThan">
      <formula>0</formula>
    </cfRule>
  </conditionalFormatting>
  <conditionalFormatting sqref="W127:X127">
    <cfRule type="cellIs" dxfId="3907" priority="933" operator="greaterThan">
      <formula>0</formula>
    </cfRule>
  </conditionalFormatting>
  <conditionalFormatting sqref="W131:X131">
    <cfRule type="cellIs" dxfId="3906" priority="929" operator="greaterThan">
      <formula>0</formula>
    </cfRule>
  </conditionalFormatting>
  <conditionalFormatting sqref="W135:X135">
    <cfRule type="cellIs" dxfId="3905" priority="925" operator="greaterThan">
      <formula>0</formula>
    </cfRule>
  </conditionalFormatting>
  <conditionalFormatting sqref="G96:H96">
    <cfRule type="cellIs" dxfId="3904" priority="921" operator="greaterThan">
      <formula>0</formula>
    </cfRule>
  </conditionalFormatting>
  <conditionalFormatting sqref="G97:H97">
    <cfRule type="cellIs" dxfId="3903" priority="917" operator="greaterThan">
      <formula>0</formula>
    </cfRule>
  </conditionalFormatting>
  <conditionalFormatting sqref="G93:H93">
    <cfRule type="cellIs" dxfId="3902" priority="913" operator="greaterThan">
      <formula>0</formula>
    </cfRule>
  </conditionalFormatting>
  <conditionalFormatting sqref="P115">
    <cfRule type="cellIs" dxfId="3901" priority="911" operator="greaterThan">
      <formula>0</formula>
    </cfRule>
  </conditionalFormatting>
  <conditionalFormatting sqref="P119">
    <cfRule type="cellIs" dxfId="3900" priority="910" operator="greaterThan">
      <formula>0</formula>
    </cfRule>
  </conditionalFormatting>
  <conditionalFormatting sqref="P123">
    <cfRule type="cellIs" dxfId="3899" priority="909" operator="greaterThan">
      <formula>0</formula>
    </cfRule>
  </conditionalFormatting>
  <conditionalFormatting sqref="P127">
    <cfRule type="cellIs" dxfId="3898" priority="908" operator="greaterThan">
      <formula>0</formula>
    </cfRule>
  </conditionalFormatting>
  <conditionalFormatting sqref="P131">
    <cfRule type="cellIs" dxfId="3897" priority="907" operator="greaterThan">
      <formula>0</formula>
    </cfRule>
  </conditionalFormatting>
  <conditionalFormatting sqref="P135">
    <cfRule type="cellIs" dxfId="3896" priority="906" operator="greaterThan">
      <formula>0</formula>
    </cfRule>
  </conditionalFormatting>
  <conditionalFormatting sqref="L223">
    <cfRule type="cellIs" dxfId="3895" priority="902" operator="greaterThan">
      <formula>0</formula>
    </cfRule>
  </conditionalFormatting>
  <conditionalFormatting sqref="K227:L227">
    <cfRule type="cellIs" dxfId="3894" priority="898" operator="greaterThan">
      <formula>0</formula>
    </cfRule>
  </conditionalFormatting>
  <conditionalFormatting sqref="L231">
    <cfRule type="cellIs" dxfId="3893" priority="894" operator="greaterThan">
      <formula>0</formula>
    </cfRule>
  </conditionalFormatting>
  <conditionalFormatting sqref="O237:P237">
    <cfRule type="cellIs" dxfId="3892" priority="890" operator="greaterThan">
      <formula>0</formula>
    </cfRule>
  </conditionalFormatting>
  <conditionalFormatting sqref="O238:P238 O244:P246 O240:P242">
    <cfRule type="cellIs" dxfId="3891" priority="886" operator="greaterThan">
      <formula>0</formula>
    </cfRule>
  </conditionalFormatting>
  <conditionalFormatting sqref="K92:L92">
    <cfRule type="cellIs" dxfId="3890" priority="882" operator="greaterThan">
      <formula>0</formula>
    </cfRule>
  </conditionalFormatting>
  <conditionalFormatting sqref="K128:L128">
    <cfRule type="cellIs" dxfId="3889" priority="878" operator="greaterThan">
      <formula>0</formula>
    </cfRule>
  </conditionalFormatting>
  <conditionalFormatting sqref="P102">
    <cfRule type="cellIs" dxfId="3888" priority="866" operator="greaterThan">
      <formula>0</formula>
    </cfRule>
  </conditionalFormatting>
  <conditionalFormatting sqref="O96:P96">
    <cfRule type="cellIs" dxfId="3887" priority="861" operator="greaterThan">
      <formula>0</formula>
    </cfRule>
  </conditionalFormatting>
  <conditionalFormatting sqref="O95:P95">
    <cfRule type="cellIs" dxfId="3886" priority="860" operator="greaterThan">
      <formula>0</formula>
    </cfRule>
  </conditionalFormatting>
  <conditionalFormatting sqref="O92:P92">
    <cfRule type="cellIs" dxfId="3885" priority="859" operator="greaterThan">
      <formula>0</formula>
    </cfRule>
  </conditionalFormatting>
  <conditionalFormatting sqref="O99:P99">
    <cfRule type="cellIs" dxfId="3884" priority="850" operator="greaterThan">
      <formula>0</formula>
    </cfRule>
  </conditionalFormatting>
  <conditionalFormatting sqref="P103">
    <cfRule type="cellIs" dxfId="3883" priority="842" operator="greaterThan">
      <formula>0</formula>
    </cfRule>
  </conditionalFormatting>
  <conditionalFormatting sqref="O112:P112">
    <cfRule type="cellIs" dxfId="3882" priority="834" operator="greaterThan">
      <formula>0</formula>
    </cfRule>
  </conditionalFormatting>
  <conditionalFormatting sqref="O111:P111">
    <cfRule type="cellIs" dxfId="3881" priority="830" operator="greaterThan">
      <formula>0</formula>
    </cfRule>
  </conditionalFormatting>
  <conditionalFormatting sqref="P140">
    <cfRule type="cellIs" dxfId="3880" priority="825" operator="greaterThan">
      <formula>0</formula>
    </cfRule>
  </conditionalFormatting>
  <conditionalFormatting sqref="O139:P139">
    <cfRule type="cellIs" dxfId="3879" priority="824" operator="greaterThan">
      <formula>0</formula>
    </cfRule>
  </conditionalFormatting>
  <conditionalFormatting sqref="H104">
    <cfRule type="cellIs" dxfId="3878" priority="820" operator="greaterThan">
      <formula>0</formula>
    </cfRule>
  </conditionalFormatting>
  <conditionalFormatting sqref="H112">
    <cfRule type="cellIs" dxfId="3877" priority="816" operator="greaterThan">
      <formula>0</formula>
    </cfRule>
  </conditionalFormatting>
  <conditionalFormatting sqref="G114:H114">
    <cfRule type="cellIs" dxfId="3876" priority="808" operator="greaterThan">
      <formula>0</formula>
    </cfRule>
  </conditionalFormatting>
  <conditionalFormatting sqref="G113:H113">
    <cfRule type="cellIs" dxfId="3875" priority="804" operator="greaterThan">
      <formula>0</formula>
    </cfRule>
  </conditionalFormatting>
  <conditionalFormatting sqref="L275">
    <cfRule type="cellIs" dxfId="3873" priority="755" operator="greaterThan">
      <formula>0</formula>
    </cfRule>
  </conditionalFormatting>
  <conditionalFormatting sqref="H107">
    <cfRule type="cellIs" dxfId="3872" priority="788" operator="greaterThan">
      <formula>0</formula>
    </cfRule>
  </conditionalFormatting>
  <conditionalFormatting sqref="H111">
    <cfRule type="cellIs" dxfId="3871" priority="784" operator="greaterThan">
      <formula>0</formula>
    </cfRule>
  </conditionalFormatting>
  <conditionalFormatting sqref="L243">
    <cfRule type="cellIs" dxfId="3870" priority="776" operator="greaterThan">
      <formula>0</formula>
    </cfRule>
  </conditionalFormatting>
  <conditionalFormatting sqref="L247">
    <cfRule type="cellIs" dxfId="3869" priority="772" operator="greaterThan">
      <formula>0</formula>
    </cfRule>
  </conditionalFormatting>
  <conditionalFormatting sqref="L251">
    <cfRule type="cellIs" dxfId="3868" priority="768" operator="greaterThan">
      <formula>0</formula>
    </cfRule>
  </conditionalFormatting>
  <conditionalFormatting sqref="L279">
    <cfRule type="cellIs" dxfId="3865" priority="754" operator="greaterThan">
      <formula>0</formula>
    </cfRule>
  </conditionalFormatting>
  <conditionalFormatting sqref="K303:L303">
    <cfRule type="cellIs" dxfId="3864" priority="753" operator="greaterThan">
      <formula>0</formula>
    </cfRule>
  </conditionalFormatting>
  <conditionalFormatting sqref="L307">
    <cfRule type="cellIs" dxfId="3863" priority="751" operator="greaterThan">
      <formula>0</formula>
    </cfRule>
  </conditionalFormatting>
  <conditionalFormatting sqref="L315">
    <cfRule type="cellIs" dxfId="3862" priority="750" operator="greaterThan">
      <formula>0</formula>
    </cfRule>
  </conditionalFormatting>
  <conditionalFormatting sqref="L323">
    <cfRule type="cellIs" dxfId="3861" priority="749" operator="greaterThan">
      <formula>0</formula>
    </cfRule>
  </conditionalFormatting>
  <conditionalFormatting sqref="L319">
    <cfRule type="cellIs" dxfId="3860" priority="748" operator="greaterThan">
      <formula>0</formula>
    </cfRule>
  </conditionalFormatting>
  <conditionalFormatting sqref="L327">
    <cfRule type="cellIs" dxfId="3859" priority="747" operator="greaterThan">
      <formula>0</formula>
    </cfRule>
  </conditionalFormatting>
  <conditionalFormatting sqref="L351">
    <cfRule type="cellIs" dxfId="3858" priority="746" operator="greaterThan">
      <formula>0</formula>
    </cfRule>
  </conditionalFormatting>
  <conditionalFormatting sqref="L355">
    <cfRule type="cellIs" dxfId="3857" priority="745" operator="greaterThan">
      <formula>0</formula>
    </cfRule>
  </conditionalFormatting>
  <conditionalFormatting sqref="L359">
    <cfRule type="cellIs" dxfId="3856" priority="744" operator="greaterThan">
      <formula>0</formula>
    </cfRule>
  </conditionalFormatting>
  <conditionalFormatting sqref="K367:L367">
    <cfRule type="cellIs" dxfId="3855" priority="742" operator="greaterThan">
      <formula>0</formula>
    </cfRule>
  </conditionalFormatting>
  <conditionalFormatting sqref="L331 O331:P331">
    <cfRule type="cellIs" dxfId="3854" priority="741" operator="greaterThan">
      <formula>0</formula>
    </cfRule>
  </conditionalFormatting>
  <conditionalFormatting sqref="O335:P335 L335">
    <cfRule type="cellIs" dxfId="3853" priority="740" operator="greaterThan">
      <formula>0</formula>
    </cfRule>
  </conditionalFormatting>
  <conditionalFormatting sqref="L339 O339:P339">
    <cfRule type="cellIs" dxfId="3852" priority="739" operator="greaterThan">
      <formula>0</formula>
    </cfRule>
  </conditionalFormatting>
  <conditionalFormatting sqref="P343 L343">
    <cfRule type="cellIs" dxfId="3851" priority="738" operator="greaterThan">
      <formula>0</formula>
    </cfRule>
  </conditionalFormatting>
  <conditionalFormatting sqref="O236:P236">
    <cfRule type="cellIs" dxfId="3850" priority="734" operator="greaterThan">
      <formula>0</formula>
    </cfRule>
  </conditionalFormatting>
  <conditionalFormatting sqref="H127">
    <cfRule type="cellIs" dxfId="3848" priority="722" operator="greaterThan">
      <formula>0</formula>
    </cfRule>
  </conditionalFormatting>
  <conditionalFormatting sqref="K199:L199">
    <cfRule type="cellIs" dxfId="3846" priority="686" operator="greaterThan">
      <formula>0</formula>
    </cfRule>
  </conditionalFormatting>
  <conditionalFormatting sqref="L127">
    <cfRule type="cellIs" dxfId="3844" priority="698" operator="greaterThan">
      <formula>0</formula>
    </cfRule>
  </conditionalFormatting>
  <conditionalFormatting sqref="K129:L129">
    <cfRule type="cellIs" dxfId="3843" priority="694" operator="greaterThan">
      <formula>0</formula>
    </cfRule>
  </conditionalFormatting>
  <conditionalFormatting sqref="K200:L200">
    <cfRule type="cellIs" dxfId="3842" priority="682" operator="greaterThan">
      <formula>0</formula>
    </cfRule>
  </conditionalFormatting>
  <conditionalFormatting sqref="L235">
    <cfRule type="cellIs" dxfId="3840" priority="670" operator="greaterThan">
      <formula>0</formula>
    </cfRule>
  </conditionalFormatting>
  <conditionalFormatting sqref="P101">
    <cfRule type="cellIs" dxfId="3839" priority="666" operator="greaterThan">
      <formula>0</formula>
    </cfRule>
  </conditionalFormatting>
  <conditionalFormatting sqref="O100:P100">
    <cfRule type="cellIs" dxfId="3838" priority="662" operator="greaterThan">
      <formula>0</formula>
    </cfRule>
  </conditionalFormatting>
  <conditionalFormatting sqref="O160:P160">
    <cfRule type="cellIs" dxfId="3837" priority="658" operator="greaterThan">
      <formula>0</formula>
    </cfRule>
  </conditionalFormatting>
  <conditionalFormatting sqref="H131">
    <cfRule type="cellIs" dxfId="3836" priority="654" operator="greaterThan">
      <formula>0</formula>
    </cfRule>
  </conditionalFormatting>
  <conditionalFormatting sqref="H101">
    <cfRule type="cellIs" dxfId="3835" priority="638" operator="greaterThan">
      <formula>0</formula>
    </cfRule>
  </conditionalFormatting>
  <conditionalFormatting sqref="G102:H102">
    <cfRule type="cellIs" dxfId="3834" priority="634" operator="greaterThan">
      <formula>0</formula>
    </cfRule>
  </conditionalFormatting>
  <conditionalFormatting sqref="G99:H99">
    <cfRule type="cellIs" dxfId="3833" priority="630" operator="greaterThan">
      <formula>0</formula>
    </cfRule>
  </conditionalFormatting>
  <conditionalFormatting sqref="G100:H100">
    <cfRule type="cellIs" dxfId="3832" priority="626" operator="greaterThan">
      <formula>0</formula>
    </cfRule>
  </conditionalFormatting>
  <conditionalFormatting sqref="H103">
    <cfRule type="cellIs" dxfId="3831" priority="622" operator="greaterThan">
      <formula>0</formula>
    </cfRule>
  </conditionalFormatting>
  <conditionalFormatting sqref="G128:H128">
    <cfRule type="cellIs" dxfId="3830" priority="618" operator="greaterThan">
      <formula>0</formula>
    </cfRule>
  </conditionalFormatting>
  <conditionalFormatting sqref="AA152:AA155">
    <cfRule type="expression" dxfId="3829" priority="615">
      <formula>AA152=$M$3</formula>
    </cfRule>
    <cfRule type="expression" dxfId="3828" priority="616">
      <formula>AA152=$I$3</formula>
    </cfRule>
    <cfRule type="expression" dxfId="3827" priority="617">
      <formula>AA152=$D$3</formula>
    </cfRule>
  </conditionalFormatting>
  <conditionalFormatting sqref="AB152:AB155">
    <cfRule type="cellIs" dxfId="3826" priority="614" operator="greaterThan">
      <formula>0</formula>
    </cfRule>
  </conditionalFormatting>
  <conditionalFormatting sqref="S206:T206">
    <cfRule type="cellIs" dxfId="3825" priority="610" operator="greaterThan">
      <formula>0</formula>
    </cfRule>
  </conditionalFormatting>
  <conditionalFormatting sqref="S188:T190 T191">
    <cfRule type="cellIs" dxfId="3824" priority="606" operator="greaterThan">
      <formula>0</formula>
    </cfRule>
  </conditionalFormatting>
  <conditionalFormatting sqref="S192:T199">
    <cfRule type="cellIs" dxfId="3823" priority="602" operator="greaterThan">
      <formula>0</formula>
    </cfRule>
  </conditionalFormatting>
  <conditionalFormatting sqref="O91">
    <cfRule type="cellIs" dxfId="3822" priority="601" operator="greaterThan">
      <formula>0</formula>
    </cfRule>
  </conditionalFormatting>
  <conditionalFormatting sqref="S155">
    <cfRule type="cellIs" dxfId="3821" priority="600" operator="greaterThan">
      <formula>0</formula>
    </cfRule>
  </conditionalFormatting>
  <conditionalFormatting sqref="O140">
    <cfRule type="cellIs" dxfId="3820" priority="599" operator="greaterThan">
      <formula>0</formula>
    </cfRule>
  </conditionalFormatting>
  <conditionalFormatting sqref="O143:O146 O148:O150">
    <cfRule type="cellIs" dxfId="3819" priority="598" operator="greaterThan">
      <formula>0</formula>
    </cfRule>
  </conditionalFormatting>
  <conditionalFormatting sqref="O184">
    <cfRule type="cellIs" dxfId="3818" priority="596" operator="greaterThan">
      <formula>0</formula>
    </cfRule>
  </conditionalFormatting>
  <conditionalFormatting sqref="O105">
    <cfRule type="cellIs" dxfId="3817" priority="595" operator="greaterThan">
      <formula>0</formula>
    </cfRule>
  </conditionalFormatting>
  <conditionalFormatting sqref="O102">
    <cfRule type="cellIs" dxfId="3816" priority="593" operator="greaterThan">
      <formula>0</formula>
    </cfRule>
  </conditionalFormatting>
  <conditionalFormatting sqref="O103">
    <cfRule type="cellIs" dxfId="3815" priority="592" operator="greaterThan">
      <formula>0</formula>
    </cfRule>
  </conditionalFormatting>
  <conditionalFormatting sqref="O101">
    <cfRule type="cellIs" dxfId="3814" priority="591" operator="greaterThan">
      <formula>0</formula>
    </cfRule>
  </conditionalFormatting>
  <conditionalFormatting sqref="G132">
    <cfRule type="cellIs" dxfId="3813" priority="590" operator="greaterThan">
      <formula>0</formula>
    </cfRule>
  </conditionalFormatting>
  <conditionalFormatting sqref="K307">
    <cfRule type="cellIs" dxfId="3812" priority="589" operator="greaterThan">
      <formula>0</formula>
    </cfRule>
  </conditionalFormatting>
  <conditionalFormatting sqref="O343">
    <cfRule type="cellIs" dxfId="3811" priority="588" operator="greaterThan">
      <formula>0</formula>
    </cfRule>
  </conditionalFormatting>
  <conditionalFormatting sqref="H200:H250">
    <cfRule type="cellIs" dxfId="3808" priority="580" operator="greaterThan">
      <formula>0</formula>
    </cfRule>
  </conditionalFormatting>
  <conditionalFormatting sqref="K198">
    <cfRule type="cellIs" dxfId="3798" priority="556" operator="greaterThan">
      <formula>0</formula>
    </cfRule>
  </conditionalFormatting>
  <conditionalFormatting sqref="K197">
    <cfRule type="cellIs" dxfId="3797" priority="555" operator="greaterThan">
      <formula>0</formula>
    </cfRule>
  </conditionalFormatting>
  <conditionalFormatting sqref="P259">
    <cfRule type="cellIs" dxfId="3796" priority="540" operator="greaterThan">
      <formula>0</formula>
    </cfRule>
  </conditionalFormatting>
  <conditionalFormatting sqref="P251">
    <cfRule type="cellIs" dxfId="3795" priority="539" operator="greaterThan">
      <formula>0</formula>
    </cfRule>
  </conditionalFormatting>
  <conditionalFormatting sqref="P247">
    <cfRule type="cellIs" dxfId="3794" priority="538" operator="greaterThan">
      <formula>0</formula>
    </cfRule>
  </conditionalFormatting>
  <conditionalFormatting sqref="P243">
    <cfRule type="cellIs" dxfId="3793" priority="537" operator="greaterThan">
      <formula>0</formula>
    </cfRule>
  </conditionalFormatting>
  <conditionalFormatting sqref="P239">
    <cfRule type="cellIs" dxfId="3792" priority="536" operator="greaterThan">
      <formula>0</formula>
    </cfRule>
  </conditionalFormatting>
  <conditionalFormatting sqref="L203:L218">
    <cfRule type="cellIs" dxfId="3791" priority="525" operator="greaterThan">
      <formula>0</formula>
    </cfRule>
  </conditionalFormatting>
  <conditionalFormatting sqref="K315">
    <cfRule type="cellIs" dxfId="3787" priority="514" operator="greaterThan">
      <formula>0</formula>
    </cfRule>
  </conditionalFormatting>
  <conditionalFormatting sqref="K328:K330 K332:K334 K336:K338 K320:K322 K324:K326">
    <cfRule type="cellIs" dxfId="3786" priority="513" operator="greaterThan">
      <formula>0</formula>
    </cfRule>
  </conditionalFormatting>
  <conditionalFormatting sqref="K339">
    <cfRule type="cellIs" dxfId="3782" priority="509" operator="greaterThan">
      <formula>0</formula>
    </cfRule>
  </conditionalFormatting>
  <conditionalFormatting sqref="O351">
    <cfRule type="cellIs" dxfId="3777" priority="503" operator="greaterThan">
      <formula>0</formula>
    </cfRule>
  </conditionalFormatting>
  <conditionalFormatting sqref="O355">
    <cfRule type="cellIs" dxfId="3776" priority="502" operator="greaterThan">
      <formula>0</formula>
    </cfRule>
  </conditionalFormatting>
  <conditionalFormatting sqref="O359">
    <cfRule type="cellIs" dxfId="3775" priority="501" operator="greaterThan">
      <formula>0</formula>
    </cfRule>
  </conditionalFormatting>
  <conditionalFormatting sqref="O347">
    <cfRule type="cellIs" dxfId="3774" priority="499" operator="greaterThan">
      <formula>0</formula>
    </cfRule>
  </conditionalFormatting>
  <conditionalFormatting sqref="G101">
    <cfRule type="cellIs" dxfId="3773" priority="498" operator="greaterThan">
      <formula>0</formula>
    </cfRule>
  </conditionalFormatting>
  <conditionalFormatting sqref="G103">
    <cfRule type="cellIs" dxfId="3772" priority="497" operator="greaterThan">
      <formula>0</formula>
    </cfRule>
  </conditionalFormatting>
  <conditionalFormatting sqref="G157:H158">
    <cfRule type="cellIs" dxfId="3771" priority="491" operator="greaterThan">
      <formula>0</formula>
    </cfRule>
  </conditionalFormatting>
  <conditionalFormatting sqref="H159">
    <cfRule type="cellIs" dxfId="3770" priority="489" operator="greaterThan">
      <formula>0</formula>
    </cfRule>
  </conditionalFormatting>
  <conditionalFormatting sqref="G159">
    <cfRule type="cellIs" dxfId="3768" priority="487" operator="greaterThan">
      <formula>0</formula>
    </cfRule>
  </conditionalFormatting>
  <conditionalFormatting sqref="W288">
    <cfRule type="cellIs" dxfId="3767" priority="449" operator="greaterThan">
      <formula>0</formula>
    </cfRule>
  </conditionalFormatting>
  <conditionalFormatting sqref="W304">
    <cfRule type="cellIs" dxfId="3764" priority="445" operator="greaterThan">
      <formula>0</formula>
    </cfRule>
  </conditionalFormatting>
  <conditionalFormatting sqref="G161:G199">
    <cfRule type="cellIs" dxfId="3763" priority="481" operator="greaterThan">
      <formula>0</formula>
    </cfRule>
  </conditionalFormatting>
  <conditionalFormatting sqref="S207:T215 S217:T235 T216">
    <cfRule type="cellIs" dxfId="3761" priority="479" operator="greaterThan">
      <formula>0</formula>
    </cfRule>
  </conditionalFormatting>
  <conditionalFormatting sqref="S239:T239">
    <cfRule type="cellIs" dxfId="3760" priority="478" operator="greaterThan">
      <formula>0</formula>
    </cfRule>
  </conditionalFormatting>
  <conditionalFormatting sqref="F200:G250">
    <cfRule type="cellIs" dxfId="3753" priority="468" operator="greaterThan">
      <formula>0</formula>
    </cfRule>
  </conditionalFormatting>
  <conditionalFormatting sqref="G131">
    <cfRule type="cellIs" dxfId="3752" priority="464" operator="greaterThan">
      <formula>0</formula>
    </cfRule>
  </conditionalFormatting>
  <conditionalFormatting sqref="W292">
    <cfRule type="cellIs" dxfId="3744" priority="448" operator="greaterThan">
      <formula>0</formula>
    </cfRule>
  </conditionalFormatting>
  <conditionalFormatting sqref="W296">
    <cfRule type="cellIs" dxfId="3743" priority="447" operator="greaterThan">
      <formula>0</formula>
    </cfRule>
  </conditionalFormatting>
  <conditionalFormatting sqref="W300">
    <cfRule type="cellIs" dxfId="3742" priority="446" operator="greaterThan">
      <formula>0</formula>
    </cfRule>
  </conditionalFormatting>
  <conditionalFormatting sqref="W308">
    <cfRule type="cellIs" dxfId="3741" priority="444" operator="greaterThan">
      <formula>0</formula>
    </cfRule>
  </conditionalFormatting>
  <conditionalFormatting sqref="W286">
    <cfRule type="cellIs" dxfId="3740" priority="443" operator="greaterThan">
      <formula>0</formula>
    </cfRule>
  </conditionalFormatting>
  <conditionalFormatting sqref="W312">
    <cfRule type="cellIs" dxfId="3739" priority="442" operator="greaterThan">
      <formula>0</formula>
    </cfRule>
  </conditionalFormatting>
  <conditionalFormatting sqref="P113">
    <cfRule type="cellIs" dxfId="3738" priority="441" operator="greaterThan">
      <formula>0</formula>
    </cfRule>
  </conditionalFormatting>
  <conditionalFormatting sqref="O147">
    <cfRule type="cellIs" dxfId="3737" priority="440" operator="greaterThan">
      <formula>0</formula>
    </cfRule>
  </conditionalFormatting>
  <conditionalFormatting sqref="O151">
    <cfRule type="cellIs" dxfId="3736" priority="439" operator="greaterThan">
      <formula>0</formula>
    </cfRule>
  </conditionalFormatting>
  <conditionalFormatting sqref="O155">
    <cfRule type="cellIs" dxfId="3735" priority="438" operator="greaterThan">
      <formula>0</formula>
    </cfRule>
  </conditionalFormatting>
  <conditionalFormatting sqref="O159">
    <cfRule type="cellIs" dxfId="3734" priority="437" operator="greaterThan">
      <formula>0</formula>
    </cfRule>
  </conditionalFormatting>
  <conditionalFormatting sqref="O168">
    <cfRule type="cellIs" dxfId="3733" priority="436" operator="greaterThan">
      <formula>0</formula>
    </cfRule>
  </conditionalFormatting>
  <conditionalFormatting sqref="O187">
    <cfRule type="cellIs" dxfId="3732" priority="435" operator="greaterThan">
      <formula>0</formula>
    </cfRule>
  </conditionalFormatting>
  <conditionalFormatting sqref="O239">
    <cfRule type="cellIs" dxfId="3720" priority="421" operator="greaterThan">
      <formula>0</formula>
    </cfRule>
  </conditionalFormatting>
  <conditionalFormatting sqref="O243">
    <cfRule type="cellIs" dxfId="3719" priority="420" operator="greaterThan">
      <formula>0</formula>
    </cfRule>
  </conditionalFormatting>
  <conditionalFormatting sqref="O247">
    <cfRule type="cellIs" dxfId="3718" priority="419" operator="greaterThan">
      <formula>0</formula>
    </cfRule>
  </conditionalFormatting>
  <conditionalFormatting sqref="O251">
    <cfRule type="cellIs" dxfId="3717" priority="418" operator="greaterThan">
      <formula>0</formula>
    </cfRule>
  </conditionalFormatting>
  <conditionalFormatting sqref="O259">
    <cfRule type="cellIs" dxfId="3716" priority="417" operator="greaterThan">
      <formula>0</formula>
    </cfRule>
  </conditionalFormatting>
  <conditionalFormatting sqref="L363">
    <cfRule type="cellIs" dxfId="3715" priority="416" operator="greaterThan">
      <formula>0</formula>
    </cfRule>
  </conditionalFormatting>
  <conditionalFormatting sqref="O363">
    <cfRule type="cellIs" dxfId="3713" priority="414" operator="greaterThan">
      <formula>0</formula>
    </cfRule>
  </conditionalFormatting>
  <conditionalFormatting sqref="L371">
    <cfRule type="cellIs" dxfId="3712" priority="413" operator="greaterThan">
      <formula>0</formula>
    </cfRule>
  </conditionalFormatting>
  <conditionalFormatting sqref="O371">
    <cfRule type="cellIs" dxfId="3710" priority="411" operator="greaterThan">
      <formula>0</formula>
    </cfRule>
  </conditionalFormatting>
  <conditionalFormatting sqref="G112">
    <cfRule type="cellIs" dxfId="3709" priority="410" operator="greaterThan">
      <formula>0</formula>
    </cfRule>
  </conditionalFormatting>
  <conditionalFormatting sqref="G115">
    <cfRule type="cellIs" dxfId="3708" priority="409" operator="greaterThan">
      <formula>0</formula>
    </cfRule>
  </conditionalFormatting>
  <conditionalFormatting sqref="G145:G146 G148:G154 G156">
    <cfRule type="cellIs" dxfId="3707" priority="408" operator="greaterThan">
      <formula>0</formula>
    </cfRule>
  </conditionalFormatting>
  <conditionalFormatting sqref="S191">
    <cfRule type="cellIs" dxfId="3705" priority="406" operator="greaterThan">
      <formula>0</formula>
    </cfRule>
  </conditionalFormatting>
  <conditionalFormatting sqref="S216">
    <cfRule type="cellIs" dxfId="3704" priority="405" operator="greaterThan">
      <formula>0</formula>
    </cfRule>
  </conditionalFormatting>
  <conditionalFormatting sqref="L99">
    <cfRule type="cellIs" dxfId="3703" priority="404" operator="greaterThan">
      <formula>0</formula>
    </cfRule>
  </conditionalFormatting>
  <conditionalFormatting sqref="K99">
    <cfRule type="cellIs" dxfId="3702" priority="403" operator="greaterThan">
      <formula>0</formula>
    </cfRule>
  </conditionalFormatting>
  <conditionalFormatting sqref="G104">
    <cfRule type="cellIs" dxfId="3701" priority="402" operator="greaterThan">
      <formula>0</formula>
    </cfRule>
  </conditionalFormatting>
  <conditionalFormatting sqref="G107">
    <cfRule type="cellIs" dxfId="3700" priority="401" operator="greaterThan">
      <formula>0</formula>
    </cfRule>
  </conditionalFormatting>
  <conditionalFormatting sqref="G108">
    <cfRule type="cellIs" dxfId="3699" priority="400" operator="greaterThan">
      <formula>0</formula>
    </cfRule>
  </conditionalFormatting>
  <conditionalFormatting sqref="G111">
    <cfRule type="cellIs" dxfId="3698" priority="399" operator="greaterThan">
      <formula>0</formula>
    </cfRule>
  </conditionalFormatting>
  <conditionalFormatting sqref="G119">
    <cfRule type="cellIs" dxfId="3697" priority="398" operator="greaterThan">
      <formula>0</formula>
    </cfRule>
  </conditionalFormatting>
  <conditionalFormatting sqref="G123">
    <cfRule type="cellIs" dxfId="3696" priority="397" operator="greaterThan">
      <formula>0</formula>
    </cfRule>
  </conditionalFormatting>
  <conditionalFormatting sqref="G127">
    <cfRule type="cellIs" dxfId="3695" priority="396" operator="greaterThan">
      <formula>0</formula>
    </cfRule>
  </conditionalFormatting>
  <conditionalFormatting sqref="K108">
    <cfRule type="cellIs" dxfId="3694" priority="395" operator="greaterThan">
      <formula>0</formula>
    </cfRule>
  </conditionalFormatting>
  <conditionalFormatting sqref="K110 K114 K126 K118 K112 K120:K122 K124 K128 K116">
    <cfRule type="cellIs" dxfId="3693" priority="394" operator="greaterThan">
      <formula>0</formula>
    </cfRule>
  </conditionalFormatting>
  <conditionalFormatting sqref="K109">
    <cfRule type="cellIs" dxfId="3692" priority="393" operator="greaterThan">
      <formula>0</formula>
    </cfRule>
  </conditionalFormatting>
  <conditionalFormatting sqref="K113">
    <cfRule type="cellIs" dxfId="3691" priority="392" operator="greaterThan">
      <formula>0</formula>
    </cfRule>
  </conditionalFormatting>
  <conditionalFormatting sqref="K117">
    <cfRule type="cellIs" dxfId="3690" priority="391" operator="greaterThan">
      <formula>0</formula>
    </cfRule>
  </conditionalFormatting>
  <conditionalFormatting sqref="K125">
    <cfRule type="cellIs" dxfId="3689" priority="390" operator="greaterThan">
      <formula>0</formula>
    </cfRule>
  </conditionalFormatting>
  <conditionalFormatting sqref="K129">
    <cfRule type="cellIs" dxfId="3688" priority="389" operator="greaterThan">
      <formula>0</formula>
    </cfRule>
  </conditionalFormatting>
  <conditionalFormatting sqref="K107">
    <cfRule type="cellIs" dxfId="3687" priority="388" operator="greaterThan">
      <formula>0</formula>
    </cfRule>
  </conditionalFormatting>
  <conditionalFormatting sqref="K111">
    <cfRule type="cellIs" dxfId="3686" priority="387" operator="greaterThan">
      <formula>0</formula>
    </cfRule>
  </conditionalFormatting>
  <conditionalFormatting sqref="K111">
    <cfRule type="cellIs" dxfId="3685" priority="386" operator="greaterThan">
      <formula>0</formula>
    </cfRule>
  </conditionalFormatting>
  <conditionalFormatting sqref="K123">
    <cfRule type="cellIs" dxfId="3684" priority="383" operator="greaterThan">
      <formula>0</formula>
    </cfRule>
  </conditionalFormatting>
  <conditionalFormatting sqref="K123">
    <cfRule type="cellIs" dxfId="3683" priority="382" operator="greaterThan">
      <formula>0</formula>
    </cfRule>
  </conditionalFormatting>
  <conditionalFormatting sqref="K127">
    <cfRule type="cellIs" dxfId="3682" priority="381" operator="greaterThan">
      <formula>0</formula>
    </cfRule>
  </conditionalFormatting>
  <conditionalFormatting sqref="K127">
    <cfRule type="cellIs" dxfId="3681" priority="380" operator="greaterThan">
      <formula>0</formula>
    </cfRule>
  </conditionalFormatting>
  <conditionalFormatting sqref="K130">
    <cfRule type="cellIs" dxfId="3680" priority="379" operator="greaterThan">
      <formula>0</formula>
    </cfRule>
  </conditionalFormatting>
  <conditionalFormatting sqref="K135">
    <cfRule type="cellIs" dxfId="3679" priority="377" operator="greaterThan">
      <formula>0</formula>
    </cfRule>
  </conditionalFormatting>
  <conditionalFormatting sqref="K204:K206 K209:K210 K212:K214 K216:K218">
    <cfRule type="cellIs" dxfId="3673" priority="354" operator="greaterThan">
      <formula>0</formula>
    </cfRule>
  </conditionalFormatting>
  <conditionalFormatting sqref="K115">
    <cfRule type="cellIs" dxfId="3671" priority="350" operator="greaterThan">
      <formula>0</formula>
    </cfRule>
  </conditionalFormatting>
  <conditionalFormatting sqref="K115">
    <cfRule type="cellIs" dxfId="3670" priority="349" operator="greaterThan">
      <formula>0</formula>
    </cfRule>
  </conditionalFormatting>
  <conditionalFormatting sqref="K119">
    <cfRule type="cellIs" dxfId="3669" priority="348" operator="greaterThan">
      <formula>0</formula>
    </cfRule>
  </conditionalFormatting>
  <conditionalFormatting sqref="K119">
    <cfRule type="cellIs" dxfId="3668" priority="347" operator="greaterThan">
      <formula>0</formula>
    </cfRule>
  </conditionalFormatting>
  <conditionalFormatting sqref="K131">
    <cfRule type="cellIs" dxfId="3665" priority="346" operator="greaterThan">
      <formula>0</formula>
    </cfRule>
  </conditionalFormatting>
  <conditionalFormatting sqref="K131">
    <cfRule type="cellIs" dxfId="3664" priority="345" operator="greaterThan">
      <formula>0</formula>
    </cfRule>
  </conditionalFormatting>
  <conditionalFormatting sqref="K223">
    <cfRule type="cellIs" dxfId="3658" priority="338" operator="greaterThan">
      <formula>0</formula>
    </cfRule>
  </conditionalFormatting>
  <conditionalFormatting sqref="K138">
    <cfRule type="cellIs" dxfId="3584" priority="258" operator="greaterThan">
      <formula>0</formula>
    </cfRule>
  </conditionalFormatting>
  <conditionalFormatting sqref="K144:K146">
    <cfRule type="cellIs" dxfId="3583" priority="257" operator="greaterThan">
      <formula>0</formula>
    </cfRule>
  </conditionalFormatting>
  <conditionalFormatting sqref="K136:K137">
    <cfRule type="cellIs" dxfId="3582" priority="256" operator="greaterThan">
      <formula>0</formula>
    </cfRule>
  </conditionalFormatting>
  <conditionalFormatting sqref="K140">
    <cfRule type="cellIs" dxfId="3581" priority="255" operator="greaterThan">
      <formula>0</formula>
    </cfRule>
  </conditionalFormatting>
  <conditionalFormatting sqref="K141">
    <cfRule type="cellIs" dxfId="3580" priority="254" operator="greaterThan">
      <formula>0</formula>
    </cfRule>
  </conditionalFormatting>
  <conditionalFormatting sqref="K138 K136 K140">
    <cfRule type="cellIs" dxfId="3579" priority="253" operator="greaterThan">
      <formula>0</formula>
    </cfRule>
  </conditionalFormatting>
  <conditionalFormatting sqref="K137">
    <cfRule type="cellIs" dxfId="3578" priority="252" operator="greaterThan">
      <formula>0</formula>
    </cfRule>
  </conditionalFormatting>
  <conditionalFormatting sqref="K141">
    <cfRule type="cellIs" dxfId="3577" priority="251" operator="greaterThan">
      <formula>0</formula>
    </cfRule>
  </conditionalFormatting>
  <conditionalFormatting sqref="K142">
    <cfRule type="cellIs" dxfId="3576" priority="248" operator="greaterThan">
      <formula>0</formula>
    </cfRule>
  </conditionalFormatting>
  <conditionalFormatting sqref="K143">
    <cfRule type="cellIs" dxfId="3575" priority="246" operator="greaterThan">
      <formula>0</formula>
    </cfRule>
  </conditionalFormatting>
  <conditionalFormatting sqref="K143">
    <cfRule type="cellIs" dxfId="3574" priority="245" operator="greaterThan">
      <formula>0</formula>
    </cfRule>
  </conditionalFormatting>
  <conditionalFormatting sqref="K141">
    <cfRule type="cellIs" dxfId="3573" priority="244" operator="greaterThan">
      <formula>0</formula>
    </cfRule>
  </conditionalFormatting>
  <conditionalFormatting sqref="K149">
    <cfRule type="cellIs" dxfId="3572" priority="243" operator="greaterThan">
      <formula>0</formula>
    </cfRule>
  </conditionalFormatting>
  <conditionalFormatting sqref="K140">
    <cfRule type="cellIs" dxfId="3571" priority="242" operator="greaterThan">
      <formula>0</formula>
    </cfRule>
  </conditionalFormatting>
  <conditionalFormatting sqref="K143">
    <cfRule type="cellIs" dxfId="3570" priority="241" operator="greaterThan">
      <formula>0</formula>
    </cfRule>
  </conditionalFormatting>
  <conditionalFormatting sqref="K144">
    <cfRule type="cellIs" dxfId="3569" priority="240" operator="greaterThan">
      <formula>0</formula>
    </cfRule>
  </conditionalFormatting>
  <conditionalFormatting sqref="K141 K143">
    <cfRule type="cellIs" dxfId="3568" priority="239" operator="greaterThan">
      <formula>0</formula>
    </cfRule>
  </conditionalFormatting>
  <conditionalFormatting sqref="K140">
    <cfRule type="cellIs" dxfId="3567" priority="238" operator="greaterThan">
      <formula>0</formula>
    </cfRule>
  </conditionalFormatting>
  <conditionalFormatting sqref="K144">
    <cfRule type="cellIs" dxfId="3566" priority="237" operator="greaterThan">
      <formula>0</formula>
    </cfRule>
  </conditionalFormatting>
  <conditionalFormatting sqref="K142">
    <cfRule type="cellIs" dxfId="3565" priority="236" operator="greaterThan">
      <formula>0</formula>
    </cfRule>
  </conditionalFormatting>
  <conditionalFormatting sqref="K142">
    <cfRule type="cellIs" dxfId="3564" priority="235" operator="greaterThan">
      <formula>0</formula>
    </cfRule>
  </conditionalFormatting>
  <conditionalFormatting sqref="K145">
    <cfRule type="cellIs" dxfId="3563" priority="234" operator="greaterThan">
      <formula>0</formula>
    </cfRule>
  </conditionalFormatting>
  <conditionalFormatting sqref="K150">
    <cfRule type="cellIs" dxfId="3562" priority="233" operator="greaterThan">
      <formula>0</formula>
    </cfRule>
  </conditionalFormatting>
  <conditionalFormatting sqref="K146">
    <cfRule type="cellIs" dxfId="3561" priority="232" operator="greaterThan">
      <formula>0</formula>
    </cfRule>
  </conditionalFormatting>
  <conditionalFormatting sqref="K146">
    <cfRule type="cellIs" dxfId="3560" priority="231" operator="greaterThan">
      <formula>0</formula>
    </cfRule>
  </conditionalFormatting>
  <conditionalFormatting sqref="K139">
    <cfRule type="cellIs" dxfId="3559" priority="230" operator="greaterThan">
      <formula>0</formula>
    </cfRule>
  </conditionalFormatting>
  <conditionalFormatting sqref="K139">
    <cfRule type="cellIs" dxfId="3558" priority="229" operator="greaterThan">
      <formula>0</formula>
    </cfRule>
  </conditionalFormatting>
  <conditionalFormatting sqref="K139">
    <cfRule type="cellIs" dxfId="3557" priority="228" operator="greaterThan">
      <formula>0</formula>
    </cfRule>
  </conditionalFormatting>
  <conditionalFormatting sqref="K147">
    <cfRule type="cellIs" dxfId="3556" priority="227" operator="greaterThan">
      <formula>0</formula>
    </cfRule>
  </conditionalFormatting>
  <conditionalFormatting sqref="K147">
    <cfRule type="cellIs" dxfId="3555" priority="226" operator="greaterThan">
      <formula>0</formula>
    </cfRule>
  </conditionalFormatting>
  <conditionalFormatting sqref="K147">
    <cfRule type="cellIs" dxfId="3554" priority="225" operator="greaterThan">
      <formula>0</formula>
    </cfRule>
  </conditionalFormatting>
  <conditionalFormatting sqref="L148">
    <cfRule type="cellIs" dxfId="3553" priority="224" operator="greaterThan">
      <formula>0</formula>
    </cfRule>
  </conditionalFormatting>
  <conditionalFormatting sqref="K148">
    <cfRule type="cellIs" dxfId="3552" priority="223" operator="greaterThan">
      <formula>0</formula>
    </cfRule>
  </conditionalFormatting>
  <conditionalFormatting sqref="K192:K199">
    <cfRule type="cellIs" dxfId="3545" priority="215" operator="greaterThan">
      <formula>0</formula>
    </cfRule>
  </conditionalFormatting>
  <conditionalFormatting sqref="K191">
    <cfRule type="cellIs" dxfId="3541" priority="198" operator="greaterThan">
      <formula>0</formula>
    </cfRule>
  </conditionalFormatting>
  <conditionalFormatting sqref="K191">
    <cfRule type="cellIs" dxfId="3540" priority="197" operator="greaterThan">
      <formula>0</formula>
    </cfRule>
  </conditionalFormatting>
  <conditionalFormatting sqref="K195">
    <cfRule type="cellIs" dxfId="3539" priority="196" operator="greaterThan">
      <formula>0</formula>
    </cfRule>
  </conditionalFormatting>
  <conditionalFormatting sqref="K195">
    <cfRule type="cellIs" dxfId="3538" priority="195" operator="greaterThan">
      <formula>0</formula>
    </cfRule>
  </conditionalFormatting>
  <conditionalFormatting sqref="K167">
    <cfRule type="cellIs" dxfId="3528" priority="185" operator="greaterThan">
      <formula>0</formula>
    </cfRule>
  </conditionalFormatting>
  <conditionalFormatting sqref="K170">
    <cfRule type="cellIs" dxfId="3527" priority="184" operator="greaterThan">
      <formula>0</formula>
    </cfRule>
  </conditionalFormatting>
  <conditionalFormatting sqref="K163">
    <cfRule type="cellIs" dxfId="3526" priority="183" operator="greaterThan">
      <formula>0</formula>
    </cfRule>
  </conditionalFormatting>
  <conditionalFormatting sqref="K163">
    <cfRule type="cellIs" dxfId="3525" priority="182" operator="greaterThan">
      <formula>0</formula>
    </cfRule>
  </conditionalFormatting>
  <conditionalFormatting sqref="K152">
    <cfRule type="cellIs" dxfId="3524" priority="180" operator="greaterThan">
      <formula>0</formula>
    </cfRule>
  </conditionalFormatting>
  <conditionalFormatting sqref="K152">
    <cfRule type="cellIs" dxfId="3523" priority="181" operator="greaterThan">
      <formula>0</formula>
    </cfRule>
  </conditionalFormatting>
  <conditionalFormatting sqref="K151">
    <cfRule type="cellIs" dxfId="3522" priority="179" operator="greaterThan">
      <formula>0</formula>
    </cfRule>
  </conditionalFormatting>
  <conditionalFormatting sqref="K151">
    <cfRule type="cellIs" dxfId="3521" priority="178" operator="greaterThan">
      <formula>0</formula>
    </cfRule>
  </conditionalFormatting>
  <conditionalFormatting sqref="K154">
    <cfRule type="cellIs" dxfId="3520" priority="177" operator="greaterThan">
      <formula>0</formula>
    </cfRule>
  </conditionalFormatting>
  <conditionalFormatting sqref="K154">
    <cfRule type="cellIs" dxfId="3519" priority="176" operator="greaterThan">
      <formula>0</formula>
    </cfRule>
  </conditionalFormatting>
  <conditionalFormatting sqref="K153">
    <cfRule type="cellIs" dxfId="3518" priority="175" operator="greaterThan">
      <formula>0</formula>
    </cfRule>
  </conditionalFormatting>
  <conditionalFormatting sqref="K157">
    <cfRule type="cellIs" dxfId="3517" priority="174" operator="greaterThan">
      <formula>0</formula>
    </cfRule>
  </conditionalFormatting>
  <conditionalFormatting sqref="K155">
    <cfRule type="cellIs" dxfId="3516" priority="173" operator="greaterThan">
      <formula>0</formula>
    </cfRule>
  </conditionalFormatting>
  <conditionalFormatting sqref="K161">
    <cfRule type="cellIs" dxfId="3515" priority="172" operator="greaterThan">
      <formula>0</formula>
    </cfRule>
  </conditionalFormatting>
  <conditionalFormatting sqref="K159">
    <cfRule type="cellIs" dxfId="3514" priority="171" operator="greaterThan">
      <formula>0</formula>
    </cfRule>
  </conditionalFormatting>
  <conditionalFormatting sqref="K156">
    <cfRule type="cellIs" dxfId="3511" priority="168" operator="greaterThan">
      <formula>0</formula>
    </cfRule>
  </conditionalFormatting>
  <conditionalFormatting sqref="K160">
    <cfRule type="cellIs" dxfId="3510" priority="167" operator="greaterThan">
      <formula>0</formula>
    </cfRule>
  </conditionalFormatting>
  <conditionalFormatting sqref="L151:L152">
    <cfRule type="cellIs" dxfId="3509" priority="166" operator="greaterThan">
      <formula>0</formula>
    </cfRule>
  </conditionalFormatting>
  <conditionalFormatting sqref="K224:K226 K220:K222">
    <cfRule type="cellIs" dxfId="178" priority="165" operator="greaterThan">
      <formula>0</formula>
    </cfRule>
  </conditionalFormatting>
  <conditionalFormatting sqref="K219">
    <cfRule type="cellIs" dxfId="173" priority="159" operator="greaterThan">
      <formula>0</formula>
    </cfRule>
  </conditionalFormatting>
  <conditionalFormatting sqref="K219">
    <cfRule type="cellIs" dxfId="172" priority="158" operator="greaterThan">
      <formula>0</formula>
    </cfRule>
  </conditionalFormatting>
  <conditionalFormatting sqref="G132">
    <cfRule type="cellIs" dxfId="169" priority="156" operator="greaterThan">
      <formula>0</formula>
    </cfRule>
  </conditionalFormatting>
  <conditionalFormatting sqref="G131">
    <cfRule type="cellIs" dxfId="167" priority="154" operator="greaterThan">
      <formula>0</formula>
    </cfRule>
  </conditionalFormatting>
  <conditionalFormatting sqref="G137:G138">
    <cfRule type="cellIs" dxfId="166" priority="153" operator="greaterThan">
      <formula>0</formula>
    </cfRule>
  </conditionalFormatting>
  <conditionalFormatting sqref="G141:G143">
    <cfRule type="cellIs" dxfId="165" priority="152" operator="greaterThan">
      <formula>0</formula>
    </cfRule>
  </conditionalFormatting>
  <conditionalFormatting sqref="G134">
    <cfRule type="cellIs" dxfId="164" priority="151" operator="greaterThan">
      <formula>0</formula>
    </cfRule>
  </conditionalFormatting>
  <conditionalFormatting sqref="G144">
    <cfRule type="cellIs" dxfId="163" priority="150" operator="greaterThan">
      <formula>0</formula>
    </cfRule>
  </conditionalFormatting>
  <conditionalFormatting sqref="F136:G136">
    <cfRule type="cellIs" dxfId="162" priority="148" operator="greaterThan">
      <formula>0</formula>
    </cfRule>
  </conditionalFormatting>
  <conditionalFormatting sqref="F140:G140">
    <cfRule type="cellIs" dxfId="160" priority="147" operator="greaterThan">
      <formula>0</formula>
    </cfRule>
  </conditionalFormatting>
  <conditionalFormatting sqref="F135:G135">
    <cfRule type="cellIs" dxfId="159" priority="146" operator="greaterThan">
      <formula>0</formula>
    </cfRule>
  </conditionalFormatting>
  <conditionalFormatting sqref="F139:G139">
    <cfRule type="cellIs" dxfId="158" priority="145" operator="greaterThan">
      <formula>0</formula>
    </cfRule>
  </conditionalFormatting>
  <conditionalFormatting sqref="F147:G147">
    <cfRule type="cellIs" dxfId="157" priority="144" operator="greaterThan">
      <formula>0</formula>
    </cfRule>
  </conditionalFormatting>
  <conditionalFormatting sqref="G155">
    <cfRule type="cellIs" dxfId="155" priority="143" operator="greaterThan">
      <formula>0</formula>
    </cfRule>
  </conditionalFormatting>
  <conditionalFormatting sqref="G160">
    <cfRule type="cellIs" dxfId="154" priority="142" operator="greaterThan">
      <formula>0</formula>
    </cfRule>
  </conditionalFormatting>
  <conditionalFormatting sqref="K179">
    <cfRule type="cellIs" dxfId="153" priority="133" operator="greaterThan">
      <formula>0</formula>
    </cfRule>
  </conditionalFormatting>
  <conditionalFormatting sqref="K179">
    <cfRule type="cellIs" dxfId="152" priority="132" operator="greaterThan">
      <formula>0</formula>
    </cfRule>
  </conditionalFormatting>
  <conditionalFormatting sqref="K180:K182">
    <cfRule type="cellIs" dxfId="151" priority="140" operator="greaterThan">
      <formula>0</formula>
    </cfRule>
  </conditionalFormatting>
  <conditionalFormatting sqref="K176">
    <cfRule type="cellIs" dxfId="150" priority="138" operator="greaterThan">
      <formula>0</formula>
    </cfRule>
  </conditionalFormatting>
  <conditionalFormatting sqref="K178 K182 K180">
    <cfRule type="cellIs" dxfId="149" priority="137" operator="greaterThan">
      <formula>0</formula>
    </cfRule>
  </conditionalFormatting>
  <conditionalFormatting sqref="K177">
    <cfRule type="cellIs" dxfId="148" priority="136" operator="greaterThan">
      <formula>0</formula>
    </cfRule>
  </conditionalFormatting>
  <conditionalFormatting sqref="K176:K178">
    <cfRule type="cellIs" dxfId="147" priority="141" operator="greaterThan">
      <formula>0</formula>
    </cfRule>
  </conditionalFormatting>
  <conditionalFormatting sqref="K175">
    <cfRule type="cellIs" dxfId="146" priority="139" operator="greaterThan">
      <formula>0</formula>
    </cfRule>
  </conditionalFormatting>
  <conditionalFormatting sqref="K181">
    <cfRule type="cellIs" dxfId="145" priority="135" operator="greaterThan">
      <formula>0</formula>
    </cfRule>
  </conditionalFormatting>
  <conditionalFormatting sqref="K175">
    <cfRule type="cellIs" dxfId="144" priority="134" operator="greaterThan">
      <formula>0</formula>
    </cfRule>
  </conditionalFormatting>
  <conditionalFormatting sqref="K183">
    <cfRule type="cellIs" dxfId="143" priority="131" operator="greaterThan">
      <formula>0</formula>
    </cfRule>
  </conditionalFormatting>
  <conditionalFormatting sqref="K183">
    <cfRule type="cellIs" dxfId="142" priority="130" operator="greaterThan">
      <formula>0</formula>
    </cfRule>
  </conditionalFormatting>
  <conditionalFormatting sqref="K193">
    <cfRule type="cellIs" dxfId="141" priority="129" operator="greaterThan">
      <formula>0</formula>
    </cfRule>
  </conditionalFormatting>
  <conditionalFormatting sqref="K191">
    <cfRule type="cellIs" dxfId="140" priority="128" operator="greaterThan">
      <formula>0</formula>
    </cfRule>
  </conditionalFormatting>
  <conditionalFormatting sqref="K195">
    <cfRule type="cellIs" dxfId="139" priority="126" operator="greaterThan">
      <formula>0</formula>
    </cfRule>
  </conditionalFormatting>
  <conditionalFormatting sqref="K195">
    <cfRule type="cellIs" dxfId="138" priority="125" operator="greaterThan">
      <formula>0</formula>
    </cfRule>
  </conditionalFormatting>
  <conditionalFormatting sqref="K199">
    <cfRule type="cellIs" dxfId="137" priority="124" operator="greaterThan">
      <formula>0</formula>
    </cfRule>
  </conditionalFormatting>
  <conditionalFormatting sqref="K199">
    <cfRule type="cellIs" dxfId="136" priority="123" operator="greaterThan">
      <formula>0</formula>
    </cfRule>
  </conditionalFormatting>
  <conditionalFormatting sqref="K191">
    <cfRule type="cellIs" dxfId="135" priority="127" operator="greaterThan">
      <formula>0</formula>
    </cfRule>
  </conditionalFormatting>
  <conditionalFormatting sqref="K185:K187">
    <cfRule type="cellIs" dxfId="134" priority="121" operator="greaterThan">
      <formula>0</formula>
    </cfRule>
  </conditionalFormatting>
  <conditionalFormatting sqref="K185:K186">
    <cfRule type="cellIs" dxfId="133" priority="122" operator="greaterThan">
      <formula>0</formula>
    </cfRule>
  </conditionalFormatting>
  <conditionalFormatting sqref="K188">
    <cfRule type="cellIs" dxfId="132" priority="120" operator="greaterThan">
      <formula>0</formula>
    </cfRule>
  </conditionalFormatting>
  <conditionalFormatting sqref="K188">
    <cfRule type="cellIs" dxfId="131" priority="119" operator="greaterThan">
      <formula>0</formula>
    </cfRule>
  </conditionalFormatting>
  <conditionalFormatting sqref="K184">
    <cfRule type="cellIs" dxfId="130" priority="118" operator="greaterThan">
      <formula>0</formula>
    </cfRule>
  </conditionalFormatting>
  <conditionalFormatting sqref="K184">
    <cfRule type="cellIs" dxfId="129" priority="117" operator="greaterThan">
      <formula>0</formula>
    </cfRule>
  </conditionalFormatting>
  <conditionalFormatting sqref="K197">
    <cfRule type="cellIs" dxfId="128" priority="116" operator="greaterThan">
      <formula>0</formula>
    </cfRule>
  </conditionalFormatting>
  <conditionalFormatting sqref="K200">
    <cfRule type="cellIs" dxfId="127" priority="115" operator="greaterThan">
      <formula>0</formula>
    </cfRule>
  </conditionalFormatting>
  <conditionalFormatting sqref="K199">
    <cfRule type="cellIs" dxfId="126" priority="114" operator="greaterThan">
      <formula>0</formula>
    </cfRule>
  </conditionalFormatting>
  <conditionalFormatting sqref="K198">
    <cfRule type="cellIs" dxfId="125" priority="113" operator="greaterThan">
      <formula>0</formula>
    </cfRule>
  </conditionalFormatting>
  <conditionalFormatting sqref="K192">
    <cfRule type="cellIs" dxfId="124" priority="112" operator="greaterThan">
      <formula>0</formula>
    </cfRule>
  </conditionalFormatting>
  <conditionalFormatting sqref="K192">
    <cfRule type="cellIs" dxfId="123" priority="111" operator="greaterThan">
      <formula>0</formula>
    </cfRule>
  </conditionalFormatting>
  <conditionalFormatting sqref="K196">
    <cfRule type="cellIs" dxfId="122" priority="110" operator="greaterThan">
      <formula>0</formula>
    </cfRule>
  </conditionalFormatting>
  <conditionalFormatting sqref="K196">
    <cfRule type="cellIs" dxfId="121" priority="109" operator="greaterThan">
      <formula>0</formula>
    </cfRule>
  </conditionalFormatting>
  <conditionalFormatting sqref="K194">
    <cfRule type="cellIs" dxfId="120" priority="108" operator="greaterThan">
      <formula>0</formula>
    </cfRule>
  </conditionalFormatting>
  <conditionalFormatting sqref="K192">
    <cfRule type="cellIs" dxfId="119" priority="107" operator="greaterThan">
      <formula>0</formula>
    </cfRule>
  </conditionalFormatting>
  <conditionalFormatting sqref="K196">
    <cfRule type="cellIs" dxfId="118" priority="105" operator="greaterThan">
      <formula>0</formula>
    </cfRule>
  </conditionalFormatting>
  <conditionalFormatting sqref="K196">
    <cfRule type="cellIs" dxfId="117" priority="104" operator="greaterThan">
      <formula>0</formula>
    </cfRule>
  </conditionalFormatting>
  <conditionalFormatting sqref="K200">
    <cfRule type="cellIs" dxfId="116" priority="103" operator="greaterThan">
      <formula>0</formula>
    </cfRule>
  </conditionalFormatting>
  <conditionalFormatting sqref="K200">
    <cfRule type="cellIs" dxfId="115" priority="102" operator="greaterThan">
      <formula>0</formula>
    </cfRule>
  </conditionalFormatting>
  <conditionalFormatting sqref="K192">
    <cfRule type="cellIs" dxfId="114" priority="106" operator="greaterThan">
      <formula>0</formula>
    </cfRule>
  </conditionalFormatting>
  <conditionalFormatting sqref="K203">
    <cfRule type="cellIs" dxfId="113" priority="101" operator="greaterThan">
      <formula>0</formula>
    </cfRule>
  </conditionalFormatting>
  <conditionalFormatting sqref="K203">
    <cfRule type="cellIs" dxfId="112" priority="100" operator="greaterThan">
      <formula>0</formula>
    </cfRule>
  </conditionalFormatting>
  <conditionalFormatting sqref="K203">
    <cfRule type="cellIs" dxfId="111" priority="99" operator="greaterThan">
      <formula>0</formula>
    </cfRule>
  </conditionalFormatting>
  <conditionalFormatting sqref="K203">
    <cfRule type="cellIs" dxfId="110" priority="98" operator="greaterThan">
      <formula>0</formula>
    </cfRule>
  </conditionalFormatting>
  <conditionalFormatting sqref="K203">
    <cfRule type="cellIs" dxfId="109" priority="97" operator="greaterThan">
      <formula>0</formula>
    </cfRule>
  </conditionalFormatting>
  <conditionalFormatting sqref="K203">
    <cfRule type="cellIs" dxfId="108" priority="96" operator="greaterThan">
      <formula>0</formula>
    </cfRule>
  </conditionalFormatting>
  <conditionalFormatting sqref="K207">
    <cfRule type="cellIs" dxfId="107" priority="95" operator="greaterThan">
      <formula>0</formula>
    </cfRule>
  </conditionalFormatting>
  <conditionalFormatting sqref="K207">
    <cfRule type="cellIs" dxfId="106" priority="94" operator="greaterThan">
      <formula>0</formula>
    </cfRule>
  </conditionalFormatting>
  <conditionalFormatting sqref="K207">
    <cfRule type="cellIs" dxfId="105" priority="93" operator="greaterThan">
      <formula>0</formula>
    </cfRule>
  </conditionalFormatting>
  <conditionalFormatting sqref="K207">
    <cfRule type="cellIs" dxfId="104" priority="92" operator="greaterThan">
      <formula>0</formula>
    </cfRule>
  </conditionalFormatting>
  <conditionalFormatting sqref="K207">
    <cfRule type="cellIs" dxfId="103" priority="91" operator="greaterThan">
      <formula>0</formula>
    </cfRule>
  </conditionalFormatting>
  <conditionalFormatting sqref="K207">
    <cfRule type="cellIs" dxfId="102" priority="90" operator="greaterThan">
      <formula>0</formula>
    </cfRule>
  </conditionalFormatting>
  <conditionalFormatting sqref="K219">
    <cfRule type="cellIs" dxfId="99" priority="86" operator="greaterThan">
      <formula>0</formula>
    </cfRule>
  </conditionalFormatting>
  <conditionalFormatting sqref="K219">
    <cfRule type="cellIs" dxfId="98" priority="85" operator="greaterThan">
      <formula>0</formula>
    </cfRule>
  </conditionalFormatting>
  <conditionalFormatting sqref="K223">
    <cfRule type="cellIs" dxfId="97" priority="84" operator="greaterThan">
      <formula>0</formula>
    </cfRule>
  </conditionalFormatting>
  <conditionalFormatting sqref="K223">
    <cfRule type="cellIs" dxfId="96" priority="83" operator="greaterThan">
      <formula>0</formula>
    </cfRule>
  </conditionalFormatting>
  <conditionalFormatting sqref="K227">
    <cfRule type="cellIs" dxfId="94" priority="82" operator="greaterThan">
      <formula>0</formula>
    </cfRule>
  </conditionalFormatting>
  <conditionalFormatting sqref="K219">
    <cfRule type="cellIs" dxfId="93" priority="81" operator="greaterThan">
      <formula>0</formula>
    </cfRule>
  </conditionalFormatting>
  <conditionalFormatting sqref="K219">
    <cfRule type="cellIs" dxfId="92" priority="80" operator="greaterThan">
      <formula>0</formula>
    </cfRule>
  </conditionalFormatting>
  <conditionalFormatting sqref="K223">
    <cfRule type="cellIs" dxfId="91" priority="79" operator="greaterThan">
      <formula>0</formula>
    </cfRule>
  </conditionalFormatting>
  <conditionalFormatting sqref="K223">
    <cfRule type="cellIs" dxfId="90" priority="78" operator="greaterThan">
      <formula>0</formula>
    </cfRule>
  </conditionalFormatting>
  <conditionalFormatting sqref="K221">
    <cfRule type="cellIs" dxfId="89" priority="77" operator="greaterThan">
      <formula>0</formula>
    </cfRule>
  </conditionalFormatting>
  <conditionalFormatting sqref="K219">
    <cfRule type="cellIs" dxfId="88" priority="76" operator="greaterThan">
      <formula>0</formula>
    </cfRule>
  </conditionalFormatting>
  <conditionalFormatting sqref="K223">
    <cfRule type="cellIs" dxfId="87" priority="74" operator="greaterThan">
      <formula>0</formula>
    </cfRule>
  </conditionalFormatting>
  <conditionalFormatting sqref="K223">
    <cfRule type="cellIs" dxfId="86" priority="73" operator="greaterThan">
      <formula>0</formula>
    </cfRule>
  </conditionalFormatting>
  <conditionalFormatting sqref="K227">
    <cfRule type="cellIs" dxfId="85" priority="72" operator="greaterThan">
      <formula>0</formula>
    </cfRule>
  </conditionalFormatting>
  <conditionalFormatting sqref="K227">
    <cfRule type="cellIs" dxfId="84" priority="71" operator="greaterThan">
      <formula>0</formula>
    </cfRule>
  </conditionalFormatting>
  <conditionalFormatting sqref="K219">
    <cfRule type="cellIs" dxfId="83" priority="75" operator="greaterThan">
      <formula>0</formula>
    </cfRule>
  </conditionalFormatting>
  <conditionalFormatting sqref="K231">
    <cfRule type="cellIs" dxfId="82" priority="70" operator="greaterThan">
      <formula>0</formula>
    </cfRule>
  </conditionalFormatting>
  <conditionalFormatting sqref="K231">
    <cfRule type="cellIs" dxfId="81" priority="69" operator="greaterThan">
      <formula>0</formula>
    </cfRule>
  </conditionalFormatting>
  <conditionalFormatting sqref="K231">
    <cfRule type="cellIs" dxfId="80" priority="68" operator="greaterThan">
      <formula>0</formula>
    </cfRule>
  </conditionalFormatting>
  <conditionalFormatting sqref="K231">
    <cfRule type="cellIs" dxfId="79" priority="67" operator="greaterThan">
      <formula>0</formula>
    </cfRule>
  </conditionalFormatting>
  <conditionalFormatting sqref="K211">
    <cfRule type="cellIs" dxfId="78" priority="66" operator="greaterThan">
      <formula>0</formula>
    </cfRule>
  </conditionalFormatting>
  <conditionalFormatting sqref="K211">
    <cfRule type="cellIs" dxfId="77" priority="65" operator="greaterThan">
      <formula>0</formula>
    </cfRule>
  </conditionalFormatting>
  <conditionalFormatting sqref="K208">
    <cfRule type="cellIs" dxfId="76" priority="64" operator="greaterThan">
      <formula>0</formula>
    </cfRule>
  </conditionalFormatting>
  <conditionalFormatting sqref="K208">
    <cfRule type="cellIs" dxfId="75" priority="63" operator="greaterThan">
      <formula>0</formula>
    </cfRule>
  </conditionalFormatting>
  <conditionalFormatting sqref="K215">
    <cfRule type="cellIs" dxfId="74" priority="62" operator="greaterThan">
      <formula>0</formula>
    </cfRule>
  </conditionalFormatting>
  <conditionalFormatting sqref="K215">
    <cfRule type="cellIs" dxfId="73" priority="61" operator="greaterThan">
      <formula>0</formula>
    </cfRule>
  </conditionalFormatting>
  <conditionalFormatting sqref="K232">
    <cfRule type="cellIs" dxfId="72" priority="60" operator="greaterThan">
      <formula>0</formula>
    </cfRule>
  </conditionalFormatting>
  <conditionalFormatting sqref="K232">
    <cfRule type="cellIs" dxfId="71" priority="59" operator="greaterThan">
      <formula>0</formula>
    </cfRule>
  </conditionalFormatting>
  <conditionalFormatting sqref="K235">
    <cfRule type="cellIs" dxfId="70" priority="58" operator="greaterThan">
      <formula>0</formula>
    </cfRule>
  </conditionalFormatting>
  <conditionalFormatting sqref="K235">
    <cfRule type="cellIs" dxfId="69" priority="57" operator="greaterThan">
      <formula>0</formula>
    </cfRule>
  </conditionalFormatting>
  <conditionalFormatting sqref="K239">
    <cfRule type="cellIs" dxfId="68" priority="56" operator="greaterThan">
      <formula>0</formula>
    </cfRule>
  </conditionalFormatting>
  <conditionalFormatting sqref="K239">
    <cfRule type="cellIs" dxfId="67" priority="55" operator="greaterThan">
      <formula>0</formula>
    </cfRule>
  </conditionalFormatting>
  <conditionalFormatting sqref="K243">
    <cfRule type="cellIs" dxfId="66" priority="54" operator="greaterThan">
      <formula>0</formula>
    </cfRule>
  </conditionalFormatting>
  <conditionalFormatting sqref="K243">
    <cfRule type="cellIs" dxfId="65" priority="53" operator="greaterThan">
      <formula>0</formula>
    </cfRule>
  </conditionalFormatting>
  <conditionalFormatting sqref="K247">
    <cfRule type="cellIs" dxfId="64" priority="52" operator="greaterThan">
      <formula>0</formula>
    </cfRule>
  </conditionalFormatting>
  <conditionalFormatting sqref="K251">
    <cfRule type="cellIs" dxfId="63" priority="51" operator="greaterThan">
      <formula>0</formula>
    </cfRule>
  </conditionalFormatting>
  <conditionalFormatting sqref="K244">
    <cfRule type="cellIs" dxfId="62" priority="50" operator="greaterThan">
      <formula>0</formula>
    </cfRule>
  </conditionalFormatting>
  <conditionalFormatting sqref="L259">
    <cfRule type="cellIs" dxfId="61" priority="49" operator="greaterThan">
      <formula>0</formula>
    </cfRule>
  </conditionalFormatting>
  <conditionalFormatting sqref="K259">
    <cfRule type="cellIs" dxfId="60" priority="48" operator="greaterThan">
      <formula>0</formula>
    </cfRule>
  </conditionalFormatting>
  <conditionalFormatting sqref="L263">
    <cfRule type="cellIs" dxfId="59" priority="47" operator="greaterThan">
      <formula>0</formula>
    </cfRule>
  </conditionalFormatting>
  <conditionalFormatting sqref="K263">
    <cfRule type="cellIs" dxfId="58" priority="46" operator="greaterThan">
      <formula>0</formula>
    </cfRule>
  </conditionalFormatting>
  <conditionalFormatting sqref="L267">
    <cfRule type="cellIs" dxfId="57" priority="45" operator="greaterThan">
      <formula>0</formula>
    </cfRule>
  </conditionalFormatting>
  <conditionalFormatting sqref="K267">
    <cfRule type="cellIs" dxfId="56" priority="44" operator="greaterThan">
      <formula>0</formula>
    </cfRule>
  </conditionalFormatting>
  <conditionalFormatting sqref="O125:O126 O129:O130">
    <cfRule type="cellIs" dxfId="40" priority="41" operator="greaterThan">
      <formula>0</formula>
    </cfRule>
  </conditionalFormatting>
  <conditionalFormatting sqref="O113:O114 O118">
    <cfRule type="cellIs" dxfId="39" priority="40" operator="greaterThan">
      <formula>0</formula>
    </cfRule>
  </conditionalFormatting>
  <conditionalFormatting sqref="O117">
    <cfRule type="cellIs" dxfId="38" priority="39" operator="greaterThan">
      <formula>0</formula>
    </cfRule>
  </conditionalFormatting>
  <conditionalFormatting sqref="O117">
    <cfRule type="cellIs" dxfId="37" priority="38" operator="greaterThan">
      <formula>0</formula>
    </cfRule>
  </conditionalFormatting>
  <conditionalFormatting sqref="O116">
    <cfRule type="cellIs" dxfId="36" priority="37" operator="greaterThan">
      <formula>0</formula>
    </cfRule>
  </conditionalFormatting>
  <conditionalFormatting sqref="O121">
    <cfRule type="cellIs" dxfId="35" priority="36" operator="greaterThan">
      <formula>0</formula>
    </cfRule>
  </conditionalFormatting>
  <conditionalFormatting sqref="O122">
    <cfRule type="cellIs" dxfId="34" priority="35" operator="greaterThan">
      <formula>0</formula>
    </cfRule>
  </conditionalFormatting>
  <conditionalFormatting sqref="O120">
    <cfRule type="cellIs" dxfId="31" priority="32" operator="greaterThan">
      <formula>0</formula>
    </cfRule>
  </conditionalFormatting>
  <conditionalFormatting sqref="O124">
    <cfRule type="cellIs" dxfId="30" priority="31" operator="greaterThan">
      <formula>0</formula>
    </cfRule>
  </conditionalFormatting>
  <conditionalFormatting sqref="O128">
    <cfRule type="cellIs" dxfId="29" priority="30" operator="greaterThan">
      <formula>0</formula>
    </cfRule>
  </conditionalFormatting>
  <conditionalFormatting sqref="O132">
    <cfRule type="cellIs" dxfId="28" priority="29" operator="greaterThan">
      <formula>0</formula>
    </cfRule>
  </conditionalFormatting>
  <conditionalFormatting sqref="O115">
    <cfRule type="cellIs" dxfId="27" priority="28" operator="greaterThan">
      <formula>0</formula>
    </cfRule>
  </conditionalFormatting>
  <conditionalFormatting sqref="O119">
    <cfRule type="cellIs" dxfId="26" priority="27" operator="greaterThan">
      <formula>0</formula>
    </cfRule>
  </conditionalFormatting>
  <conditionalFormatting sqref="O123">
    <cfRule type="cellIs" dxfId="25" priority="26" operator="greaterThan">
      <formula>0</formula>
    </cfRule>
  </conditionalFormatting>
  <conditionalFormatting sqref="O127">
    <cfRule type="cellIs" dxfId="24" priority="25" operator="greaterThan">
      <formula>0</formula>
    </cfRule>
  </conditionalFormatting>
  <conditionalFormatting sqref="O131">
    <cfRule type="cellIs" dxfId="23" priority="24" operator="greaterThan">
      <formula>0</formula>
    </cfRule>
  </conditionalFormatting>
  <conditionalFormatting sqref="O135:O136">
    <cfRule type="cellIs" dxfId="22" priority="23" operator="greaterThan">
      <formula>0</formula>
    </cfRule>
  </conditionalFormatting>
  <conditionalFormatting sqref="O176">
    <cfRule type="cellIs" dxfId="21" priority="22" operator="greaterThan">
      <formula>0</formula>
    </cfRule>
  </conditionalFormatting>
  <conditionalFormatting sqref="O179">
    <cfRule type="cellIs" dxfId="20" priority="21" operator="greaterThan">
      <formula>0</formula>
    </cfRule>
  </conditionalFormatting>
  <conditionalFormatting sqref="K268">
    <cfRule type="cellIs" dxfId="19" priority="20" operator="greaterThan">
      <formula>0</formula>
    </cfRule>
  </conditionalFormatting>
  <conditionalFormatting sqref="K271">
    <cfRule type="cellIs" dxfId="18" priority="19" operator="greaterThan">
      <formula>0</formula>
    </cfRule>
  </conditionalFormatting>
  <conditionalFormatting sqref="K275">
    <cfRule type="cellIs" dxfId="17" priority="18" operator="greaterThan">
      <formula>0</formula>
    </cfRule>
  </conditionalFormatting>
  <conditionalFormatting sqref="K279">
    <cfRule type="cellIs" dxfId="16" priority="17" operator="greaterThan">
      <formula>0</formula>
    </cfRule>
  </conditionalFormatting>
  <conditionalFormatting sqref="K287">
    <cfRule type="cellIs" dxfId="15" priority="16" operator="greaterThan">
      <formula>0</formula>
    </cfRule>
  </conditionalFormatting>
  <conditionalFormatting sqref="K291">
    <cfRule type="cellIs" dxfId="14" priority="15" operator="greaterThan">
      <formula>0</formula>
    </cfRule>
  </conditionalFormatting>
  <conditionalFormatting sqref="K295">
    <cfRule type="cellIs" dxfId="13" priority="14" operator="greaterThan">
      <formula>0</formula>
    </cfRule>
  </conditionalFormatting>
  <conditionalFormatting sqref="K319">
    <cfRule type="cellIs" dxfId="12" priority="13" operator="greaterThan">
      <formula>0</formula>
    </cfRule>
  </conditionalFormatting>
  <conditionalFormatting sqref="K323">
    <cfRule type="cellIs" dxfId="11" priority="12" operator="greaterThan">
      <formula>0</formula>
    </cfRule>
  </conditionalFormatting>
  <conditionalFormatting sqref="K327">
    <cfRule type="cellIs" dxfId="10" priority="11" operator="greaterThan">
      <formula>0</formula>
    </cfRule>
  </conditionalFormatting>
  <conditionalFormatting sqref="K331">
    <cfRule type="cellIs" dxfId="9" priority="10" operator="greaterThan">
      <formula>0</formula>
    </cfRule>
  </conditionalFormatting>
  <conditionalFormatting sqref="K335">
    <cfRule type="cellIs" dxfId="8" priority="9" operator="greaterThan">
      <formula>0</formula>
    </cfRule>
  </conditionalFormatting>
  <conditionalFormatting sqref="K343">
    <cfRule type="cellIs" dxfId="7" priority="8" operator="greaterThan">
      <formula>0</formula>
    </cfRule>
  </conditionalFormatting>
  <conditionalFormatting sqref="K347">
    <cfRule type="cellIs" dxfId="6" priority="7" operator="greaterThan">
      <formula>0</formula>
    </cfRule>
  </conditionalFormatting>
  <conditionalFormatting sqref="K351">
    <cfRule type="cellIs" dxfId="5" priority="6" operator="greaterThan">
      <formula>0</formula>
    </cfRule>
  </conditionalFormatting>
  <conditionalFormatting sqref="K355">
    <cfRule type="cellIs" dxfId="4" priority="5" operator="greaterThan">
      <formula>0</formula>
    </cfRule>
  </conditionalFormatting>
  <conditionalFormatting sqref="K359">
    <cfRule type="cellIs" dxfId="3" priority="4" operator="greaterThan">
      <formula>0</formula>
    </cfRule>
  </conditionalFormatting>
  <conditionalFormatting sqref="K363">
    <cfRule type="cellIs" dxfId="2" priority="3" operator="greaterThan">
      <formula>0</formula>
    </cfRule>
  </conditionalFormatting>
  <conditionalFormatting sqref="K371">
    <cfRule type="cellIs" dxfId="1" priority="2" operator="greaterThan">
      <formula>0</formula>
    </cfRule>
  </conditionalFormatting>
  <conditionalFormatting sqref="K383">
    <cfRule type="cellIs" dxfId="0" priority="1" operator="greaterThan">
      <formula>0</formula>
    </cfRule>
  </conditionalFormatting>
  <printOptions horizontalCentered="1"/>
  <pageMargins left="0.16" right="0" top="0.25" bottom="0.25" header="0.3" footer="0.3"/>
  <pageSetup paperSize="9" scale="70" orientation="landscape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Z599"/>
  <sheetViews>
    <sheetView zoomScale="110" zoomScaleNormal="110" zoomScaleSheetLayoutView="85" workbookViewId="0">
      <pane xSplit="2" ySplit="6" topLeftCell="C113" activePane="bottomRight" state="frozen"/>
      <selection pane="topRight" activeCell="C1" sqref="C1"/>
      <selection pane="bottomLeft" activeCell="A7" sqref="A7"/>
      <selection pane="bottomRight" activeCell="J129" sqref="J129"/>
    </sheetView>
  </sheetViews>
  <sheetFormatPr defaultColWidth="8.85546875" defaultRowHeight="12.75" x14ac:dyDescent="0.2"/>
  <cols>
    <col min="1" max="1" width="8.5703125" style="140" customWidth="1"/>
    <col min="2" max="2" width="4.7109375" style="140" bestFit="1" customWidth="1"/>
    <col min="3" max="3" width="12.85546875" style="135" bestFit="1" customWidth="1"/>
    <col min="4" max="4" width="8.7109375" style="168" customWidth="1"/>
    <col min="5" max="5" width="14.42578125" style="135" bestFit="1" customWidth="1"/>
    <col min="6" max="6" width="14.42578125" style="135" hidden="1" customWidth="1"/>
    <col min="7" max="7" width="6.28515625" style="136" customWidth="1"/>
    <col min="8" max="8" width="8.5703125" style="170" customWidth="1"/>
    <col min="9" max="9" width="9" style="178" customWidth="1"/>
    <col min="10" max="10" width="8.140625" style="135" bestFit="1" customWidth="1"/>
    <col min="11" max="11" width="6.28515625" style="138" customWidth="1"/>
    <col min="12" max="12" width="8.5703125" style="170" customWidth="1"/>
    <col min="13" max="13" width="9.42578125" style="178" customWidth="1"/>
    <col min="14" max="14" width="13.85546875" style="135" customWidth="1"/>
    <col min="15" max="15" width="6.28515625" style="138" customWidth="1"/>
    <col min="16" max="16" width="8.5703125" style="170" customWidth="1"/>
    <col min="17" max="17" width="8" style="178" bestFit="1" customWidth="1"/>
    <col min="18" max="18" width="8.140625" style="135" bestFit="1" customWidth="1"/>
    <col min="19" max="19" width="6.28515625" style="198" bestFit="1" customWidth="1"/>
    <col min="20" max="20" width="6.28515625" style="198" customWidth="1"/>
    <col min="21" max="21" width="9.7109375" style="170" bestFit="1" customWidth="1"/>
    <col min="22" max="22" width="8" style="178" bestFit="1" customWidth="1"/>
    <col min="23" max="23" width="6" style="135" customWidth="1"/>
    <col min="24" max="24" width="6.28515625" style="198" bestFit="1" customWidth="1"/>
    <col min="25" max="25" width="9.7109375" style="170" bestFit="1" customWidth="1"/>
    <col min="26" max="16384" width="8.85546875" style="135"/>
  </cols>
  <sheetData>
    <row r="1" spans="1:26" s="143" customFormat="1" ht="25.5" x14ac:dyDescent="0.2">
      <c r="A1" s="361" t="s">
        <v>173</v>
      </c>
      <c r="B1" s="361"/>
      <c r="C1" s="361"/>
      <c r="D1" s="361"/>
      <c r="E1" s="361"/>
      <c r="F1" s="361"/>
      <c r="G1" s="361"/>
      <c r="H1" s="361"/>
      <c r="I1" s="361"/>
      <c r="J1" s="361"/>
      <c r="K1" s="361"/>
      <c r="L1" s="207">
        <v>5</v>
      </c>
      <c r="M1" s="362">
        <v>2023</v>
      </c>
      <c r="N1" s="362"/>
      <c r="O1" s="208"/>
      <c r="P1" s="207"/>
      <c r="Q1" s="209"/>
      <c r="R1" s="207"/>
      <c r="S1" s="254"/>
      <c r="T1" s="254"/>
      <c r="U1" s="207"/>
      <c r="V1" s="209"/>
      <c r="W1" s="207"/>
      <c r="X1" s="254"/>
      <c r="Y1" s="207"/>
    </row>
    <row r="2" spans="1:26" s="147" customFormat="1" ht="1.9" customHeight="1" x14ac:dyDescent="0.2">
      <c r="A2" s="144"/>
      <c r="B2" s="144"/>
      <c r="C2" s="144"/>
      <c r="D2" s="174"/>
      <c r="E2" s="144"/>
      <c r="F2" s="144"/>
      <c r="G2" s="144"/>
      <c r="H2" s="144"/>
      <c r="I2" s="176"/>
      <c r="J2" s="144"/>
      <c r="K2" s="156"/>
      <c r="L2" s="145"/>
      <c r="M2" s="176"/>
      <c r="N2" s="146"/>
      <c r="O2" s="156"/>
      <c r="P2" s="145"/>
      <c r="Q2" s="176"/>
      <c r="R2" s="145"/>
      <c r="S2" s="146"/>
      <c r="T2" s="146"/>
      <c r="U2" s="145"/>
      <c r="V2" s="176"/>
      <c r="W2" s="145"/>
      <c r="X2" s="146"/>
      <c r="Y2" s="145"/>
    </row>
    <row r="3" spans="1:26" s="141" customFormat="1" ht="12" customHeight="1" x14ac:dyDescent="0.2">
      <c r="A3" s="181"/>
      <c r="B3" s="181"/>
      <c r="C3" s="181"/>
      <c r="D3" s="182" t="s">
        <v>97</v>
      </c>
      <c r="E3" s="363" t="s">
        <v>111</v>
      </c>
      <c r="F3" s="363"/>
      <c r="G3" s="363"/>
      <c r="H3" s="364"/>
      <c r="I3" s="183" t="s">
        <v>99</v>
      </c>
      <c r="J3" s="363" t="s">
        <v>112</v>
      </c>
      <c r="K3" s="363"/>
      <c r="L3" s="364"/>
      <c r="M3" s="184" t="s">
        <v>100</v>
      </c>
      <c r="N3" s="363" t="s">
        <v>102</v>
      </c>
      <c r="O3" s="363"/>
      <c r="P3" s="363"/>
      <c r="Q3" s="185"/>
      <c r="R3" s="186"/>
      <c r="S3" s="255"/>
      <c r="T3" s="255"/>
      <c r="U3" s="187"/>
      <c r="V3" s="185"/>
      <c r="W3" s="186"/>
      <c r="X3" s="255"/>
      <c r="Y3" s="187"/>
    </row>
    <row r="4" spans="1:26" s="151" customFormat="1" ht="1.9" customHeight="1" x14ac:dyDescent="0.2">
      <c r="A4" s="142"/>
      <c r="B4" s="142"/>
      <c r="C4" s="142"/>
      <c r="D4" s="175"/>
      <c r="E4" s="142"/>
      <c r="F4" s="142"/>
      <c r="G4" s="142"/>
      <c r="H4" s="169"/>
      <c r="I4" s="177"/>
      <c r="J4" s="142"/>
      <c r="K4" s="157"/>
      <c r="L4" s="171"/>
      <c r="M4" s="177"/>
      <c r="N4" s="148"/>
      <c r="O4" s="157"/>
      <c r="P4" s="171"/>
      <c r="Q4" s="177"/>
      <c r="R4" s="149"/>
      <c r="S4" s="150"/>
      <c r="T4" s="150"/>
      <c r="U4" s="171"/>
      <c r="V4" s="177"/>
      <c r="W4" s="149"/>
      <c r="X4" s="150"/>
      <c r="Y4" s="171"/>
    </row>
    <row r="5" spans="1:26" ht="25.5" x14ac:dyDescent="0.2">
      <c r="A5" s="188" t="s">
        <v>21</v>
      </c>
      <c r="B5" s="189" t="s">
        <v>113</v>
      </c>
      <c r="C5" s="190" t="s">
        <v>110</v>
      </c>
      <c r="D5" s="365" t="s">
        <v>107</v>
      </c>
      <c r="E5" s="365"/>
      <c r="F5" s="365"/>
      <c r="G5" s="365"/>
      <c r="H5" s="365"/>
      <c r="I5" s="366" t="s">
        <v>114</v>
      </c>
      <c r="J5" s="366"/>
      <c r="K5" s="366"/>
      <c r="L5" s="366"/>
      <c r="M5" s="367" t="s">
        <v>108</v>
      </c>
      <c r="N5" s="367"/>
      <c r="O5" s="367"/>
      <c r="P5" s="367"/>
      <c r="Q5" s="368" t="s">
        <v>118</v>
      </c>
      <c r="R5" s="368"/>
      <c r="S5" s="368"/>
      <c r="T5" s="368"/>
      <c r="U5" s="368"/>
      <c r="V5" s="357" t="s">
        <v>122</v>
      </c>
      <c r="W5" s="357"/>
      <c r="X5" s="357"/>
      <c r="Y5" s="357"/>
      <c r="Z5" s="199"/>
    </row>
    <row r="6" spans="1:26" ht="18" customHeight="1" x14ac:dyDescent="0.2">
      <c r="A6" s="139" t="s">
        <v>34</v>
      </c>
      <c r="B6" s="167"/>
      <c r="C6" s="137">
        <f>SUM(C7:C756)</f>
        <v>6779000</v>
      </c>
      <c r="D6" s="162" t="s">
        <v>101</v>
      </c>
      <c r="E6" s="172" t="s">
        <v>103</v>
      </c>
      <c r="F6" s="172"/>
      <c r="G6" s="162" t="s">
        <v>106</v>
      </c>
      <c r="H6" s="163" t="s">
        <v>8</v>
      </c>
      <c r="I6" s="192" t="s">
        <v>101</v>
      </c>
      <c r="J6" s="172" t="s">
        <v>103</v>
      </c>
      <c r="K6" s="192" t="s">
        <v>106</v>
      </c>
      <c r="L6" s="193" t="s">
        <v>8</v>
      </c>
      <c r="M6" s="158" t="s">
        <v>101</v>
      </c>
      <c r="N6" s="172" t="s">
        <v>103</v>
      </c>
      <c r="O6" s="158" t="s">
        <v>106</v>
      </c>
      <c r="P6" s="154" t="s">
        <v>8</v>
      </c>
      <c r="Q6" s="160" t="s">
        <v>101</v>
      </c>
      <c r="R6" s="172" t="s">
        <v>103</v>
      </c>
      <c r="S6" s="152" t="s">
        <v>106</v>
      </c>
      <c r="T6" s="152" t="s">
        <v>144</v>
      </c>
      <c r="U6" s="153" t="s">
        <v>8</v>
      </c>
      <c r="V6" s="201" t="s">
        <v>101</v>
      </c>
      <c r="W6" s="202" t="s">
        <v>103</v>
      </c>
      <c r="X6" s="202" t="s">
        <v>106</v>
      </c>
      <c r="Y6" s="203" t="s">
        <v>8</v>
      </c>
    </row>
    <row r="7" spans="1:26" ht="16.149999999999999" hidden="1" customHeight="1" x14ac:dyDescent="0.2">
      <c r="A7" s="370">
        <f>DATE(M1,L1,1)</f>
        <v>45047</v>
      </c>
      <c r="B7" s="369" t="str">
        <f>IF(WEEKDAY(A7)=1,"CN","T"&amp;WEEKDAY(A7))</f>
        <v>T2</v>
      </c>
      <c r="C7" s="180">
        <f t="shared" ref="C7:C70" si="0">SUM(D7:U7)</f>
        <v>0</v>
      </c>
      <c r="D7" s="164" t="s">
        <v>116</v>
      </c>
      <c r="E7" s="173"/>
      <c r="F7" s="173"/>
      <c r="G7" s="166"/>
      <c r="H7" s="165"/>
      <c r="I7" s="194" t="s">
        <v>116</v>
      </c>
      <c r="J7" s="173"/>
      <c r="K7" s="196"/>
      <c r="L7" s="195"/>
      <c r="M7" s="179" t="s">
        <v>116</v>
      </c>
      <c r="N7" s="173"/>
      <c r="O7" s="159"/>
      <c r="P7" s="155"/>
      <c r="Q7" s="212" t="s">
        <v>116</v>
      </c>
      <c r="R7" s="173"/>
      <c r="S7" s="213"/>
      <c r="T7" s="213"/>
      <c r="U7" s="214"/>
      <c r="V7" s="204"/>
      <c r="W7" s="173"/>
      <c r="X7" s="206"/>
      <c r="Y7" s="205"/>
    </row>
    <row r="8" spans="1:26" ht="16.149999999999999" hidden="1" customHeight="1" x14ac:dyDescent="0.2">
      <c r="A8" s="370"/>
      <c r="B8" s="369"/>
      <c r="C8" s="180">
        <f t="shared" si="0"/>
        <v>0</v>
      </c>
      <c r="D8" s="164"/>
      <c r="E8" s="173"/>
      <c r="F8" s="173"/>
      <c r="G8" s="166"/>
      <c r="H8" s="165"/>
      <c r="I8" s="194"/>
      <c r="J8" s="173"/>
      <c r="K8" s="196"/>
      <c r="L8" s="195"/>
      <c r="M8" s="179"/>
      <c r="N8" s="173"/>
      <c r="O8" s="159"/>
      <c r="P8" s="155"/>
      <c r="Q8" s="212"/>
      <c r="R8" s="173"/>
      <c r="S8" s="213"/>
      <c r="T8" s="213"/>
      <c r="U8" s="214"/>
      <c r="V8" s="204"/>
      <c r="W8" s="173"/>
      <c r="X8" s="206"/>
      <c r="Y8" s="205"/>
    </row>
    <row r="9" spans="1:26" ht="16.149999999999999" hidden="1" customHeight="1" x14ac:dyDescent="0.2">
      <c r="A9" s="370"/>
      <c r="B9" s="369"/>
      <c r="C9" s="180">
        <f t="shared" si="0"/>
        <v>0</v>
      </c>
      <c r="D9" s="164"/>
      <c r="E9" s="173"/>
      <c r="F9" s="173"/>
      <c r="G9" s="166"/>
      <c r="H9" s="165"/>
      <c r="I9" s="194"/>
      <c r="J9" s="173"/>
      <c r="K9" s="196"/>
      <c r="L9" s="195"/>
      <c r="M9" s="179"/>
      <c r="N9" s="173"/>
      <c r="O9" s="159"/>
      <c r="P9" s="155"/>
      <c r="Q9" s="212"/>
      <c r="R9" s="173"/>
      <c r="S9" s="213"/>
      <c r="T9" s="213"/>
      <c r="U9" s="214"/>
      <c r="V9" s="204"/>
      <c r="W9" s="173"/>
      <c r="X9" s="206"/>
      <c r="Y9" s="205"/>
    </row>
    <row r="10" spans="1:26" ht="16.149999999999999" hidden="1" customHeight="1" x14ac:dyDescent="0.2">
      <c r="A10" s="370"/>
      <c r="B10" s="369"/>
      <c r="C10" s="180">
        <f t="shared" si="0"/>
        <v>0</v>
      </c>
      <c r="D10" s="164"/>
      <c r="E10" s="173"/>
      <c r="F10" s="173"/>
      <c r="G10" s="166"/>
      <c r="H10" s="165"/>
      <c r="I10" s="194"/>
      <c r="J10" s="173"/>
      <c r="K10" s="196"/>
      <c r="L10" s="195"/>
      <c r="M10" s="179"/>
      <c r="N10" s="173"/>
      <c r="O10" s="159"/>
      <c r="P10" s="155"/>
      <c r="Q10" s="212"/>
      <c r="R10" s="173"/>
      <c r="S10" s="213"/>
      <c r="T10" s="213"/>
      <c r="U10" s="214"/>
      <c r="V10" s="204"/>
      <c r="W10" s="173"/>
      <c r="X10" s="206"/>
      <c r="Y10" s="205"/>
    </row>
    <row r="11" spans="1:26" ht="16.149999999999999" hidden="1" customHeight="1" x14ac:dyDescent="0.2">
      <c r="A11" s="370">
        <f>A7+1</f>
        <v>45048</v>
      </c>
      <c r="B11" s="369" t="str">
        <f>IF(WEEKDAY(A11)=1,"CN","T"&amp;WEEKDAY(A11))</f>
        <v>T3</v>
      </c>
      <c r="C11" s="180">
        <f t="shared" si="0"/>
        <v>76000</v>
      </c>
      <c r="D11" s="164" t="s">
        <v>104</v>
      </c>
      <c r="E11" s="173"/>
      <c r="F11" s="173"/>
      <c r="G11" s="166" t="s">
        <v>99</v>
      </c>
      <c r="H11" s="165">
        <v>11000</v>
      </c>
      <c r="I11" s="194" t="s">
        <v>129</v>
      </c>
      <c r="J11" s="173"/>
      <c r="K11" s="196"/>
      <c r="L11" s="195"/>
      <c r="M11" s="179" t="s">
        <v>115</v>
      </c>
      <c r="N11" s="173" t="s">
        <v>126</v>
      </c>
      <c r="O11" s="159" t="s">
        <v>99</v>
      </c>
      <c r="P11" s="155">
        <v>35000</v>
      </c>
      <c r="Q11" s="212" t="s">
        <v>131</v>
      </c>
      <c r="R11" s="173"/>
      <c r="S11" s="213" t="s">
        <v>99</v>
      </c>
      <c r="T11" s="213"/>
      <c r="U11" s="214">
        <v>30000</v>
      </c>
      <c r="V11" s="204"/>
      <c r="W11" s="173"/>
      <c r="X11" s="206"/>
      <c r="Y11" s="205"/>
    </row>
    <row r="12" spans="1:26" ht="16.149999999999999" hidden="1" customHeight="1" x14ac:dyDescent="0.2">
      <c r="A12" s="370"/>
      <c r="B12" s="369"/>
      <c r="C12" s="180">
        <f t="shared" si="0"/>
        <v>32000</v>
      </c>
      <c r="D12" s="164" t="s">
        <v>115</v>
      </c>
      <c r="E12" s="173" t="s">
        <v>126</v>
      </c>
      <c r="F12" s="173"/>
      <c r="G12" s="166" t="s">
        <v>99</v>
      </c>
      <c r="H12" s="165">
        <v>25000</v>
      </c>
      <c r="I12" s="194"/>
      <c r="J12" s="173"/>
      <c r="K12" s="196"/>
      <c r="L12" s="195"/>
      <c r="M12" s="179"/>
      <c r="N12" s="173"/>
      <c r="O12" s="159"/>
      <c r="P12" s="155"/>
      <c r="Q12" s="212" t="s">
        <v>131</v>
      </c>
      <c r="R12" s="173"/>
      <c r="S12" s="213" t="s">
        <v>99</v>
      </c>
      <c r="T12" s="213"/>
      <c r="U12" s="214">
        <v>7000</v>
      </c>
      <c r="V12" s="204"/>
      <c r="W12" s="173"/>
      <c r="X12" s="206"/>
      <c r="Y12" s="205"/>
    </row>
    <row r="13" spans="1:26" ht="16.149999999999999" hidden="1" customHeight="1" x14ac:dyDescent="0.2">
      <c r="A13" s="370"/>
      <c r="B13" s="369"/>
      <c r="C13" s="180">
        <f t="shared" si="0"/>
        <v>0</v>
      </c>
      <c r="D13" s="164"/>
      <c r="E13" s="173"/>
      <c r="F13" s="173"/>
      <c r="G13" s="166"/>
      <c r="H13" s="165"/>
      <c r="I13" s="194"/>
      <c r="J13" s="173"/>
      <c r="K13" s="196"/>
      <c r="L13" s="195"/>
      <c r="M13" s="179"/>
      <c r="N13" s="173"/>
      <c r="O13" s="159"/>
      <c r="P13" s="155"/>
      <c r="Q13" s="212"/>
      <c r="R13" s="173"/>
      <c r="S13" s="213"/>
      <c r="T13" s="213"/>
      <c r="U13" s="214"/>
      <c r="V13" s="204"/>
      <c r="W13" s="173"/>
      <c r="X13" s="206"/>
      <c r="Y13" s="205"/>
    </row>
    <row r="14" spans="1:26" ht="16.149999999999999" hidden="1" customHeight="1" x14ac:dyDescent="0.2">
      <c r="A14" s="370"/>
      <c r="B14" s="369"/>
      <c r="C14" s="180">
        <f t="shared" si="0"/>
        <v>0</v>
      </c>
      <c r="D14" s="164"/>
      <c r="E14" s="173"/>
      <c r="F14" s="173"/>
      <c r="G14" s="166"/>
      <c r="H14" s="165"/>
      <c r="I14" s="194"/>
      <c r="J14" s="173"/>
      <c r="K14" s="196"/>
      <c r="L14" s="195"/>
      <c r="M14" s="179"/>
      <c r="N14" s="173"/>
      <c r="O14" s="159"/>
      <c r="P14" s="155"/>
      <c r="Q14" s="212"/>
      <c r="R14" s="173"/>
      <c r="S14" s="213"/>
      <c r="T14" s="213"/>
      <c r="U14" s="214"/>
      <c r="V14" s="204"/>
      <c r="W14" s="173"/>
      <c r="X14" s="206"/>
      <c r="Y14" s="205"/>
    </row>
    <row r="15" spans="1:26" ht="16.149999999999999" hidden="1" customHeight="1" x14ac:dyDescent="0.2">
      <c r="A15" s="370">
        <f>A11+1</f>
        <v>45049</v>
      </c>
      <c r="B15" s="369" t="str">
        <f>IF(WEEKDAY(A15)=1,"CN","T"&amp;WEEKDAY(A15))</f>
        <v>T4</v>
      </c>
      <c r="C15" s="180">
        <f t="shared" si="0"/>
        <v>108000</v>
      </c>
      <c r="D15" s="164" t="s">
        <v>115</v>
      </c>
      <c r="E15" s="173" t="s">
        <v>126</v>
      </c>
      <c r="F15" s="173"/>
      <c r="G15" s="166" t="s">
        <v>99</v>
      </c>
      <c r="H15" s="165">
        <v>28000</v>
      </c>
      <c r="I15" s="194" t="s">
        <v>130</v>
      </c>
      <c r="J15" s="173"/>
      <c r="K15" s="196"/>
      <c r="L15" s="195"/>
      <c r="M15" s="179" t="s">
        <v>115</v>
      </c>
      <c r="N15" s="173" t="s">
        <v>126</v>
      </c>
      <c r="O15" s="159" t="s">
        <v>99</v>
      </c>
      <c r="P15" s="155">
        <v>40000</v>
      </c>
      <c r="Q15" s="212" t="s">
        <v>131</v>
      </c>
      <c r="R15" s="173"/>
      <c r="S15" s="213" t="s">
        <v>99</v>
      </c>
      <c r="T15" s="213"/>
      <c r="U15" s="214">
        <v>40000</v>
      </c>
      <c r="V15" s="204"/>
      <c r="W15" s="173"/>
      <c r="X15" s="206"/>
      <c r="Y15" s="205"/>
    </row>
    <row r="16" spans="1:26" ht="16.149999999999999" hidden="1" customHeight="1" x14ac:dyDescent="0.2">
      <c r="A16" s="370"/>
      <c r="B16" s="369"/>
      <c r="C16" s="180">
        <f t="shared" si="0"/>
        <v>12000</v>
      </c>
      <c r="D16" s="164" t="s">
        <v>117</v>
      </c>
      <c r="E16" s="173"/>
      <c r="F16" s="173"/>
      <c r="G16" s="166" t="s">
        <v>99</v>
      </c>
      <c r="H16" s="165">
        <v>12000</v>
      </c>
      <c r="I16" s="194"/>
      <c r="J16" s="173"/>
      <c r="K16" s="196"/>
      <c r="L16" s="195"/>
      <c r="M16" s="179"/>
      <c r="N16" s="173"/>
      <c r="O16" s="159"/>
      <c r="P16" s="155"/>
      <c r="Q16" s="212"/>
      <c r="R16" s="173"/>
      <c r="S16" s="213"/>
      <c r="T16" s="213"/>
      <c r="U16" s="214"/>
      <c r="V16" s="204"/>
      <c r="W16" s="173"/>
      <c r="X16" s="206"/>
      <c r="Y16" s="205"/>
    </row>
    <row r="17" spans="1:25" ht="16.149999999999999" hidden="1" customHeight="1" x14ac:dyDescent="0.2">
      <c r="A17" s="370"/>
      <c r="B17" s="369"/>
      <c r="C17" s="180">
        <f t="shared" si="0"/>
        <v>0</v>
      </c>
      <c r="D17" s="164"/>
      <c r="E17" s="173"/>
      <c r="F17" s="173"/>
      <c r="G17" s="166"/>
      <c r="H17" s="165"/>
      <c r="I17" s="194"/>
      <c r="J17" s="173"/>
      <c r="K17" s="196"/>
      <c r="L17" s="195"/>
      <c r="M17" s="179"/>
      <c r="N17" s="173"/>
      <c r="O17" s="159"/>
      <c r="P17" s="155"/>
      <c r="Q17" s="212"/>
      <c r="R17" s="173"/>
      <c r="S17" s="213"/>
      <c r="T17" s="213"/>
      <c r="U17" s="214"/>
      <c r="V17" s="204"/>
      <c r="W17" s="173"/>
      <c r="X17" s="206"/>
      <c r="Y17" s="205"/>
    </row>
    <row r="18" spans="1:25" ht="16.149999999999999" hidden="1" customHeight="1" x14ac:dyDescent="0.2">
      <c r="A18" s="370"/>
      <c r="B18" s="369"/>
      <c r="C18" s="180">
        <f t="shared" si="0"/>
        <v>0</v>
      </c>
      <c r="D18" s="164"/>
      <c r="E18" s="173"/>
      <c r="F18" s="173"/>
      <c r="G18" s="166"/>
      <c r="H18" s="165"/>
      <c r="I18" s="194"/>
      <c r="J18" s="173"/>
      <c r="K18" s="196"/>
      <c r="L18" s="195"/>
      <c r="M18" s="179"/>
      <c r="N18" s="173"/>
      <c r="O18" s="159"/>
      <c r="P18" s="155"/>
      <c r="Q18" s="212"/>
      <c r="R18" s="173"/>
      <c r="S18" s="213"/>
      <c r="T18" s="213"/>
      <c r="U18" s="214"/>
      <c r="V18" s="204"/>
      <c r="W18" s="173"/>
      <c r="X18" s="206"/>
      <c r="Y18" s="205"/>
    </row>
    <row r="19" spans="1:25" ht="16.149999999999999" hidden="1" customHeight="1" x14ac:dyDescent="0.2">
      <c r="A19" s="370">
        <f>A15+1</f>
        <v>45050</v>
      </c>
      <c r="B19" s="369" t="str">
        <f>IF(WEEKDAY(A19)=1,"CN","T"&amp;WEEKDAY(A19))</f>
        <v>T5</v>
      </c>
      <c r="C19" s="180">
        <f t="shared" si="0"/>
        <v>31000</v>
      </c>
      <c r="D19" s="164" t="s">
        <v>117</v>
      </c>
      <c r="E19" s="173"/>
      <c r="F19" s="173"/>
      <c r="G19" s="166" t="s">
        <v>99</v>
      </c>
      <c r="H19" s="165">
        <v>20000</v>
      </c>
      <c r="I19" s="194" t="s">
        <v>130</v>
      </c>
      <c r="J19" s="173"/>
      <c r="K19" s="196"/>
      <c r="L19" s="195"/>
      <c r="M19" s="179" t="s">
        <v>115</v>
      </c>
      <c r="N19" s="173" t="s">
        <v>126</v>
      </c>
      <c r="O19" s="159" t="s">
        <v>99</v>
      </c>
      <c r="P19" s="155">
        <v>3000</v>
      </c>
      <c r="Q19" s="212" t="s">
        <v>131</v>
      </c>
      <c r="R19" s="173"/>
      <c r="S19" s="213" t="s">
        <v>99</v>
      </c>
      <c r="T19" s="213"/>
      <c r="U19" s="214">
        <v>8000</v>
      </c>
      <c r="V19" s="204"/>
      <c r="W19" s="173"/>
      <c r="X19" s="206"/>
      <c r="Y19" s="205"/>
    </row>
    <row r="20" spans="1:25" ht="16.149999999999999" hidden="1" customHeight="1" x14ac:dyDescent="0.2">
      <c r="A20" s="370"/>
      <c r="B20" s="369"/>
      <c r="C20" s="180">
        <f t="shared" si="0"/>
        <v>56000</v>
      </c>
      <c r="D20" s="164" t="s">
        <v>123</v>
      </c>
      <c r="E20" s="173" t="s">
        <v>120</v>
      </c>
      <c r="F20" s="173"/>
      <c r="G20" s="166" t="s">
        <v>97</v>
      </c>
      <c r="H20" s="165">
        <v>20000</v>
      </c>
      <c r="I20" s="194"/>
      <c r="J20" s="173"/>
      <c r="K20" s="196"/>
      <c r="L20" s="195"/>
      <c r="M20" s="179" t="s">
        <v>117</v>
      </c>
      <c r="N20" s="173"/>
      <c r="O20" s="159" t="s">
        <v>99</v>
      </c>
      <c r="P20" s="155">
        <v>23000</v>
      </c>
      <c r="Q20" s="212" t="s">
        <v>104</v>
      </c>
      <c r="R20" s="173"/>
      <c r="S20" s="213" t="s">
        <v>99</v>
      </c>
      <c r="T20" s="213"/>
      <c r="U20" s="214">
        <v>13000</v>
      </c>
      <c r="V20" s="204"/>
      <c r="W20" s="173"/>
      <c r="X20" s="206"/>
      <c r="Y20" s="205"/>
    </row>
    <row r="21" spans="1:25" ht="16.149999999999999" hidden="1" customHeight="1" x14ac:dyDescent="0.2">
      <c r="A21" s="370"/>
      <c r="B21" s="369"/>
      <c r="C21" s="180">
        <f t="shared" si="0"/>
        <v>24000</v>
      </c>
      <c r="D21" s="164"/>
      <c r="E21" s="173"/>
      <c r="F21" s="173"/>
      <c r="G21" s="166"/>
      <c r="H21" s="165"/>
      <c r="I21" s="194"/>
      <c r="J21" s="173"/>
      <c r="K21" s="196"/>
      <c r="L21" s="195"/>
      <c r="M21" s="179" t="s">
        <v>105</v>
      </c>
      <c r="N21" s="173"/>
      <c r="O21" s="159" t="s">
        <v>97</v>
      </c>
      <c r="P21" s="155">
        <v>5000</v>
      </c>
      <c r="Q21" s="212" t="s">
        <v>117</v>
      </c>
      <c r="R21" s="173"/>
      <c r="S21" s="213" t="s">
        <v>97</v>
      </c>
      <c r="T21" s="213"/>
      <c r="U21" s="214">
        <v>19000</v>
      </c>
      <c r="V21" s="204"/>
      <c r="W21" s="173"/>
      <c r="X21" s="206"/>
      <c r="Y21" s="205"/>
    </row>
    <row r="22" spans="1:25" ht="16.149999999999999" hidden="1" customHeight="1" x14ac:dyDescent="0.2">
      <c r="A22" s="370"/>
      <c r="B22" s="369"/>
      <c r="C22" s="180">
        <f t="shared" si="0"/>
        <v>8000</v>
      </c>
      <c r="D22" s="164"/>
      <c r="E22" s="173"/>
      <c r="F22" s="173"/>
      <c r="G22" s="166"/>
      <c r="H22" s="165"/>
      <c r="I22" s="194"/>
      <c r="J22" s="173"/>
      <c r="K22" s="196"/>
      <c r="L22" s="195"/>
      <c r="M22" s="179" t="s">
        <v>119</v>
      </c>
      <c r="N22" s="173"/>
      <c r="O22" s="159" t="s">
        <v>97</v>
      </c>
      <c r="P22" s="155">
        <v>8000</v>
      </c>
      <c r="Q22" s="212"/>
      <c r="R22" s="173"/>
      <c r="S22" s="213"/>
      <c r="T22" s="213"/>
      <c r="U22" s="214"/>
      <c r="V22" s="204"/>
      <c r="W22" s="173"/>
      <c r="X22" s="206"/>
      <c r="Y22" s="205"/>
    </row>
    <row r="23" spans="1:25" ht="16.149999999999999" hidden="1" customHeight="1" x14ac:dyDescent="0.2">
      <c r="A23" s="370">
        <f>A19+1</f>
        <v>45051</v>
      </c>
      <c r="B23" s="369" t="str">
        <f>IF(WEEKDAY(A23)=1,"CN","T"&amp;WEEKDAY(A23))</f>
        <v>T6</v>
      </c>
      <c r="C23" s="180">
        <f t="shared" si="0"/>
        <v>60000</v>
      </c>
      <c r="D23" s="164"/>
      <c r="E23" s="173"/>
      <c r="F23" s="173"/>
      <c r="G23" s="166"/>
      <c r="H23" s="165"/>
      <c r="I23" s="194" t="s">
        <v>130</v>
      </c>
      <c r="J23" s="173"/>
      <c r="K23" s="196"/>
      <c r="L23" s="195"/>
      <c r="M23" s="179" t="s">
        <v>123</v>
      </c>
      <c r="N23" s="173" t="s">
        <v>120</v>
      </c>
      <c r="O23" s="159" t="s">
        <v>97</v>
      </c>
      <c r="P23" s="155">
        <v>20000</v>
      </c>
      <c r="Q23" s="212" t="s">
        <v>117</v>
      </c>
      <c r="R23" s="173"/>
      <c r="S23" s="213" t="s">
        <v>99</v>
      </c>
      <c r="T23" s="213"/>
      <c r="U23" s="214">
        <v>40000</v>
      </c>
      <c r="V23" s="204"/>
      <c r="W23" s="173"/>
      <c r="X23" s="206"/>
      <c r="Y23" s="205"/>
    </row>
    <row r="24" spans="1:25" ht="16.149999999999999" hidden="1" customHeight="1" x14ac:dyDescent="0.2">
      <c r="A24" s="370"/>
      <c r="B24" s="369"/>
      <c r="C24" s="180">
        <f t="shared" si="0"/>
        <v>63000</v>
      </c>
      <c r="D24" s="164" t="s">
        <v>123</v>
      </c>
      <c r="E24" s="173" t="s">
        <v>120</v>
      </c>
      <c r="F24" s="173"/>
      <c r="G24" s="166" t="s">
        <v>97</v>
      </c>
      <c r="H24" s="165">
        <v>40000</v>
      </c>
      <c r="I24" s="194"/>
      <c r="J24" s="173"/>
      <c r="K24" s="196"/>
      <c r="L24" s="195"/>
      <c r="M24" s="179" t="s">
        <v>124</v>
      </c>
      <c r="N24" s="173" t="s">
        <v>132</v>
      </c>
      <c r="O24" s="159" t="s">
        <v>99</v>
      </c>
      <c r="P24" s="155">
        <v>23000</v>
      </c>
      <c r="Q24" s="212"/>
      <c r="R24" s="173"/>
      <c r="S24" s="213"/>
      <c r="T24" s="213"/>
      <c r="U24" s="214"/>
      <c r="V24" s="204"/>
      <c r="W24" s="173"/>
      <c r="X24" s="206"/>
      <c r="Y24" s="205"/>
    </row>
    <row r="25" spans="1:25" ht="16.149999999999999" hidden="1" customHeight="1" x14ac:dyDescent="0.2">
      <c r="A25" s="370"/>
      <c r="B25" s="369"/>
      <c r="C25" s="180">
        <f t="shared" si="0"/>
        <v>0</v>
      </c>
      <c r="D25" s="164"/>
      <c r="E25" s="173"/>
      <c r="F25" s="173"/>
      <c r="G25" s="166"/>
      <c r="H25" s="165"/>
      <c r="I25" s="194"/>
      <c r="J25" s="173"/>
      <c r="K25" s="196"/>
      <c r="L25" s="195"/>
      <c r="M25" s="179"/>
      <c r="N25" s="173"/>
      <c r="O25" s="159"/>
      <c r="P25" s="155"/>
      <c r="Q25" s="212"/>
      <c r="R25" s="173"/>
      <c r="S25" s="213"/>
      <c r="T25" s="213"/>
      <c r="U25" s="214"/>
      <c r="V25" s="204"/>
      <c r="W25" s="173"/>
      <c r="X25" s="206"/>
      <c r="Y25" s="205"/>
    </row>
    <row r="26" spans="1:25" ht="16.149999999999999" hidden="1" customHeight="1" x14ac:dyDescent="0.2">
      <c r="A26" s="370"/>
      <c r="B26" s="369"/>
      <c r="C26" s="180">
        <f t="shared" si="0"/>
        <v>0</v>
      </c>
      <c r="D26" s="164"/>
      <c r="E26" s="173"/>
      <c r="F26" s="173"/>
      <c r="G26" s="166"/>
      <c r="H26" s="165"/>
      <c r="I26" s="194"/>
      <c r="J26" s="173"/>
      <c r="K26" s="196"/>
      <c r="L26" s="195"/>
      <c r="M26" s="179"/>
      <c r="N26" s="173"/>
      <c r="O26" s="159"/>
      <c r="P26" s="155"/>
      <c r="Q26" s="212"/>
      <c r="R26" s="173"/>
      <c r="S26" s="213"/>
      <c r="T26" s="213"/>
      <c r="U26" s="214"/>
      <c r="V26" s="204"/>
      <c r="W26" s="173"/>
      <c r="X26" s="206"/>
      <c r="Y26" s="205"/>
    </row>
    <row r="27" spans="1:25" ht="16.149999999999999" hidden="1" customHeight="1" x14ac:dyDescent="0.2">
      <c r="A27" s="370">
        <f>A23+1</f>
        <v>45052</v>
      </c>
      <c r="B27" s="369" t="str">
        <f>IF(WEEKDAY(A27)=1,"CN","T"&amp;WEEKDAY(A27))</f>
        <v>T7</v>
      </c>
      <c r="C27" s="180">
        <f t="shared" si="0"/>
        <v>44000</v>
      </c>
      <c r="D27" s="164" t="s">
        <v>123</v>
      </c>
      <c r="E27" s="173" t="s">
        <v>120</v>
      </c>
      <c r="F27" s="173"/>
      <c r="G27" s="166" t="s">
        <v>97</v>
      </c>
      <c r="H27" s="165">
        <v>20000</v>
      </c>
      <c r="I27" s="194" t="s">
        <v>130</v>
      </c>
      <c r="J27" s="173"/>
      <c r="K27" s="196"/>
      <c r="L27" s="195"/>
      <c r="M27" s="179" t="s">
        <v>124</v>
      </c>
      <c r="N27" s="173" t="s">
        <v>132</v>
      </c>
      <c r="O27" s="159" t="s">
        <v>99</v>
      </c>
      <c r="P27" s="155">
        <v>4000</v>
      </c>
      <c r="Q27" s="212" t="s">
        <v>117</v>
      </c>
      <c r="R27" s="173"/>
      <c r="S27" s="213" t="s">
        <v>99</v>
      </c>
      <c r="T27" s="213"/>
      <c r="U27" s="214">
        <v>20000</v>
      </c>
      <c r="V27" s="204"/>
      <c r="W27" s="173"/>
      <c r="X27" s="206"/>
      <c r="Y27" s="205"/>
    </row>
    <row r="28" spans="1:25" ht="16.149999999999999" hidden="1" customHeight="1" x14ac:dyDescent="0.2">
      <c r="A28" s="370"/>
      <c r="B28" s="369"/>
      <c r="C28" s="180">
        <f t="shared" si="0"/>
        <v>67000</v>
      </c>
      <c r="D28" s="164" t="s">
        <v>115</v>
      </c>
      <c r="E28" s="173" t="s">
        <v>126</v>
      </c>
      <c r="F28" s="173"/>
      <c r="G28" s="166" t="s">
        <v>99</v>
      </c>
      <c r="H28" s="165">
        <v>20000</v>
      </c>
      <c r="I28" s="194"/>
      <c r="J28" s="173"/>
      <c r="K28" s="196"/>
      <c r="L28" s="195"/>
      <c r="M28" s="179" t="s">
        <v>124</v>
      </c>
      <c r="N28" s="173" t="s">
        <v>133</v>
      </c>
      <c r="O28" s="159" t="s">
        <v>99</v>
      </c>
      <c r="P28" s="155">
        <v>27000</v>
      </c>
      <c r="Q28" s="212" t="s">
        <v>115</v>
      </c>
      <c r="R28" s="173" t="s">
        <v>126</v>
      </c>
      <c r="S28" s="213" t="s">
        <v>99</v>
      </c>
      <c r="T28" s="213"/>
      <c r="U28" s="214">
        <v>20000</v>
      </c>
      <c r="V28" s="204"/>
      <c r="W28" s="173"/>
      <c r="X28" s="206"/>
      <c r="Y28" s="205"/>
    </row>
    <row r="29" spans="1:25" ht="16.149999999999999" hidden="1" customHeight="1" x14ac:dyDescent="0.2">
      <c r="A29" s="370"/>
      <c r="B29" s="369"/>
      <c r="C29" s="180">
        <f t="shared" si="0"/>
        <v>9000</v>
      </c>
      <c r="D29" s="164"/>
      <c r="E29" s="173"/>
      <c r="F29" s="173"/>
      <c r="G29" s="166"/>
      <c r="H29" s="165"/>
      <c r="I29" s="194"/>
      <c r="J29" s="173"/>
      <c r="K29" s="196"/>
      <c r="L29" s="195"/>
      <c r="M29" s="179" t="s">
        <v>115</v>
      </c>
      <c r="N29" s="173" t="s">
        <v>127</v>
      </c>
      <c r="O29" s="159" t="s">
        <v>99</v>
      </c>
      <c r="P29" s="155">
        <v>9000</v>
      </c>
      <c r="Q29" s="212"/>
      <c r="R29" s="173"/>
      <c r="S29" s="213"/>
      <c r="T29" s="213"/>
      <c r="U29" s="214"/>
      <c r="V29" s="204"/>
      <c r="W29" s="173"/>
      <c r="X29" s="206"/>
      <c r="Y29" s="205"/>
    </row>
    <row r="30" spans="1:25" ht="16.149999999999999" hidden="1" customHeight="1" x14ac:dyDescent="0.2">
      <c r="A30" s="370"/>
      <c r="B30" s="369"/>
      <c r="C30" s="180">
        <f t="shared" si="0"/>
        <v>0</v>
      </c>
      <c r="D30" s="164"/>
      <c r="E30" s="173"/>
      <c r="F30" s="173"/>
      <c r="G30" s="166"/>
      <c r="H30" s="165"/>
      <c r="I30" s="194"/>
      <c r="J30" s="173"/>
      <c r="K30" s="196"/>
      <c r="L30" s="195"/>
      <c r="M30" s="179"/>
      <c r="N30" s="173"/>
      <c r="O30" s="159"/>
      <c r="P30" s="155"/>
      <c r="Q30" s="212"/>
      <c r="R30" s="173"/>
      <c r="S30" s="213"/>
      <c r="T30" s="213"/>
      <c r="U30" s="214"/>
      <c r="V30" s="204"/>
      <c r="W30" s="173"/>
      <c r="X30" s="206"/>
      <c r="Y30" s="205"/>
    </row>
    <row r="31" spans="1:25" ht="16.149999999999999" hidden="1" customHeight="1" x14ac:dyDescent="0.2">
      <c r="A31" s="370">
        <f>A27+1</f>
        <v>45053</v>
      </c>
      <c r="B31" s="369" t="str">
        <f>IF(WEEKDAY(A31)=1,"CN","T"&amp;WEEKDAY(A31))</f>
        <v>CN</v>
      </c>
      <c r="C31" s="180">
        <f t="shared" si="0"/>
        <v>78000</v>
      </c>
      <c r="D31" s="164" t="s">
        <v>125</v>
      </c>
      <c r="E31" s="173" t="s">
        <v>135</v>
      </c>
      <c r="F31" s="173"/>
      <c r="G31" s="166" t="s">
        <v>99</v>
      </c>
      <c r="H31" s="165">
        <v>38000</v>
      </c>
      <c r="I31" s="194"/>
      <c r="J31" s="173"/>
      <c r="K31" s="196"/>
      <c r="L31" s="195"/>
      <c r="M31" s="179" t="s">
        <v>115</v>
      </c>
      <c r="N31" s="173" t="s">
        <v>127</v>
      </c>
      <c r="O31" s="159" t="s">
        <v>99</v>
      </c>
      <c r="P31" s="155">
        <v>40000</v>
      </c>
      <c r="Q31" s="212"/>
      <c r="R31" s="173"/>
      <c r="S31" s="213"/>
      <c r="T31" s="213"/>
      <c r="U31" s="214"/>
      <c r="V31" s="204"/>
      <c r="W31" s="173"/>
      <c r="X31" s="206"/>
      <c r="Y31" s="205"/>
    </row>
    <row r="32" spans="1:25" ht="16.149999999999999" hidden="1" customHeight="1" x14ac:dyDescent="0.2">
      <c r="A32" s="370"/>
      <c r="B32" s="369"/>
      <c r="C32" s="180">
        <f t="shared" si="0"/>
        <v>0</v>
      </c>
      <c r="D32" s="164"/>
      <c r="E32" s="173"/>
      <c r="F32" s="173"/>
      <c r="G32" s="166"/>
      <c r="H32" s="165"/>
      <c r="I32" s="194"/>
      <c r="J32" s="173"/>
      <c r="K32" s="196"/>
      <c r="L32" s="195"/>
      <c r="M32" s="179"/>
      <c r="N32" s="173"/>
      <c r="O32" s="159"/>
      <c r="P32" s="155"/>
      <c r="Q32" s="212"/>
      <c r="R32" s="173"/>
      <c r="S32" s="213"/>
      <c r="T32" s="213"/>
      <c r="U32" s="214"/>
      <c r="V32" s="204"/>
      <c r="W32" s="173"/>
      <c r="X32" s="206"/>
      <c r="Y32" s="205"/>
    </row>
    <row r="33" spans="1:25" ht="16.149999999999999" hidden="1" customHeight="1" x14ac:dyDescent="0.2">
      <c r="A33" s="370"/>
      <c r="B33" s="369"/>
      <c r="C33" s="180">
        <f t="shared" si="0"/>
        <v>0</v>
      </c>
      <c r="D33" s="164"/>
      <c r="E33" s="173"/>
      <c r="F33" s="173"/>
      <c r="G33" s="166"/>
      <c r="H33" s="165"/>
      <c r="I33" s="194"/>
      <c r="J33" s="173"/>
      <c r="K33" s="196"/>
      <c r="L33" s="195"/>
      <c r="M33" s="179"/>
      <c r="N33" s="173"/>
      <c r="O33" s="159"/>
      <c r="P33" s="155"/>
      <c r="Q33" s="212"/>
      <c r="R33" s="173"/>
      <c r="S33" s="213"/>
      <c r="T33" s="213"/>
      <c r="U33" s="214"/>
      <c r="V33" s="204"/>
      <c r="W33" s="173"/>
      <c r="X33" s="206"/>
      <c r="Y33" s="205"/>
    </row>
    <row r="34" spans="1:25" ht="16.149999999999999" hidden="1" customHeight="1" x14ac:dyDescent="0.2">
      <c r="A34" s="370"/>
      <c r="B34" s="369"/>
      <c r="C34" s="180">
        <f t="shared" si="0"/>
        <v>0</v>
      </c>
      <c r="D34" s="164"/>
      <c r="E34" s="173"/>
      <c r="F34" s="173"/>
      <c r="G34" s="166"/>
      <c r="H34" s="165"/>
      <c r="I34" s="194"/>
      <c r="J34" s="173"/>
      <c r="K34" s="196"/>
      <c r="L34" s="195"/>
      <c r="M34" s="179"/>
      <c r="N34" s="173"/>
      <c r="O34" s="159"/>
      <c r="P34" s="155"/>
      <c r="Q34" s="212"/>
      <c r="R34" s="173"/>
      <c r="S34" s="213"/>
      <c r="T34" s="213"/>
      <c r="U34" s="214"/>
      <c r="V34" s="204"/>
      <c r="W34" s="173"/>
      <c r="X34" s="206"/>
      <c r="Y34" s="205"/>
    </row>
    <row r="35" spans="1:25" ht="16.149999999999999" hidden="1" customHeight="1" x14ac:dyDescent="0.2">
      <c r="A35" s="370">
        <f>A31+1</f>
        <v>45054</v>
      </c>
      <c r="B35" s="369" t="str">
        <f>IF(WEEKDAY(A35)=1,"CN","T"&amp;WEEKDAY(A35))</f>
        <v>T2</v>
      </c>
      <c r="C35" s="180">
        <f t="shared" si="0"/>
        <v>78000</v>
      </c>
      <c r="D35" s="164" t="s">
        <v>115</v>
      </c>
      <c r="E35" s="173" t="s">
        <v>127</v>
      </c>
      <c r="F35" s="173"/>
      <c r="G35" s="166" t="s">
        <v>99</v>
      </c>
      <c r="H35" s="165">
        <v>38000</v>
      </c>
      <c r="I35" s="194"/>
      <c r="J35" s="173"/>
      <c r="K35" s="196"/>
      <c r="L35" s="195"/>
      <c r="M35" s="179" t="s">
        <v>115</v>
      </c>
      <c r="N35" s="173" t="s">
        <v>127</v>
      </c>
      <c r="O35" s="159"/>
      <c r="P35" s="155">
        <v>40000</v>
      </c>
      <c r="Q35" s="212"/>
      <c r="R35" s="173"/>
      <c r="S35" s="213"/>
      <c r="T35" s="213"/>
      <c r="U35" s="214"/>
      <c r="V35" s="204"/>
      <c r="W35" s="173"/>
      <c r="X35" s="206"/>
      <c r="Y35" s="205"/>
    </row>
    <row r="36" spans="1:25" ht="16.149999999999999" hidden="1" customHeight="1" x14ac:dyDescent="0.2">
      <c r="A36" s="370"/>
      <c r="B36" s="369"/>
      <c r="C36" s="180">
        <f t="shared" si="0"/>
        <v>0</v>
      </c>
      <c r="D36" s="164"/>
      <c r="E36" s="173"/>
      <c r="F36" s="173"/>
      <c r="G36" s="166"/>
      <c r="H36" s="165"/>
      <c r="I36" s="194"/>
      <c r="J36" s="173"/>
      <c r="K36" s="196"/>
      <c r="L36" s="195"/>
      <c r="M36" s="179"/>
      <c r="N36" s="173"/>
      <c r="O36" s="159"/>
      <c r="P36" s="155"/>
      <c r="Q36" s="212"/>
      <c r="R36" s="173"/>
      <c r="S36" s="213"/>
      <c r="T36" s="213"/>
      <c r="U36" s="214"/>
      <c r="V36" s="204"/>
      <c r="W36" s="173"/>
      <c r="X36" s="206"/>
      <c r="Y36" s="205"/>
    </row>
    <row r="37" spans="1:25" ht="16.149999999999999" hidden="1" customHeight="1" x14ac:dyDescent="0.2">
      <c r="A37" s="370"/>
      <c r="B37" s="369"/>
      <c r="C37" s="180">
        <f t="shared" si="0"/>
        <v>0</v>
      </c>
      <c r="D37" s="164"/>
      <c r="E37" s="173"/>
      <c r="F37" s="173"/>
      <c r="G37" s="166"/>
      <c r="H37" s="165"/>
      <c r="I37" s="194"/>
      <c r="J37" s="173"/>
      <c r="K37" s="196"/>
      <c r="L37" s="195"/>
      <c r="M37" s="179"/>
      <c r="N37" s="173"/>
      <c r="O37" s="159"/>
      <c r="P37" s="155"/>
      <c r="Q37" s="212"/>
      <c r="R37" s="173"/>
      <c r="S37" s="213"/>
      <c r="T37" s="213"/>
      <c r="U37" s="214"/>
      <c r="V37" s="204"/>
      <c r="W37" s="173"/>
      <c r="X37" s="206"/>
      <c r="Y37" s="205"/>
    </row>
    <row r="38" spans="1:25" ht="16.149999999999999" hidden="1" customHeight="1" x14ac:dyDescent="0.2">
      <c r="A38" s="370"/>
      <c r="B38" s="369"/>
      <c r="C38" s="180">
        <f t="shared" si="0"/>
        <v>0</v>
      </c>
      <c r="D38" s="164"/>
      <c r="E38" s="173"/>
      <c r="F38" s="173"/>
      <c r="G38" s="166"/>
      <c r="H38" s="165"/>
      <c r="I38" s="194"/>
      <c r="J38" s="173"/>
      <c r="K38" s="196"/>
      <c r="L38" s="195"/>
      <c r="M38" s="179"/>
      <c r="N38" s="173"/>
      <c r="O38" s="159"/>
      <c r="P38" s="155"/>
      <c r="Q38" s="212"/>
      <c r="R38" s="173"/>
      <c r="S38" s="213"/>
      <c r="T38" s="213"/>
      <c r="U38" s="214"/>
      <c r="V38" s="204"/>
      <c r="W38" s="173"/>
      <c r="X38" s="206"/>
      <c r="Y38" s="205"/>
    </row>
    <row r="39" spans="1:25" hidden="1" x14ac:dyDescent="0.2">
      <c r="A39" s="370">
        <f>A35+1</f>
        <v>45055</v>
      </c>
      <c r="B39" s="369" t="str">
        <f>IF(WEEKDAY(A39)=1,"CN","T"&amp;WEEKDAY(A39))</f>
        <v>T3</v>
      </c>
      <c r="C39" s="180">
        <f t="shared" si="0"/>
        <v>40000</v>
      </c>
      <c r="D39" s="164" t="s">
        <v>115</v>
      </c>
      <c r="E39" s="173" t="s">
        <v>127</v>
      </c>
      <c r="F39" s="173"/>
      <c r="G39" s="166" t="s">
        <v>99</v>
      </c>
      <c r="H39" s="165">
        <v>20000</v>
      </c>
      <c r="I39" s="194"/>
      <c r="J39" s="173"/>
      <c r="K39" s="196"/>
      <c r="L39" s="195"/>
      <c r="M39" s="179" t="s">
        <v>115</v>
      </c>
      <c r="N39" s="173" t="s">
        <v>127</v>
      </c>
      <c r="O39" s="159"/>
      <c r="P39" s="155">
        <v>20000</v>
      </c>
      <c r="Q39" s="212"/>
      <c r="R39" s="173"/>
      <c r="S39" s="213"/>
      <c r="T39" s="213"/>
      <c r="U39" s="214"/>
      <c r="V39" s="204"/>
      <c r="W39" s="173"/>
      <c r="X39" s="206"/>
      <c r="Y39" s="205"/>
    </row>
    <row r="40" spans="1:25" hidden="1" x14ac:dyDescent="0.2">
      <c r="A40" s="370"/>
      <c r="B40" s="369"/>
      <c r="C40" s="180">
        <f t="shared" si="0"/>
        <v>30000</v>
      </c>
      <c r="D40" s="164" t="s">
        <v>125</v>
      </c>
      <c r="E40" s="173" t="s">
        <v>135</v>
      </c>
      <c r="F40" s="173"/>
      <c r="G40" s="166" t="s">
        <v>99</v>
      </c>
      <c r="H40" s="165">
        <v>15000</v>
      </c>
      <c r="I40" s="194"/>
      <c r="J40" s="173"/>
      <c r="K40" s="196"/>
      <c r="L40" s="195"/>
      <c r="M40" s="179" t="s">
        <v>124</v>
      </c>
      <c r="N40" s="173" t="s">
        <v>134</v>
      </c>
      <c r="O40" s="159" t="s">
        <v>99</v>
      </c>
      <c r="P40" s="155">
        <v>15000</v>
      </c>
      <c r="Q40" s="212"/>
      <c r="R40" s="173"/>
      <c r="S40" s="213"/>
      <c r="T40" s="213"/>
      <c r="U40" s="214"/>
      <c r="V40" s="204"/>
      <c r="W40" s="173"/>
      <c r="X40" s="206"/>
      <c r="Y40" s="205"/>
    </row>
    <row r="41" spans="1:25" hidden="1" x14ac:dyDescent="0.2">
      <c r="A41" s="370"/>
      <c r="B41" s="369"/>
      <c r="C41" s="180">
        <f t="shared" si="0"/>
        <v>0</v>
      </c>
      <c r="D41" s="164"/>
      <c r="E41" s="173"/>
      <c r="F41" s="173"/>
      <c r="G41" s="166"/>
      <c r="H41" s="165"/>
      <c r="I41" s="194"/>
      <c r="J41" s="173"/>
      <c r="K41" s="196"/>
      <c r="L41" s="195"/>
      <c r="M41" s="179"/>
      <c r="N41" s="173"/>
      <c r="O41" s="159"/>
      <c r="P41" s="155"/>
      <c r="Q41" s="212"/>
      <c r="R41" s="173"/>
      <c r="S41" s="213"/>
      <c r="T41" s="213"/>
      <c r="U41" s="214"/>
      <c r="V41" s="204"/>
      <c r="W41" s="173"/>
      <c r="X41" s="206"/>
      <c r="Y41" s="205"/>
    </row>
    <row r="42" spans="1:25" hidden="1" x14ac:dyDescent="0.2">
      <c r="A42" s="370"/>
      <c r="B42" s="369"/>
      <c r="C42" s="180">
        <f t="shared" si="0"/>
        <v>0</v>
      </c>
      <c r="D42" s="164"/>
      <c r="E42" s="173"/>
      <c r="F42" s="173"/>
      <c r="G42" s="166"/>
      <c r="H42" s="165"/>
      <c r="I42" s="194"/>
      <c r="J42" s="173"/>
      <c r="K42" s="196"/>
      <c r="L42" s="195"/>
      <c r="M42" s="179"/>
      <c r="N42" s="173"/>
      <c r="O42" s="159"/>
      <c r="P42" s="155"/>
      <c r="Q42" s="212"/>
      <c r="R42" s="173"/>
      <c r="S42" s="213"/>
      <c r="T42" s="213"/>
      <c r="U42" s="214"/>
      <c r="V42" s="204"/>
      <c r="W42" s="173"/>
      <c r="X42" s="206"/>
      <c r="Y42" s="205"/>
    </row>
    <row r="43" spans="1:25" hidden="1" x14ac:dyDescent="0.2">
      <c r="A43" s="370">
        <f>A39+1</f>
        <v>45056</v>
      </c>
      <c r="B43" s="369" t="str">
        <f>IF(WEEKDAY(A43)=1,"CN","T"&amp;WEEKDAY(A43))</f>
        <v>T4</v>
      </c>
      <c r="C43" s="180">
        <f t="shared" si="0"/>
        <v>61000</v>
      </c>
      <c r="D43" s="164"/>
      <c r="E43" s="173"/>
      <c r="F43" s="173"/>
      <c r="G43" s="166"/>
      <c r="H43" s="165"/>
      <c r="I43" s="219" t="s">
        <v>138</v>
      </c>
      <c r="J43" s="220"/>
      <c r="K43" s="218" t="s">
        <v>97</v>
      </c>
      <c r="L43" s="221"/>
      <c r="M43" s="179" t="s">
        <v>124</v>
      </c>
      <c r="N43" s="173" t="s">
        <v>134</v>
      </c>
      <c r="O43" s="159" t="s">
        <v>99</v>
      </c>
      <c r="P43" s="155">
        <v>40000</v>
      </c>
      <c r="Q43" s="219" t="s">
        <v>137</v>
      </c>
      <c r="R43" s="220"/>
      <c r="S43" s="218" t="s">
        <v>97</v>
      </c>
      <c r="T43" s="218"/>
      <c r="U43" s="217">
        <f>1750*12</f>
        <v>21000</v>
      </c>
      <c r="V43" s="204"/>
      <c r="W43" s="173"/>
      <c r="X43" s="206"/>
      <c r="Y43" s="205"/>
    </row>
    <row r="44" spans="1:25" hidden="1" x14ac:dyDescent="0.2">
      <c r="A44" s="370"/>
      <c r="B44" s="369"/>
      <c r="C44" s="180">
        <f t="shared" si="0"/>
        <v>33250</v>
      </c>
      <c r="D44" s="164"/>
      <c r="E44" s="173"/>
      <c r="F44" s="173"/>
      <c r="G44" s="166"/>
      <c r="H44" s="165"/>
      <c r="I44" s="219"/>
      <c r="J44" s="220"/>
      <c r="K44" s="218"/>
      <c r="L44" s="221">
        <f>1750*19</f>
        <v>33250</v>
      </c>
      <c r="M44" s="179"/>
      <c r="N44" s="173"/>
      <c r="O44" s="159"/>
      <c r="P44" s="155"/>
      <c r="Q44" s="219"/>
      <c r="R44" s="220"/>
      <c r="S44" s="218"/>
      <c r="T44" s="218"/>
      <c r="U44" s="221"/>
      <c r="V44" s="204"/>
      <c r="W44" s="173"/>
      <c r="X44" s="206"/>
      <c r="Y44" s="205"/>
    </row>
    <row r="45" spans="1:25" hidden="1" x14ac:dyDescent="0.2">
      <c r="A45" s="370"/>
      <c r="B45" s="369"/>
      <c r="C45" s="180">
        <f t="shared" si="0"/>
        <v>0</v>
      </c>
      <c r="D45" s="164"/>
      <c r="E45" s="173"/>
      <c r="F45" s="173"/>
      <c r="G45" s="166"/>
      <c r="H45" s="165"/>
      <c r="I45" s="219"/>
      <c r="J45" s="220"/>
      <c r="K45" s="218"/>
      <c r="L45" s="221"/>
      <c r="M45" s="179"/>
      <c r="N45" s="173"/>
      <c r="O45" s="159"/>
      <c r="P45" s="155"/>
      <c r="Q45" s="219"/>
      <c r="R45" s="220"/>
      <c r="S45" s="218"/>
      <c r="T45" s="218"/>
      <c r="U45" s="221"/>
      <c r="V45" s="204"/>
      <c r="W45" s="173"/>
      <c r="X45" s="206"/>
      <c r="Y45" s="205"/>
    </row>
    <row r="46" spans="1:25" hidden="1" x14ac:dyDescent="0.2">
      <c r="A46" s="370"/>
      <c r="B46" s="369"/>
      <c r="C46" s="180">
        <f t="shared" si="0"/>
        <v>0</v>
      </c>
      <c r="D46" s="164"/>
      <c r="E46" s="173"/>
      <c r="F46" s="173"/>
      <c r="G46" s="166"/>
      <c r="H46" s="165"/>
      <c r="I46" s="219"/>
      <c r="J46" s="220"/>
      <c r="K46" s="218"/>
      <c r="L46" s="221"/>
      <c r="M46" s="179"/>
      <c r="N46" s="173"/>
      <c r="O46" s="159"/>
      <c r="P46" s="155"/>
      <c r="Q46" s="219"/>
      <c r="R46" s="220"/>
      <c r="S46" s="218"/>
      <c r="T46" s="218"/>
      <c r="U46" s="221"/>
      <c r="V46" s="204"/>
      <c r="W46" s="173"/>
      <c r="X46" s="206"/>
      <c r="Y46" s="205"/>
    </row>
    <row r="47" spans="1:25" x14ac:dyDescent="0.2">
      <c r="A47" s="370">
        <f>A43+1</f>
        <v>45057</v>
      </c>
      <c r="B47" s="369" t="str">
        <f>IF(WEEKDAY(A47)=1,"CN","T"&amp;WEEKDAY(A47))</f>
        <v>T5</v>
      </c>
      <c r="C47" s="180">
        <f t="shared" si="0"/>
        <v>40750</v>
      </c>
      <c r="D47" s="222" t="s">
        <v>125</v>
      </c>
      <c r="E47" s="220"/>
      <c r="F47" s="220"/>
      <c r="G47" s="218"/>
      <c r="H47" s="221">
        <v>28000</v>
      </c>
      <c r="I47" s="219" t="s">
        <v>138</v>
      </c>
      <c r="J47" s="220"/>
      <c r="K47" s="218"/>
      <c r="L47" s="221">
        <v>2750</v>
      </c>
      <c r="M47" s="348" t="s">
        <v>196</v>
      </c>
      <c r="N47" s="349"/>
      <c r="O47" s="349"/>
      <c r="P47" s="350"/>
      <c r="Q47" s="219" t="s">
        <v>137</v>
      </c>
      <c r="R47" s="220"/>
      <c r="S47" s="218"/>
      <c r="T47" s="218"/>
      <c r="U47" s="221">
        <v>10000</v>
      </c>
      <c r="V47" s="204"/>
      <c r="W47" s="173"/>
      <c r="X47" s="206"/>
      <c r="Y47" s="205"/>
    </row>
    <row r="48" spans="1:25" x14ac:dyDescent="0.2">
      <c r="A48" s="370"/>
      <c r="B48" s="369"/>
      <c r="C48" s="180">
        <f t="shared" si="0"/>
        <v>39000</v>
      </c>
      <c r="D48" s="222" t="s">
        <v>147</v>
      </c>
      <c r="E48" s="220"/>
      <c r="F48" s="220"/>
      <c r="G48" s="218"/>
      <c r="H48" s="221">
        <v>8000</v>
      </c>
      <c r="I48" s="219" t="s">
        <v>137</v>
      </c>
      <c r="J48" s="220"/>
      <c r="K48" s="218"/>
      <c r="L48" s="221">
        <v>27000</v>
      </c>
      <c r="M48" s="351"/>
      <c r="N48" s="352"/>
      <c r="O48" s="352"/>
      <c r="P48" s="353"/>
      <c r="Q48" s="219" t="s">
        <v>189</v>
      </c>
      <c r="R48" s="220" t="s">
        <v>187</v>
      </c>
      <c r="S48" s="218"/>
      <c r="T48" s="218"/>
      <c r="U48" s="221">
        <v>4000</v>
      </c>
      <c r="V48" s="204"/>
      <c r="W48" s="173"/>
      <c r="X48" s="206"/>
      <c r="Y48" s="205"/>
    </row>
    <row r="49" spans="1:25" x14ac:dyDescent="0.2">
      <c r="A49" s="370"/>
      <c r="B49" s="369"/>
      <c r="C49" s="180">
        <f t="shared" si="0"/>
        <v>9000</v>
      </c>
      <c r="D49" s="222"/>
      <c r="E49" s="220"/>
      <c r="F49" s="220"/>
      <c r="G49" s="218"/>
      <c r="H49" s="221"/>
      <c r="I49" s="219" t="s">
        <v>117</v>
      </c>
      <c r="J49" s="220"/>
      <c r="K49" s="218"/>
      <c r="L49" s="221">
        <v>9000</v>
      </c>
      <c r="M49" s="351"/>
      <c r="N49" s="352"/>
      <c r="O49" s="352"/>
      <c r="P49" s="353"/>
      <c r="Q49" s="219"/>
      <c r="R49" s="220"/>
      <c r="S49" s="218"/>
      <c r="T49" s="218"/>
      <c r="U49" s="221"/>
      <c r="V49" s="204"/>
      <c r="W49" s="173"/>
      <c r="X49" s="206"/>
      <c r="Y49" s="205"/>
    </row>
    <row r="50" spans="1:25" x14ac:dyDescent="0.2">
      <c r="A50" s="370"/>
      <c r="B50" s="369"/>
      <c r="C50" s="180">
        <f t="shared" si="0"/>
        <v>0</v>
      </c>
      <c r="D50" s="222"/>
      <c r="E50" s="220"/>
      <c r="F50" s="220"/>
      <c r="G50" s="218"/>
      <c r="H50" s="221"/>
      <c r="I50" s="219"/>
      <c r="J50" s="220"/>
      <c r="K50" s="218"/>
      <c r="L50" s="221"/>
      <c r="M50" s="351"/>
      <c r="N50" s="352"/>
      <c r="O50" s="352"/>
      <c r="P50" s="353"/>
      <c r="Q50" s="219"/>
      <c r="R50" s="220"/>
      <c r="S50" s="218"/>
      <c r="T50" s="218"/>
      <c r="U50" s="221"/>
      <c r="V50" s="204"/>
      <c r="W50" s="173"/>
      <c r="X50" s="206"/>
      <c r="Y50" s="205"/>
    </row>
    <row r="51" spans="1:25" x14ac:dyDescent="0.2">
      <c r="A51" s="370">
        <f>A47+1</f>
        <v>45058</v>
      </c>
      <c r="B51" s="369" t="str">
        <f>IF(WEEKDAY(A51)=1,"CN","T"&amp;WEEKDAY(A51))</f>
        <v>T6</v>
      </c>
      <c r="C51" s="180">
        <f t="shared" si="0"/>
        <v>78000</v>
      </c>
      <c r="D51" s="222" t="s">
        <v>147</v>
      </c>
      <c r="E51" s="220"/>
      <c r="F51" s="220"/>
      <c r="G51" s="218"/>
      <c r="H51" s="221">
        <v>7000</v>
      </c>
      <c r="I51" s="219" t="s">
        <v>117</v>
      </c>
      <c r="J51" s="220"/>
      <c r="K51" s="218"/>
      <c r="L51" s="221">
        <v>33000</v>
      </c>
      <c r="M51" s="351"/>
      <c r="N51" s="352"/>
      <c r="O51" s="352"/>
      <c r="P51" s="353"/>
      <c r="Q51" s="219" t="s">
        <v>189</v>
      </c>
      <c r="R51" s="220" t="s">
        <v>187</v>
      </c>
      <c r="S51" s="218"/>
      <c r="T51" s="218"/>
      <c r="U51" s="221">
        <v>38000</v>
      </c>
      <c r="V51" s="204"/>
      <c r="W51" s="173"/>
      <c r="X51" s="206"/>
      <c r="Y51" s="205"/>
    </row>
    <row r="52" spans="1:25" x14ac:dyDescent="0.2">
      <c r="A52" s="370"/>
      <c r="B52" s="369"/>
      <c r="C52" s="180">
        <f t="shared" si="0"/>
        <v>21500</v>
      </c>
      <c r="D52" s="222" t="s">
        <v>136</v>
      </c>
      <c r="E52" s="220"/>
      <c r="F52" s="220"/>
      <c r="G52" s="218"/>
      <c r="H52" s="221">
        <v>12500</v>
      </c>
      <c r="I52" s="219" t="s">
        <v>105</v>
      </c>
      <c r="J52" s="220" t="s">
        <v>164</v>
      </c>
      <c r="K52" s="218"/>
      <c r="L52" s="221">
        <v>9000</v>
      </c>
      <c r="M52" s="351"/>
      <c r="N52" s="352"/>
      <c r="O52" s="352"/>
      <c r="P52" s="353"/>
      <c r="Q52" s="219"/>
      <c r="R52" s="220"/>
      <c r="S52" s="218"/>
      <c r="T52" s="218"/>
      <c r="U52" s="221"/>
      <c r="V52" s="204"/>
      <c r="W52" s="173"/>
      <c r="X52" s="206"/>
      <c r="Y52" s="205"/>
    </row>
    <row r="53" spans="1:25" x14ac:dyDescent="0.2">
      <c r="A53" s="370"/>
      <c r="B53" s="369"/>
      <c r="C53" s="180">
        <f t="shared" si="0"/>
        <v>500</v>
      </c>
      <c r="D53" s="164" t="s">
        <v>148</v>
      </c>
      <c r="E53" s="173" t="s">
        <v>149</v>
      </c>
      <c r="F53" s="173"/>
      <c r="G53" s="166"/>
      <c r="H53" s="165">
        <v>500</v>
      </c>
      <c r="I53" s="219"/>
      <c r="J53" s="220"/>
      <c r="K53" s="218"/>
      <c r="L53" s="221"/>
      <c r="M53" s="351"/>
      <c r="N53" s="352"/>
      <c r="O53" s="352"/>
      <c r="P53" s="353"/>
      <c r="Q53" s="219"/>
      <c r="R53" s="220"/>
      <c r="S53" s="218"/>
      <c r="T53" s="218"/>
      <c r="U53" s="221"/>
      <c r="V53" s="204"/>
      <c r="W53" s="173"/>
      <c r="X53" s="206"/>
      <c r="Y53" s="205"/>
    </row>
    <row r="54" spans="1:25" x14ac:dyDescent="0.2">
      <c r="A54" s="370"/>
      <c r="B54" s="369"/>
      <c r="C54" s="180">
        <f t="shared" si="0"/>
        <v>5000</v>
      </c>
      <c r="D54" s="164" t="s">
        <v>124</v>
      </c>
      <c r="E54" s="173" t="s">
        <v>174</v>
      </c>
      <c r="F54" s="173"/>
      <c r="G54" s="166"/>
      <c r="H54" s="165">
        <v>5000</v>
      </c>
      <c r="I54" s="219"/>
      <c r="J54" s="220"/>
      <c r="K54" s="218"/>
      <c r="L54" s="221"/>
      <c r="M54" s="351"/>
      <c r="N54" s="352"/>
      <c r="O54" s="352"/>
      <c r="P54" s="353"/>
      <c r="Q54" s="219"/>
      <c r="R54" s="220"/>
      <c r="S54" s="218"/>
      <c r="T54" s="218"/>
      <c r="U54" s="221"/>
      <c r="V54" s="204"/>
      <c r="W54" s="173"/>
      <c r="X54" s="206"/>
      <c r="Y54" s="205"/>
    </row>
    <row r="55" spans="1:25" x14ac:dyDescent="0.2">
      <c r="A55" s="370">
        <f>A51+1</f>
        <v>45059</v>
      </c>
      <c r="B55" s="369" t="str">
        <f>IF(WEEKDAY(A55)=1,"CN","T"&amp;WEEKDAY(A55))</f>
        <v>T7</v>
      </c>
      <c r="C55" s="180">
        <f t="shared" si="0"/>
        <v>84000</v>
      </c>
      <c r="D55" s="164" t="s">
        <v>124</v>
      </c>
      <c r="E55" s="173"/>
      <c r="F55" s="173"/>
      <c r="G55" s="166"/>
      <c r="H55" s="165">
        <v>41000</v>
      </c>
      <c r="I55" s="219" t="s">
        <v>105</v>
      </c>
      <c r="J55" s="220" t="s">
        <v>164</v>
      </c>
      <c r="K55" s="218"/>
      <c r="L55" s="221">
        <v>5000</v>
      </c>
      <c r="M55" s="351"/>
      <c r="N55" s="352"/>
      <c r="O55" s="352"/>
      <c r="P55" s="353"/>
      <c r="Q55" s="219" t="s">
        <v>189</v>
      </c>
      <c r="R55" s="220" t="s">
        <v>187</v>
      </c>
      <c r="S55" s="218"/>
      <c r="T55" s="218"/>
      <c r="U55" s="221">
        <v>38000</v>
      </c>
      <c r="V55" s="204"/>
      <c r="W55" s="173"/>
      <c r="X55" s="206"/>
      <c r="Y55" s="205"/>
    </row>
    <row r="56" spans="1:25" x14ac:dyDescent="0.2">
      <c r="A56" s="370"/>
      <c r="B56" s="369"/>
      <c r="C56" s="180">
        <f t="shared" si="0"/>
        <v>36000</v>
      </c>
      <c r="D56" s="164"/>
      <c r="E56" s="173"/>
      <c r="F56" s="173"/>
      <c r="G56" s="166"/>
      <c r="H56" s="165"/>
      <c r="I56" s="219" t="s">
        <v>105</v>
      </c>
      <c r="J56" s="220" t="s">
        <v>179</v>
      </c>
      <c r="K56" s="218"/>
      <c r="L56" s="221">
        <f>41000-L55</f>
        <v>36000</v>
      </c>
      <c r="M56" s="351"/>
      <c r="N56" s="352"/>
      <c r="O56" s="352"/>
      <c r="P56" s="353"/>
      <c r="Q56" s="219"/>
      <c r="R56" s="220"/>
      <c r="S56" s="218"/>
      <c r="T56" s="218"/>
      <c r="U56" s="221"/>
      <c r="V56" s="219" t="s">
        <v>115</v>
      </c>
      <c r="W56" s="220" t="s">
        <v>128</v>
      </c>
      <c r="X56" s="218"/>
      <c r="Y56" s="221">
        <v>88000</v>
      </c>
    </row>
    <row r="57" spans="1:25" x14ac:dyDescent="0.2">
      <c r="A57" s="370"/>
      <c r="B57" s="369"/>
      <c r="C57" s="180">
        <f t="shared" si="0"/>
        <v>0</v>
      </c>
      <c r="D57" s="164"/>
      <c r="E57" s="173"/>
      <c r="F57" s="173"/>
      <c r="G57" s="166"/>
      <c r="H57" s="165"/>
      <c r="I57" s="219"/>
      <c r="J57" s="220"/>
      <c r="K57" s="218"/>
      <c r="L57" s="221"/>
      <c r="M57" s="351"/>
      <c r="N57" s="352"/>
      <c r="O57" s="352"/>
      <c r="P57" s="353"/>
      <c r="Q57" s="219"/>
      <c r="R57" s="220"/>
      <c r="S57" s="218"/>
      <c r="T57" s="218"/>
      <c r="U57" s="221"/>
      <c r="V57" s="219"/>
      <c r="W57" s="220"/>
      <c r="X57" s="218"/>
      <c r="Y57" s="221"/>
    </row>
    <row r="58" spans="1:25" x14ac:dyDescent="0.2">
      <c r="A58" s="370"/>
      <c r="B58" s="369"/>
      <c r="C58" s="180">
        <f t="shared" si="0"/>
        <v>0</v>
      </c>
      <c r="D58" s="164"/>
      <c r="E58" s="173"/>
      <c r="F58" s="173"/>
      <c r="G58" s="166"/>
      <c r="H58" s="165"/>
      <c r="I58" s="219"/>
      <c r="J58" s="220"/>
      <c r="K58" s="218"/>
      <c r="L58" s="221"/>
      <c r="M58" s="351"/>
      <c r="N58" s="352"/>
      <c r="O58" s="352"/>
      <c r="P58" s="353"/>
      <c r="Q58" s="219"/>
      <c r="R58" s="220"/>
      <c r="S58" s="218"/>
      <c r="T58" s="218"/>
      <c r="U58" s="221"/>
      <c r="V58" s="219"/>
      <c r="W58" s="220"/>
      <c r="X58" s="218"/>
      <c r="Y58" s="221"/>
    </row>
    <row r="59" spans="1:25" x14ac:dyDescent="0.2">
      <c r="A59" s="370">
        <f>A55+1</f>
        <v>45060</v>
      </c>
      <c r="B59" s="369" t="str">
        <f>IF(WEEKDAY(A59)=1,"CN","T"&amp;WEEKDAY(A59))</f>
        <v>CN</v>
      </c>
      <c r="C59" s="180">
        <f t="shared" si="0"/>
        <v>89000</v>
      </c>
      <c r="D59" s="164" t="s">
        <v>124</v>
      </c>
      <c r="E59" s="173" t="s">
        <v>150</v>
      </c>
      <c r="F59" s="173"/>
      <c r="G59" s="166"/>
      <c r="H59" s="165">
        <v>10000</v>
      </c>
      <c r="I59" s="219" t="s">
        <v>105</v>
      </c>
      <c r="J59" s="220" t="s">
        <v>179</v>
      </c>
      <c r="K59" s="218"/>
      <c r="L59" s="221">
        <v>41000</v>
      </c>
      <c r="M59" s="351"/>
      <c r="N59" s="352"/>
      <c r="O59" s="352"/>
      <c r="P59" s="353"/>
      <c r="Q59" s="219" t="s">
        <v>189</v>
      </c>
      <c r="R59" s="220" t="s">
        <v>187</v>
      </c>
      <c r="S59" s="218"/>
      <c r="T59" s="218"/>
      <c r="U59" s="221">
        <v>38000</v>
      </c>
      <c r="V59" s="219"/>
      <c r="W59" s="220"/>
      <c r="X59" s="218"/>
      <c r="Y59" s="221"/>
    </row>
    <row r="60" spans="1:25" x14ac:dyDescent="0.2">
      <c r="A60" s="370"/>
      <c r="B60" s="369"/>
      <c r="C60" s="180">
        <f t="shared" si="0"/>
        <v>21000</v>
      </c>
      <c r="D60" s="164" t="s">
        <v>121</v>
      </c>
      <c r="E60" s="173"/>
      <c r="F60" s="173"/>
      <c r="G60" s="166"/>
      <c r="H60" s="165">
        <v>21000</v>
      </c>
      <c r="I60" s="219"/>
      <c r="J60" s="220"/>
      <c r="K60" s="218"/>
      <c r="L60" s="221"/>
      <c r="M60" s="351"/>
      <c r="N60" s="352"/>
      <c r="O60" s="352"/>
      <c r="P60" s="353"/>
      <c r="Q60" s="219"/>
      <c r="R60" s="220"/>
      <c r="S60" s="218"/>
      <c r="T60" s="218"/>
      <c r="U60" s="221"/>
      <c r="V60" s="219"/>
      <c r="W60" s="220"/>
      <c r="X60" s="218"/>
      <c r="Y60" s="221"/>
    </row>
    <row r="61" spans="1:25" x14ac:dyDescent="0.2">
      <c r="A61" s="370"/>
      <c r="B61" s="369"/>
      <c r="C61" s="180">
        <f t="shared" si="0"/>
        <v>0</v>
      </c>
      <c r="D61" s="164"/>
      <c r="E61" s="173"/>
      <c r="F61" s="173"/>
      <c r="G61" s="166"/>
      <c r="H61" s="165"/>
      <c r="I61" s="219"/>
      <c r="J61" s="220"/>
      <c r="K61" s="218"/>
      <c r="L61" s="221"/>
      <c r="M61" s="351"/>
      <c r="N61" s="352"/>
      <c r="O61" s="352"/>
      <c r="P61" s="353"/>
      <c r="Q61" s="219"/>
      <c r="R61" s="220"/>
      <c r="S61" s="218"/>
      <c r="T61" s="218"/>
      <c r="U61" s="221"/>
      <c r="V61" s="219"/>
      <c r="W61" s="220"/>
      <c r="X61" s="218"/>
      <c r="Y61" s="221"/>
    </row>
    <row r="62" spans="1:25" x14ac:dyDescent="0.2">
      <c r="A62" s="370"/>
      <c r="B62" s="369"/>
      <c r="C62" s="180">
        <f t="shared" si="0"/>
        <v>0</v>
      </c>
      <c r="D62" s="164"/>
      <c r="E62" s="173"/>
      <c r="F62" s="173"/>
      <c r="G62" s="166"/>
      <c r="H62" s="165"/>
      <c r="I62" s="219"/>
      <c r="J62" s="220"/>
      <c r="K62" s="218"/>
      <c r="L62" s="221"/>
      <c r="M62" s="351"/>
      <c r="N62" s="352"/>
      <c r="O62" s="352"/>
      <c r="P62" s="353"/>
      <c r="Q62" s="219"/>
      <c r="R62" s="220"/>
      <c r="S62" s="218"/>
      <c r="T62" s="218"/>
      <c r="U62" s="221"/>
      <c r="V62" s="219"/>
      <c r="W62" s="220"/>
      <c r="X62" s="218"/>
      <c r="Y62" s="221"/>
    </row>
    <row r="63" spans="1:25" ht="16.149999999999999" customHeight="1" x14ac:dyDescent="0.2">
      <c r="A63" s="370">
        <f>A59+1</f>
        <v>45061</v>
      </c>
      <c r="B63" s="369" t="str">
        <f>IF(WEEKDAY(A63)=1,"CN","T"&amp;WEEKDAY(A63))</f>
        <v>T2</v>
      </c>
      <c r="C63" s="180">
        <f t="shared" si="0"/>
        <v>62000</v>
      </c>
      <c r="D63" s="164" t="s">
        <v>121</v>
      </c>
      <c r="E63" s="173"/>
      <c r="F63" s="173"/>
      <c r="G63" s="166"/>
      <c r="H63" s="165">
        <v>3000</v>
      </c>
      <c r="I63" s="219" t="s">
        <v>105</v>
      </c>
      <c r="J63" s="220" t="s">
        <v>179</v>
      </c>
      <c r="K63" s="218"/>
      <c r="L63" s="221">
        <v>41000</v>
      </c>
      <c r="M63" s="351"/>
      <c r="N63" s="352"/>
      <c r="O63" s="352"/>
      <c r="P63" s="353"/>
      <c r="Q63" s="219" t="s">
        <v>189</v>
      </c>
      <c r="R63" s="220" t="s">
        <v>187</v>
      </c>
      <c r="S63" s="218"/>
      <c r="T63" s="218"/>
      <c r="U63" s="221">
        <v>18000</v>
      </c>
      <c r="V63" s="219" t="s">
        <v>115</v>
      </c>
      <c r="W63" s="220" t="s">
        <v>128</v>
      </c>
      <c r="X63" s="218"/>
      <c r="Y63" s="221">
        <v>88000</v>
      </c>
    </row>
    <row r="64" spans="1:25" ht="16.149999999999999" customHeight="1" x14ac:dyDescent="0.2">
      <c r="A64" s="370"/>
      <c r="B64" s="369"/>
      <c r="C64" s="180">
        <f t="shared" si="0"/>
        <v>53000</v>
      </c>
      <c r="D64" s="222" t="s">
        <v>125</v>
      </c>
      <c r="E64" s="220" t="s">
        <v>175</v>
      </c>
      <c r="F64" s="220"/>
      <c r="G64" s="218"/>
      <c r="H64" s="221">
        <f>38000-H63</f>
        <v>35000</v>
      </c>
      <c r="I64" s="219"/>
      <c r="J64" s="220"/>
      <c r="K64" s="218"/>
      <c r="L64" s="221"/>
      <c r="M64" s="351"/>
      <c r="N64" s="352"/>
      <c r="O64" s="352"/>
      <c r="P64" s="353"/>
      <c r="Q64" s="219" t="s">
        <v>143</v>
      </c>
      <c r="R64" s="220"/>
      <c r="S64" s="218"/>
      <c r="T64" s="218"/>
      <c r="U64" s="221">
        <v>18000</v>
      </c>
      <c r="V64" s="219"/>
      <c r="W64" s="220"/>
      <c r="X64" s="218"/>
      <c r="Y64" s="221"/>
    </row>
    <row r="65" spans="1:26" ht="16.149999999999999" customHeight="1" x14ac:dyDescent="0.2">
      <c r="A65" s="370"/>
      <c r="B65" s="369"/>
      <c r="C65" s="180">
        <f t="shared" si="0"/>
        <v>0</v>
      </c>
      <c r="D65" s="222"/>
      <c r="E65" s="220"/>
      <c r="F65" s="220"/>
      <c r="G65" s="218"/>
      <c r="H65" s="221"/>
      <c r="I65" s="219"/>
      <c r="J65" s="220"/>
      <c r="K65" s="218"/>
      <c r="L65" s="221"/>
      <c r="M65" s="351"/>
      <c r="N65" s="352"/>
      <c r="O65" s="352"/>
      <c r="P65" s="353"/>
      <c r="Q65" s="219" t="s">
        <v>195</v>
      </c>
      <c r="R65" s="220"/>
      <c r="S65" s="218"/>
      <c r="T65" s="218"/>
      <c r="U65" s="221"/>
      <c r="V65" s="219"/>
      <c r="W65" s="220"/>
      <c r="X65" s="218"/>
      <c r="Y65" s="221"/>
      <c r="Z65" s="271"/>
    </row>
    <row r="66" spans="1:26" ht="16.149999999999999" customHeight="1" x14ac:dyDescent="0.2">
      <c r="A66" s="370"/>
      <c r="B66" s="369"/>
      <c r="C66" s="180">
        <f t="shared" si="0"/>
        <v>0</v>
      </c>
      <c r="D66" s="222"/>
      <c r="E66" s="220"/>
      <c r="F66" s="220"/>
      <c r="G66" s="218"/>
      <c r="H66" s="221"/>
      <c r="I66" s="219"/>
      <c r="J66" s="220"/>
      <c r="K66" s="218"/>
      <c r="L66" s="221"/>
      <c r="M66" s="351"/>
      <c r="N66" s="352"/>
      <c r="O66" s="352"/>
      <c r="P66" s="353"/>
      <c r="Q66" s="219"/>
      <c r="R66" s="220"/>
      <c r="S66" s="218"/>
      <c r="T66" s="218"/>
      <c r="U66" s="221"/>
      <c r="V66" s="219"/>
      <c r="W66" s="220"/>
      <c r="X66" s="218"/>
      <c r="Y66" s="221"/>
    </row>
    <row r="67" spans="1:26" ht="16.149999999999999" customHeight="1" x14ac:dyDescent="0.2">
      <c r="A67" s="370">
        <f>A63+1</f>
        <v>45062</v>
      </c>
      <c r="B67" s="369" t="str">
        <f>IF(WEEKDAY(A67)=1,"CN","T"&amp;WEEKDAY(A67))</f>
        <v>T3</v>
      </c>
      <c r="C67" s="180">
        <f t="shared" si="0"/>
        <v>91000</v>
      </c>
      <c r="D67" s="222" t="s">
        <v>125</v>
      </c>
      <c r="E67" s="220" t="s">
        <v>175</v>
      </c>
      <c r="F67" s="220"/>
      <c r="G67" s="218"/>
      <c r="H67" s="221">
        <v>38000</v>
      </c>
      <c r="I67" s="219" t="s">
        <v>105</v>
      </c>
      <c r="J67" s="220" t="s">
        <v>179</v>
      </c>
      <c r="K67" s="218"/>
      <c r="L67" s="221">
        <v>41000</v>
      </c>
      <c r="M67" s="351"/>
      <c r="N67" s="352"/>
      <c r="O67" s="352"/>
      <c r="P67" s="353"/>
      <c r="Q67" s="219" t="s">
        <v>189</v>
      </c>
      <c r="R67" s="220" t="s">
        <v>187</v>
      </c>
      <c r="S67" s="218"/>
      <c r="T67" s="218"/>
      <c r="U67" s="221">
        <v>12000</v>
      </c>
      <c r="V67" s="219" t="s">
        <v>115</v>
      </c>
      <c r="W67" s="220" t="s">
        <v>128</v>
      </c>
      <c r="X67" s="218"/>
      <c r="Y67" s="221">
        <v>40000</v>
      </c>
      <c r="Z67" s="271"/>
    </row>
    <row r="68" spans="1:26" ht="16.149999999999999" customHeight="1" x14ac:dyDescent="0.2">
      <c r="A68" s="370"/>
      <c r="B68" s="369"/>
      <c r="C68" s="180">
        <f t="shared" si="0"/>
        <v>26000</v>
      </c>
      <c r="D68" s="222"/>
      <c r="E68" s="220"/>
      <c r="F68" s="220"/>
      <c r="G68" s="218"/>
      <c r="H68" s="221"/>
      <c r="I68" s="219"/>
      <c r="J68" s="220"/>
      <c r="K68" s="218"/>
      <c r="L68" s="221"/>
      <c r="M68" s="351"/>
      <c r="N68" s="352"/>
      <c r="O68" s="352"/>
      <c r="P68" s="353"/>
      <c r="Q68" s="219" t="s">
        <v>143</v>
      </c>
      <c r="R68" s="220" t="s">
        <v>187</v>
      </c>
      <c r="S68" s="218"/>
      <c r="T68" s="218"/>
      <c r="U68" s="221">
        <f>38000-U67</f>
        <v>26000</v>
      </c>
      <c r="V68" s="219" t="s">
        <v>124</v>
      </c>
      <c r="W68" s="220" t="s">
        <v>169</v>
      </c>
      <c r="X68" s="218"/>
      <c r="Y68" s="221">
        <v>48000</v>
      </c>
    </row>
    <row r="69" spans="1:26" ht="16.149999999999999" customHeight="1" x14ac:dyDescent="0.2">
      <c r="A69" s="370"/>
      <c r="B69" s="369"/>
      <c r="C69" s="180">
        <f t="shared" si="0"/>
        <v>0</v>
      </c>
      <c r="D69" s="222"/>
      <c r="E69" s="220"/>
      <c r="F69" s="220"/>
      <c r="G69" s="218"/>
      <c r="H69" s="221"/>
      <c r="I69" s="219"/>
      <c r="J69" s="220"/>
      <c r="K69" s="218"/>
      <c r="L69" s="221"/>
      <c r="M69" s="351"/>
      <c r="N69" s="352"/>
      <c r="O69" s="352"/>
      <c r="P69" s="353"/>
      <c r="Q69" s="219"/>
      <c r="R69" s="220"/>
      <c r="S69" s="218"/>
      <c r="T69" s="218"/>
      <c r="U69" s="221"/>
      <c r="V69" s="219"/>
      <c r="W69" s="220"/>
      <c r="X69" s="218"/>
      <c r="Y69" s="221"/>
    </row>
    <row r="70" spans="1:26" ht="16.149999999999999" customHeight="1" x14ac:dyDescent="0.2">
      <c r="A70" s="370"/>
      <c r="B70" s="369"/>
      <c r="C70" s="180">
        <f t="shared" si="0"/>
        <v>0</v>
      </c>
      <c r="D70" s="222"/>
      <c r="E70" s="220"/>
      <c r="F70" s="220"/>
      <c r="G70" s="218"/>
      <c r="H70" s="221"/>
      <c r="I70" s="219"/>
      <c r="J70" s="220"/>
      <c r="K70" s="218"/>
      <c r="L70" s="221"/>
      <c r="M70" s="351"/>
      <c r="N70" s="352"/>
      <c r="O70" s="352"/>
      <c r="P70" s="353"/>
      <c r="Q70" s="219"/>
      <c r="R70" s="220"/>
      <c r="S70" s="218"/>
      <c r="T70" s="218"/>
      <c r="U70" s="221"/>
      <c r="V70" s="219"/>
      <c r="W70" s="220"/>
      <c r="X70" s="218"/>
      <c r="Y70" s="221"/>
      <c r="Z70" s="271"/>
    </row>
    <row r="71" spans="1:26" ht="16.149999999999999" customHeight="1" x14ac:dyDescent="0.2">
      <c r="A71" s="370">
        <f>A67+1</f>
        <v>45063</v>
      </c>
      <c r="B71" s="369" t="str">
        <f>IF(WEEKDAY(A71)=1,"CN","T"&amp;WEEKDAY(A71))</f>
        <v>T4</v>
      </c>
      <c r="C71" s="180">
        <f t="shared" ref="C71:C134" si="1">SUM(D71:U71)</f>
        <v>76000</v>
      </c>
      <c r="D71" s="222" t="s">
        <v>125</v>
      </c>
      <c r="E71" s="220" t="s">
        <v>175</v>
      </c>
      <c r="F71" s="220"/>
      <c r="G71" s="218"/>
      <c r="H71" s="221">
        <f>108000-H67-H64</f>
        <v>35000</v>
      </c>
      <c r="I71" s="219" t="s">
        <v>105</v>
      </c>
      <c r="J71" s="220" t="s">
        <v>179</v>
      </c>
      <c r="K71" s="218"/>
      <c r="L71" s="221">
        <v>3000</v>
      </c>
      <c r="M71" s="351"/>
      <c r="N71" s="352"/>
      <c r="O71" s="352"/>
      <c r="P71" s="353"/>
      <c r="Q71" s="219" t="s">
        <v>143</v>
      </c>
      <c r="R71" s="220" t="s">
        <v>187</v>
      </c>
      <c r="S71" s="218"/>
      <c r="T71" s="218"/>
      <c r="U71" s="221">
        <v>38000</v>
      </c>
      <c r="V71" s="219" t="s">
        <v>124</v>
      </c>
      <c r="W71" s="220" t="s">
        <v>169</v>
      </c>
      <c r="X71" s="218"/>
      <c r="Y71" s="221">
        <v>62000</v>
      </c>
    </row>
    <row r="72" spans="1:26" ht="16.149999999999999" customHeight="1" x14ac:dyDescent="0.2">
      <c r="A72" s="370"/>
      <c r="B72" s="369"/>
      <c r="C72" s="180">
        <f t="shared" si="1"/>
        <v>41000</v>
      </c>
      <c r="D72" s="278" t="s">
        <v>104</v>
      </c>
      <c r="E72" s="257" t="s">
        <v>193</v>
      </c>
      <c r="F72" s="257"/>
      <c r="G72" s="258"/>
      <c r="H72" s="259">
        <v>3000</v>
      </c>
      <c r="I72" s="219" t="s">
        <v>105</v>
      </c>
      <c r="J72" s="220" t="s">
        <v>180</v>
      </c>
      <c r="K72" s="218"/>
      <c r="L72" s="221">
        <v>38000</v>
      </c>
      <c r="M72" s="351"/>
      <c r="N72" s="352"/>
      <c r="O72" s="352"/>
      <c r="P72" s="353"/>
      <c r="Q72" s="219"/>
      <c r="R72" s="220"/>
      <c r="S72" s="218"/>
      <c r="T72" s="218"/>
      <c r="U72" s="221"/>
      <c r="V72" s="219" t="s">
        <v>124</v>
      </c>
      <c r="W72" s="220" t="s">
        <v>172</v>
      </c>
      <c r="X72" s="218"/>
      <c r="Y72" s="221">
        <v>26000</v>
      </c>
    </row>
    <row r="73" spans="1:26" ht="16.149999999999999" customHeight="1" x14ac:dyDescent="0.2">
      <c r="A73" s="370"/>
      <c r="B73" s="369"/>
      <c r="C73" s="180">
        <f t="shared" si="1"/>
        <v>0</v>
      </c>
      <c r="D73" s="278"/>
      <c r="E73" s="257"/>
      <c r="F73" s="257"/>
      <c r="G73" s="258"/>
      <c r="H73" s="259"/>
      <c r="I73" s="219"/>
      <c r="J73" s="220"/>
      <c r="K73" s="218"/>
      <c r="L73" s="221"/>
      <c r="M73" s="351"/>
      <c r="N73" s="352"/>
      <c r="O73" s="352"/>
      <c r="P73" s="353"/>
      <c r="Q73" s="219"/>
      <c r="R73" s="220"/>
      <c r="S73" s="218"/>
      <c r="T73" s="218"/>
      <c r="U73" s="221"/>
      <c r="V73" s="219"/>
      <c r="W73" s="220"/>
      <c r="X73" s="218"/>
      <c r="Y73" s="221"/>
    </row>
    <row r="74" spans="1:26" ht="16.149999999999999" customHeight="1" x14ac:dyDescent="0.2">
      <c r="A74" s="370"/>
      <c r="B74" s="369"/>
      <c r="C74" s="180">
        <f t="shared" si="1"/>
        <v>0</v>
      </c>
      <c r="D74" s="278"/>
      <c r="E74" s="257"/>
      <c r="F74" s="257"/>
      <c r="G74" s="258"/>
      <c r="H74" s="259"/>
      <c r="I74" s="219"/>
      <c r="J74" s="220"/>
      <c r="K74" s="218"/>
      <c r="L74" s="221"/>
      <c r="M74" s="354"/>
      <c r="N74" s="355"/>
      <c r="O74" s="355"/>
      <c r="P74" s="356"/>
      <c r="Q74" s="219"/>
      <c r="R74" s="220"/>
      <c r="S74" s="218"/>
      <c r="T74" s="218"/>
      <c r="U74" s="221"/>
      <c r="V74" s="219"/>
      <c r="W74" s="220"/>
      <c r="X74" s="218"/>
      <c r="Y74" s="221"/>
    </row>
    <row r="75" spans="1:26" ht="16.149999999999999" customHeight="1" x14ac:dyDescent="0.2">
      <c r="A75" s="370">
        <f>A71+1</f>
        <v>45064</v>
      </c>
      <c r="B75" s="369" t="str">
        <f>IF(WEEKDAY(A75)=1,"CN","T"&amp;WEEKDAY(A75))</f>
        <v>T5</v>
      </c>
      <c r="C75" s="180">
        <f t="shared" si="1"/>
        <v>56000</v>
      </c>
      <c r="D75" s="278"/>
      <c r="E75" s="257"/>
      <c r="F75" s="257"/>
      <c r="G75" s="258"/>
      <c r="H75" s="259"/>
      <c r="I75" s="219" t="s">
        <v>105</v>
      </c>
      <c r="J75" s="220" t="s">
        <v>180</v>
      </c>
      <c r="K75" s="218"/>
      <c r="L75" s="221">
        <v>41000</v>
      </c>
      <c r="M75" s="179" t="s">
        <v>205</v>
      </c>
      <c r="N75" s="173" t="s">
        <v>206</v>
      </c>
      <c r="O75" s="159"/>
      <c r="P75" s="155">
        <v>15000</v>
      </c>
      <c r="Q75" s="219"/>
      <c r="R75" s="220"/>
      <c r="S75" s="218"/>
      <c r="T75" s="218"/>
      <c r="U75" s="221"/>
      <c r="V75" s="219" t="s">
        <v>124</v>
      </c>
      <c r="W75" s="220" t="s">
        <v>172</v>
      </c>
      <c r="X75" s="218"/>
      <c r="Y75" s="221">
        <v>58000</v>
      </c>
    </row>
    <row r="76" spans="1:26" ht="16.149999999999999" customHeight="1" x14ac:dyDescent="0.2">
      <c r="A76" s="370"/>
      <c r="B76" s="369"/>
      <c r="C76" s="180">
        <f t="shared" si="1"/>
        <v>59000</v>
      </c>
      <c r="D76" s="278" t="s">
        <v>104</v>
      </c>
      <c r="E76" s="257" t="s">
        <v>193</v>
      </c>
      <c r="F76" s="257"/>
      <c r="G76" s="258"/>
      <c r="H76" s="259">
        <v>21000</v>
      </c>
      <c r="I76" s="219"/>
      <c r="J76" s="220"/>
      <c r="K76" s="218"/>
      <c r="L76" s="221"/>
      <c r="M76" s="179"/>
      <c r="N76" s="173"/>
      <c r="O76" s="159"/>
      <c r="P76" s="155"/>
      <c r="Q76" s="219" t="s">
        <v>143</v>
      </c>
      <c r="R76" s="220" t="s">
        <v>187</v>
      </c>
      <c r="S76" s="218"/>
      <c r="T76" s="218"/>
      <c r="U76" s="221">
        <v>38000</v>
      </c>
      <c r="V76" s="219" t="s">
        <v>124</v>
      </c>
      <c r="W76" s="220" t="s">
        <v>197</v>
      </c>
      <c r="X76" s="218"/>
      <c r="Y76" s="221">
        <v>30000</v>
      </c>
    </row>
    <row r="77" spans="1:26" ht="16.149999999999999" customHeight="1" x14ac:dyDescent="0.2">
      <c r="A77" s="370"/>
      <c r="B77" s="369"/>
      <c r="C77" s="180">
        <f t="shared" si="1"/>
        <v>17000</v>
      </c>
      <c r="D77" s="222" t="s">
        <v>141</v>
      </c>
      <c r="E77" s="220"/>
      <c r="F77" s="220"/>
      <c r="G77" s="218"/>
      <c r="H77" s="221">
        <f>38000-H76</f>
        <v>17000</v>
      </c>
      <c r="I77" s="219"/>
      <c r="J77" s="220"/>
      <c r="K77" s="218"/>
      <c r="L77" s="221"/>
      <c r="M77" s="179"/>
      <c r="N77" s="173"/>
      <c r="O77" s="159"/>
      <c r="P77" s="155"/>
      <c r="Q77" s="219"/>
      <c r="R77" s="220"/>
      <c r="S77" s="218"/>
      <c r="T77" s="218"/>
      <c r="U77" s="221"/>
      <c r="V77" s="219"/>
      <c r="W77" s="220"/>
      <c r="X77" s="218"/>
      <c r="Y77" s="221"/>
    </row>
    <row r="78" spans="1:26" ht="16.149999999999999" customHeight="1" x14ac:dyDescent="0.2">
      <c r="A78" s="370"/>
      <c r="B78" s="369"/>
      <c r="C78" s="180">
        <f t="shared" si="1"/>
        <v>0</v>
      </c>
      <c r="D78" s="222"/>
      <c r="E78" s="220"/>
      <c r="F78" s="220"/>
      <c r="G78" s="218"/>
      <c r="H78" s="221"/>
      <c r="I78" s="219"/>
      <c r="J78" s="220"/>
      <c r="K78" s="218"/>
      <c r="L78" s="221"/>
      <c r="M78" s="179"/>
      <c r="N78" s="173"/>
      <c r="O78" s="159"/>
      <c r="P78" s="155"/>
      <c r="Q78" s="219"/>
      <c r="R78" s="220"/>
      <c r="S78" s="218"/>
      <c r="T78" s="218"/>
      <c r="U78" s="221"/>
      <c r="V78" s="219"/>
      <c r="W78" s="220"/>
      <c r="X78" s="218"/>
      <c r="Y78" s="221"/>
    </row>
    <row r="79" spans="1:26" ht="16.149999999999999" customHeight="1" x14ac:dyDescent="0.2">
      <c r="A79" s="370">
        <f>A75+1</f>
        <v>45065</v>
      </c>
      <c r="B79" s="369" t="str">
        <f>IF(WEEKDAY(A79)=1,"CN","T"&amp;WEEKDAY(A79))</f>
        <v>T6</v>
      </c>
      <c r="C79" s="180">
        <f t="shared" si="1"/>
        <v>95000</v>
      </c>
      <c r="D79" s="222" t="s">
        <v>141</v>
      </c>
      <c r="E79" s="220"/>
      <c r="F79" s="220"/>
      <c r="G79" s="218"/>
      <c r="H79" s="221">
        <v>8000</v>
      </c>
      <c r="I79" s="219" t="s">
        <v>105</v>
      </c>
      <c r="J79" s="220" t="s">
        <v>180</v>
      </c>
      <c r="K79" s="218"/>
      <c r="L79" s="221">
        <v>41000</v>
      </c>
      <c r="M79" s="219" t="s">
        <v>137</v>
      </c>
      <c r="N79" s="220" t="s">
        <v>194</v>
      </c>
      <c r="O79" s="218"/>
      <c r="P79" s="221">
        <v>41000</v>
      </c>
      <c r="Q79" s="219" t="s">
        <v>143</v>
      </c>
      <c r="R79" s="220" t="s">
        <v>187</v>
      </c>
      <c r="S79" s="218"/>
      <c r="T79" s="218"/>
      <c r="U79" s="221">
        <v>5000</v>
      </c>
      <c r="V79" s="219" t="s">
        <v>124</v>
      </c>
      <c r="W79" s="220" t="s">
        <v>197</v>
      </c>
      <c r="X79" s="218"/>
      <c r="Y79" s="221">
        <v>26000</v>
      </c>
    </row>
    <row r="80" spans="1:26" ht="16.149999999999999" customHeight="1" x14ac:dyDescent="0.2">
      <c r="A80" s="370"/>
      <c r="B80" s="369"/>
      <c r="C80" s="180">
        <f t="shared" si="1"/>
        <v>63000</v>
      </c>
      <c r="D80" s="222" t="s">
        <v>131</v>
      </c>
      <c r="E80" s="220" t="s">
        <v>191</v>
      </c>
      <c r="F80" s="220"/>
      <c r="G80" s="218"/>
      <c r="H80" s="221">
        <v>30000</v>
      </c>
      <c r="I80" s="260"/>
      <c r="J80" s="260"/>
      <c r="K80" s="260"/>
      <c r="L80" s="260"/>
      <c r="M80" s="219"/>
      <c r="N80" s="220"/>
      <c r="O80" s="218"/>
      <c r="P80" s="221"/>
      <c r="Q80" s="219" t="s">
        <v>189</v>
      </c>
      <c r="R80" s="220" t="s">
        <v>188</v>
      </c>
      <c r="S80" s="218"/>
      <c r="T80" s="218"/>
      <c r="U80" s="221">
        <v>33000</v>
      </c>
      <c r="V80" s="219" t="s">
        <v>124</v>
      </c>
      <c r="W80" s="220" t="s">
        <v>198</v>
      </c>
      <c r="X80" s="218"/>
      <c r="Y80" s="221">
        <f>88000-Y79</f>
        <v>62000</v>
      </c>
    </row>
    <row r="81" spans="1:25" ht="16.149999999999999" customHeight="1" x14ac:dyDescent="0.2">
      <c r="A81" s="370"/>
      <c r="B81" s="369"/>
      <c r="C81" s="180">
        <f t="shared" si="1"/>
        <v>0</v>
      </c>
      <c r="D81" s="222"/>
      <c r="E81" s="220"/>
      <c r="F81" s="220"/>
      <c r="G81" s="218"/>
      <c r="H81" s="221"/>
      <c r="I81" s="260"/>
      <c r="J81" s="260"/>
      <c r="K81" s="260"/>
      <c r="L81" s="260"/>
      <c r="M81" s="219"/>
      <c r="N81" s="220"/>
      <c r="O81" s="218"/>
      <c r="P81" s="221"/>
      <c r="Q81" s="219"/>
      <c r="R81" s="220"/>
      <c r="S81" s="218"/>
      <c r="T81" s="218"/>
      <c r="U81" s="221"/>
      <c r="V81" s="219"/>
      <c r="W81" s="220"/>
      <c r="X81" s="218"/>
      <c r="Y81" s="221"/>
    </row>
    <row r="82" spans="1:25" ht="16.149999999999999" customHeight="1" x14ac:dyDescent="0.2">
      <c r="A82" s="370"/>
      <c r="B82" s="369"/>
      <c r="C82" s="180">
        <f t="shared" si="1"/>
        <v>0</v>
      </c>
      <c r="D82" s="222"/>
      <c r="E82" s="220"/>
      <c r="F82" s="220"/>
      <c r="G82" s="218"/>
      <c r="H82" s="221"/>
      <c r="I82" s="260"/>
      <c r="J82" s="260"/>
      <c r="K82" s="260"/>
      <c r="L82" s="260"/>
      <c r="M82" s="219"/>
      <c r="N82" s="220"/>
      <c r="O82" s="218"/>
      <c r="P82" s="221"/>
      <c r="Q82" s="219"/>
      <c r="R82" s="220"/>
      <c r="S82" s="218"/>
      <c r="T82" s="218"/>
      <c r="U82" s="221"/>
      <c r="V82" s="219"/>
      <c r="W82" s="220"/>
      <c r="X82" s="218"/>
      <c r="Y82" s="221"/>
    </row>
    <row r="83" spans="1:25" ht="16.149999999999999" customHeight="1" x14ac:dyDescent="0.2">
      <c r="A83" s="370">
        <f>A79+1</f>
        <v>45066</v>
      </c>
      <c r="B83" s="369" t="str">
        <f>IF(WEEKDAY(A83)=1,"CN","T"&amp;WEEKDAY(A83))</f>
        <v>T7</v>
      </c>
      <c r="C83" s="180">
        <f t="shared" si="1"/>
        <v>133000</v>
      </c>
      <c r="D83" s="222" t="s">
        <v>131</v>
      </c>
      <c r="E83" s="279" t="s">
        <v>191</v>
      </c>
      <c r="F83" s="220"/>
      <c r="G83" s="218"/>
      <c r="H83" s="221">
        <v>38000</v>
      </c>
      <c r="I83" s="219" t="s">
        <v>105</v>
      </c>
      <c r="J83" s="220" t="s">
        <v>180</v>
      </c>
      <c r="K83" s="218"/>
      <c r="L83" s="221">
        <v>42000</v>
      </c>
      <c r="M83" s="219" t="s">
        <v>137</v>
      </c>
      <c r="N83" s="220" t="s">
        <v>194</v>
      </c>
      <c r="O83" s="218"/>
      <c r="P83" s="221">
        <f>56000-P79</f>
        <v>15000</v>
      </c>
      <c r="Q83" s="219" t="s">
        <v>189</v>
      </c>
      <c r="R83" s="220" t="s">
        <v>188</v>
      </c>
      <c r="S83" s="218"/>
      <c r="T83" s="218"/>
      <c r="U83" s="221">
        <v>38000</v>
      </c>
      <c r="V83" s="219" t="s">
        <v>124</v>
      </c>
      <c r="W83" s="220" t="s">
        <v>198</v>
      </c>
      <c r="X83" s="218"/>
      <c r="Y83" s="221">
        <v>50000</v>
      </c>
    </row>
    <row r="84" spans="1:25" ht="16.149999999999999" customHeight="1" x14ac:dyDescent="0.2">
      <c r="A84" s="370"/>
      <c r="B84" s="369"/>
      <c r="C84" s="180">
        <f t="shared" si="1"/>
        <v>21000</v>
      </c>
      <c r="D84" s="222"/>
      <c r="E84" s="220"/>
      <c r="F84" s="220"/>
      <c r="G84" s="218"/>
      <c r="H84" s="221"/>
      <c r="I84" s="219"/>
      <c r="J84" s="220"/>
      <c r="K84" s="218"/>
      <c r="L84" s="221"/>
      <c r="M84" s="219" t="s">
        <v>199</v>
      </c>
      <c r="N84" s="220" t="s">
        <v>200</v>
      </c>
      <c r="O84" s="218"/>
      <c r="P84" s="221">
        <v>21000</v>
      </c>
      <c r="Q84" s="219"/>
      <c r="R84" s="220"/>
      <c r="S84" s="218"/>
      <c r="T84" s="218"/>
      <c r="U84" s="221"/>
      <c r="V84" s="219" t="s">
        <v>115</v>
      </c>
      <c r="W84" s="220" t="s">
        <v>170</v>
      </c>
      <c r="X84" s="218"/>
      <c r="Y84" s="221">
        <v>38000</v>
      </c>
    </row>
    <row r="85" spans="1:25" ht="16.149999999999999" customHeight="1" x14ac:dyDescent="0.2">
      <c r="A85" s="370"/>
      <c r="B85" s="369"/>
      <c r="C85" s="180">
        <f t="shared" si="1"/>
        <v>5000</v>
      </c>
      <c r="D85" s="222"/>
      <c r="E85" s="220"/>
      <c r="F85" s="220"/>
      <c r="G85" s="218"/>
      <c r="H85" s="221"/>
      <c r="I85" s="219"/>
      <c r="J85" s="220"/>
      <c r="K85" s="218"/>
      <c r="L85" s="221"/>
      <c r="M85" s="219" t="s">
        <v>117</v>
      </c>
      <c r="N85" s="220"/>
      <c r="O85" s="218"/>
      <c r="P85" s="221">
        <v>5000</v>
      </c>
      <c r="Q85" s="219"/>
      <c r="R85" s="220"/>
      <c r="S85" s="218"/>
      <c r="T85" s="218"/>
      <c r="U85" s="221"/>
      <c r="V85" s="204"/>
      <c r="W85" s="173"/>
      <c r="X85" s="206"/>
      <c r="Y85" s="205"/>
    </row>
    <row r="86" spans="1:25" ht="16.149999999999999" customHeight="1" x14ac:dyDescent="0.2">
      <c r="A86" s="370"/>
      <c r="B86" s="369"/>
      <c r="C86" s="180">
        <f t="shared" si="1"/>
        <v>0</v>
      </c>
      <c r="D86" s="222"/>
      <c r="E86" s="220"/>
      <c r="F86" s="220"/>
      <c r="G86" s="218"/>
      <c r="H86" s="221"/>
      <c r="I86" s="219"/>
      <c r="J86" s="220"/>
      <c r="K86" s="218"/>
      <c r="L86" s="221"/>
      <c r="M86" s="219"/>
      <c r="N86" s="220"/>
      <c r="O86" s="218"/>
      <c r="P86" s="221"/>
      <c r="Q86" s="219"/>
      <c r="R86" s="220"/>
      <c r="S86" s="218"/>
      <c r="T86" s="218"/>
      <c r="U86" s="221"/>
      <c r="V86" s="204"/>
      <c r="W86" s="173"/>
      <c r="X86" s="206"/>
      <c r="Y86" s="205"/>
    </row>
    <row r="87" spans="1:25" x14ac:dyDescent="0.2">
      <c r="A87" s="370">
        <f>A83+1</f>
        <v>45067</v>
      </c>
      <c r="B87" s="369" t="str">
        <f>IF(WEEKDAY(A87)=1,"CN","T"&amp;WEEKDAY(A87))</f>
        <v>CN</v>
      </c>
      <c r="C87" s="180">
        <f t="shared" si="1"/>
        <v>120000</v>
      </c>
      <c r="D87" s="222" t="s">
        <v>131</v>
      </c>
      <c r="E87" s="220" t="s">
        <v>191</v>
      </c>
      <c r="F87" s="220"/>
      <c r="G87" s="218"/>
      <c r="H87" s="221">
        <v>38000</v>
      </c>
      <c r="I87" s="219" t="s">
        <v>105</v>
      </c>
      <c r="J87" s="220" t="s">
        <v>181</v>
      </c>
      <c r="K87" s="218"/>
      <c r="L87" s="221">
        <v>41000</v>
      </c>
      <c r="M87" s="219" t="s">
        <v>117</v>
      </c>
      <c r="N87" s="220"/>
      <c r="O87" s="218"/>
      <c r="P87" s="221">
        <v>41000</v>
      </c>
      <c r="Q87" s="276"/>
      <c r="R87" s="277"/>
      <c r="S87" s="277"/>
      <c r="T87" s="277"/>
      <c r="U87" s="277"/>
      <c r="V87" s="204"/>
      <c r="W87" s="173"/>
      <c r="X87" s="206"/>
      <c r="Y87" s="205"/>
    </row>
    <row r="88" spans="1:25" ht="16.149999999999999" customHeight="1" x14ac:dyDescent="0.2">
      <c r="A88" s="370"/>
      <c r="B88" s="369"/>
      <c r="C88" s="180">
        <f t="shared" si="1"/>
        <v>0</v>
      </c>
      <c r="D88" s="222"/>
      <c r="E88" s="220"/>
      <c r="F88" s="220"/>
      <c r="G88" s="218"/>
      <c r="H88" s="221"/>
      <c r="I88" s="219"/>
      <c r="J88" s="220"/>
      <c r="K88" s="218"/>
      <c r="L88" s="221"/>
      <c r="M88" s="219"/>
      <c r="N88" s="220"/>
      <c r="O88" s="218"/>
      <c r="P88" s="221"/>
      <c r="Q88" s="272"/>
      <c r="R88" s="273"/>
      <c r="S88" s="274"/>
      <c r="T88" s="274"/>
      <c r="U88" s="275"/>
      <c r="V88" s="204"/>
      <c r="W88" s="173"/>
      <c r="X88" s="206"/>
      <c r="Y88" s="205"/>
    </row>
    <row r="89" spans="1:25" ht="16.149999999999999" customHeight="1" x14ac:dyDescent="0.2">
      <c r="A89" s="370"/>
      <c r="B89" s="369"/>
      <c r="C89" s="180">
        <f t="shared" si="1"/>
        <v>0</v>
      </c>
      <c r="D89" s="222"/>
      <c r="E89" s="220"/>
      <c r="F89" s="220"/>
      <c r="G89" s="218"/>
      <c r="H89" s="221"/>
      <c r="I89" s="219"/>
      <c r="J89" s="220"/>
      <c r="K89" s="218"/>
      <c r="L89" s="221"/>
      <c r="M89" s="219"/>
      <c r="N89" s="220"/>
      <c r="O89" s="218"/>
      <c r="P89" s="221"/>
      <c r="Q89" s="272"/>
      <c r="R89" s="273"/>
      <c r="S89" s="274"/>
      <c r="T89" s="274"/>
      <c r="U89" s="275"/>
      <c r="V89" s="204"/>
      <c r="W89" s="173"/>
      <c r="X89" s="206"/>
      <c r="Y89" s="205"/>
    </row>
    <row r="90" spans="1:25" ht="16.149999999999999" customHeight="1" x14ac:dyDescent="0.2">
      <c r="A90" s="370"/>
      <c r="B90" s="369"/>
      <c r="C90" s="180">
        <f t="shared" si="1"/>
        <v>0</v>
      </c>
      <c r="D90" s="222"/>
      <c r="E90" s="220"/>
      <c r="F90" s="220"/>
      <c r="G90" s="218"/>
      <c r="H90" s="221"/>
      <c r="I90" s="219"/>
      <c r="J90" s="220"/>
      <c r="K90" s="218"/>
      <c r="L90" s="221"/>
      <c r="M90" s="219"/>
      <c r="N90" s="220"/>
      <c r="O90" s="218"/>
      <c r="P90" s="221"/>
      <c r="Q90" s="272"/>
      <c r="R90" s="273"/>
      <c r="S90" s="274"/>
      <c r="T90" s="274"/>
      <c r="U90" s="275"/>
      <c r="V90" s="204"/>
      <c r="W90" s="173"/>
      <c r="X90" s="206"/>
      <c r="Y90" s="205"/>
    </row>
    <row r="91" spans="1:25" ht="16.149999999999999" customHeight="1" x14ac:dyDescent="0.2">
      <c r="A91" s="370">
        <f>A87+1</f>
        <v>45068</v>
      </c>
      <c r="B91" s="369" t="str">
        <f>IF(WEEKDAY(A91)=1,"CN","T"&amp;WEEKDAY(A91))</f>
        <v>T2</v>
      </c>
      <c r="C91" s="180">
        <f t="shared" si="1"/>
        <v>93000</v>
      </c>
      <c r="D91" s="222" t="s">
        <v>131</v>
      </c>
      <c r="E91" s="220" t="s">
        <v>191</v>
      </c>
      <c r="F91" s="220"/>
      <c r="G91" s="218"/>
      <c r="H91" s="221">
        <v>4000</v>
      </c>
      <c r="I91" s="219" t="s">
        <v>105</v>
      </c>
      <c r="J91" s="220" t="s">
        <v>181</v>
      </c>
      <c r="K91" s="218"/>
      <c r="L91" s="221">
        <v>41000</v>
      </c>
      <c r="M91" s="219" t="s">
        <v>117</v>
      </c>
      <c r="N91" s="220"/>
      <c r="O91" s="218"/>
      <c r="P91" s="221">
        <v>10000</v>
      </c>
      <c r="Q91" s="219" t="s">
        <v>189</v>
      </c>
      <c r="R91" s="220" t="s">
        <v>188</v>
      </c>
      <c r="S91" s="218"/>
      <c r="T91" s="218"/>
      <c r="U91" s="221">
        <v>38000</v>
      </c>
      <c r="V91" s="219" t="s">
        <v>115</v>
      </c>
      <c r="W91" s="220" t="s">
        <v>170</v>
      </c>
      <c r="X91" s="218"/>
      <c r="Y91" s="221">
        <v>88000</v>
      </c>
    </row>
    <row r="92" spans="1:25" ht="16.149999999999999" customHeight="1" x14ac:dyDescent="0.2">
      <c r="A92" s="370"/>
      <c r="B92" s="369"/>
      <c r="C92" s="180">
        <f t="shared" si="1"/>
        <v>55000</v>
      </c>
      <c r="D92" s="278" t="s">
        <v>121</v>
      </c>
      <c r="E92" s="257" t="s">
        <v>192</v>
      </c>
      <c r="F92" s="257"/>
      <c r="G92" s="258"/>
      <c r="H92" s="259">
        <v>24000</v>
      </c>
      <c r="I92" s="261"/>
      <c r="J92" s="262"/>
      <c r="K92" s="263"/>
      <c r="L92" s="264"/>
      <c r="M92" s="219" t="s">
        <v>123</v>
      </c>
      <c r="N92" s="220" t="s">
        <v>165</v>
      </c>
      <c r="O92" s="218"/>
      <c r="P92" s="259">
        <v>31000</v>
      </c>
      <c r="Q92" s="219"/>
      <c r="R92" s="220"/>
      <c r="S92" s="218"/>
      <c r="T92" s="218"/>
      <c r="U92" s="221"/>
      <c r="V92" s="219"/>
      <c r="W92" s="220"/>
      <c r="X92" s="218"/>
      <c r="Y92" s="221"/>
    </row>
    <row r="93" spans="1:25" ht="16.149999999999999" customHeight="1" x14ac:dyDescent="0.2">
      <c r="A93" s="370"/>
      <c r="B93" s="369"/>
      <c r="C93" s="180">
        <f t="shared" si="1"/>
        <v>12000</v>
      </c>
      <c r="D93" s="278" t="s">
        <v>204</v>
      </c>
      <c r="E93" s="257"/>
      <c r="F93" s="257"/>
      <c r="G93" s="258"/>
      <c r="H93" s="259">
        <v>12000</v>
      </c>
      <c r="I93" s="261"/>
      <c r="J93" s="262"/>
      <c r="K93" s="263"/>
      <c r="L93" s="264"/>
      <c r="M93" s="219"/>
      <c r="N93" s="220"/>
      <c r="O93" s="218"/>
      <c r="P93" s="259"/>
      <c r="Q93" s="219"/>
      <c r="R93" s="220"/>
      <c r="S93" s="218"/>
      <c r="T93" s="218"/>
      <c r="U93" s="221"/>
      <c r="V93" s="219"/>
      <c r="W93" s="220"/>
      <c r="X93" s="218"/>
      <c r="Y93" s="221"/>
    </row>
    <row r="94" spans="1:25" ht="16.149999999999999" customHeight="1" x14ac:dyDescent="0.2">
      <c r="A94" s="370"/>
      <c r="B94" s="369"/>
      <c r="C94" s="180">
        <f t="shared" si="1"/>
        <v>0</v>
      </c>
      <c r="D94" s="278"/>
      <c r="E94" s="257"/>
      <c r="F94" s="257"/>
      <c r="G94" s="258"/>
      <c r="H94" s="259"/>
      <c r="I94" s="261"/>
      <c r="J94" s="262"/>
      <c r="K94" s="263"/>
      <c r="L94" s="264"/>
      <c r="M94" s="219"/>
      <c r="N94" s="220"/>
      <c r="O94" s="218"/>
      <c r="P94" s="259"/>
      <c r="Q94" s="219"/>
      <c r="R94" s="220"/>
      <c r="S94" s="218"/>
      <c r="T94" s="218"/>
      <c r="U94" s="221"/>
      <c r="V94" s="219"/>
      <c r="W94" s="220"/>
      <c r="X94" s="218"/>
      <c r="Y94" s="221"/>
    </row>
    <row r="95" spans="1:25" ht="16.149999999999999" customHeight="1" x14ac:dyDescent="0.2">
      <c r="A95" s="370">
        <f>A91+1</f>
        <v>45069</v>
      </c>
      <c r="B95" s="369" t="str">
        <f>IF(WEEKDAY(A95)=1,"CN","T"&amp;WEEKDAY(A95))</f>
        <v>T3</v>
      </c>
      <c r="C95" s="180">
        <f t="shared" si="1"/>
        <v>129000</v>
      </c>
      <c r="D95" s="278" t="s">
        <v>204</v>
      </c>
      <c r="E95" s="257"/>
      <c r="F95" s="257"/>
      <c r="G95" s="258"/>
      <c r="H95" s="259">
        <v>36000</v>
      </c>
      <c r="I95" s="219" t="s">
        <v>105</v>
      </c>
      <c r="J95" s="220" t="s">
        <v>181</v>
      </c>
      <c r="K95" s="218"/>
      <c r="L95" s="221">
        <v>41000</v>
      </c>
      <c r="M95" s="219" t="s">
        <v>123</v>
      </c>
      <c r="N95" s="220" t="s">
        <v>165</v>
      </c>
      <c r="O95" s="218"/>
      <c r="P95" s="259">
        <v>14000</v>
      </c>
      <c r="Q95" s="219" t="s">
        <v>189</v>
      </c>
      <c r="R95" s="220" t="s">
        <v>188</v>
      </c>
      <c r="S95" s="218"/>
      <c r="T95" s="218"/>
      <c r="U95" s="221">
        <v>38000</v>
      </c>
      <c r="V95" s="219" t="s">
        <v>115</v>
      </c>
      <c r="W95" s="220" t="s">
        <v>170</v>
      </c>
      <c r="X95" s="218"/>
      <c r="Y95" s="221">
        <v>88000</v>
      </c>
    </row>
    <row r="96" spans="1:25" ht="16.149999999999999" customHeight="1" x14ac:dyDescent="0.2">
      <c r="A96" s="370"/>
      <c r="B96" s="369"/>
      <c r="C96" s="180">
        <f t="shared" si="1"/>
        <v>3000</v>
      </c>
      <c r="D96" s="278"/>
      <c r="E96" s="257"/>
      <c r="F96" s="257"/>
      <c r="G96" s="258"/>
      <c r="H96" s="259"/>
      <c r="I96" s="219"/>
      <c r="J96" s="220"/>
      <c r="K96" s="218"/>
      <c r="L96" s="221"/>
      <c r="M96" s="219" t="s">
        <v>201</v>
      </c>
      <c r="N96" s="220" t="s">
        <v>165</v>
      </c>
      <c r="O96" s="218"/>
      <c r="P96" s="259">
        <v>3000</v>
      </c>
      <c r="Q96" s="219"/>
      <c r="R96" s="220"/>
      <c r="S96" s="218"/>
      <c r="T96" s="218"/>
      <c r="U96" s="221"/>
      <c r="V96" s="219"/>
      <c r="W96" s="220"/>
      <c r="X96" s="218"/>
      <c r="Y96" s="221"/>
    </row>
    <row r="97" spans="1:25" ht="16.149999999999999" customHeight="1" x14ac:dyDescent="0.2">
      <c r="A97" s="370"/>
      <c r="B97" s="369"/>
      <c r="C97" s="180">
        <f t="shared" si="1"/>
        <v>24000</v>
      </c>
      <c r="D97" s="278"/>
      <c r="E97" s="257"/>
      <c r="F97" s="257"/>
      <c r="G97" s="258"/>
      <c r="H97" s="259"/>
      <c r="I97" s="219"/>
      <c r="J97" s="220"/>
      <c r="K97" s="218"/>
      <c r="L97" s="221"/>
      <c r="M97" s="219" t="s">
        <v>177</v>
      </c>
      <c r="N97" s="220"/>
      <c r="O97" s="218"/>
      <c r="P97" s="221">
        <f>41000-17000</f>
        <v>24000</v>
      </c>
      <c r="Q97" s="219"/>
      <c r="R97" s="220"/>
      <c r="S97" s="218"/>
      <c r="T97" s="218"/>
      <c r="U97" s="221"/>
      <c r="V97" s="219"/>
      <c r="W97" s="220"/>
      <c r="X97" s="218"/>
      <c r="Y97" s="221"/>
    </row>
    <row r="98" spans="1:25" ht="16.149999999999999" customHeight="1" x14ac:dyDescent="0.2">
      <c r="A98" s="370"/>
      <c r="B98" s="369"/>
      <c r="C98" s="180">
        <f t="shared" si="1"/>
        <v>0</v>
      </c>
      <c r="D98" s="278"/>
      <c r="E98" s="257"/>
      <c r="F98" s="257"/>
      <c r="G98" s="258"/>
      <c r="H98" s="259"/>
      <c r="I98" s="219"/>
      <c r="J98" s="220"/>
      <c r="K98" s="218"/>
      <c r="L98" s="221"/>
      <c r="M98" s="219"/>
      <c r="N98" s="220"/>
      <c r="O98" s="218"/>
      <c r="P98" s="221"/>
      <c r="Q98" s="219"/>
      <c r="R98" s="220"/>
      <c r="S98" s="218"/>
      <c r="T98" s="218"/>
      <c r="U98" s="221"/>
      <c r="V98" s="219"/>
      <c r="W98" s="220"/>
      <c r="X98" s="218"/>
      <c r="Y98" s="221"/>
    </row>
    <row r="99" spans="1:25" ht="16.149999999999999" customHeight="1" x14ac:dyDescent="0.2">
      <c r="A99" s="370">
        <f>A95+1</f>
        <v>45070</v>
      </c>
      <c r="B99" s="369" t="str">
        <f>IF(WEEKDAY(A99)=1,"CN","T"&amp;WEEKDAY(A99))</f>
        <v>T4</v>
      </c>
      <c r="C99" s="180">
        <f t="shared" si="1"/>
        <v>119000</v>
      </c>
      <c r="D99" s="278" t="s">
        <v>204</v>
      </c>
      <c r="E99" s="257"/>
      <c r="F99" s="257"/>
      <c r="G99" s="258"/>
      <c r="H99" s="259">
        <v>36000</v>
      </c>
      <c r="I99" s="219" t="s">
        <v>105</v>
      </c>
      <c r="J99" s="220" t="s">
        <v>181</v>
      </c>
      <c r="K99" s="218"/>
      <c r="L99" s="221">
        <v>39000</v>
      </c>
      <c r="M99" s="219" t="s">
        <v>177</v>
      </c>
      <c r="N99" s="220" t="s">
        <v>178</v>
      </c>
      <c r="O99" s="218"/>
      <c r="P99" s="221">
        <v>41000</v>
      </c>
      <c r="Q99" s="219" t="s">
        <v>189</v>
      </c>
      <c r="R99" s="220" t="s">
        <v>188</v>
      </c>
      <c r="S99" s="218"/>
      <c r="T99" s="218"/>
      <c r="U99" s="221">
        <v>3000</v>
      </c>
      <c r="V99" s="219" t="s">
        <v>115</v>
      </c>
      <c r="W99" s="220" t="s">
        <v>170</v>
      </c>
      <c r="X99" s="218"/>
      <c r="Y99" s="221">
        <v>56000</v>
      </c>
    </row>
    <row r="100" spans="1:25" ht="16.149999999999999" customHeight="1" x14ac:dyDescent="0.2">
      <c r="A100" s="370"/>
      <c r="B100" s="369"/>
      <c r="C100" s="180">
        <f t="shared" si="1"/>
        <v>37000</v>
      </c>
      <c r="D100" s="278"/>
      <c r="E100" s="257"/>
      <c r="F100" s="257"/>
      <c r="G100" s="258"/>
      <c r="H100" s="259"/>
      <c r="I100" s="219" t="s">
        <v>105</v>
      </c>
      <c r="J100" s="220" t="s">
        <v>182</v>
      </c>
      <c r="K100" s="218"/>
      <c r="L100" s="221">
        <v>2000</v>
      </c>
      <c r="M100" s="219"/>
      <c r="N100" s="220"/>
      <c r="O100" s="218"/>
      <c r="P100" s="221"/>
      <c r="Q100" s="219" t="s">
        <v>143</v>
      </c>
      <c r="R100" s="220" t="s">
        <v>188</v>
      </c>
      <c r="S100" s="218"/>
      <c r="T100" s="218"/>
      <c r="U100" s="221">
        <v>35000</v>
      </c>
      <c r="V100" s="204"/>
      <c r="W100" s="173"/>
      <c r="X100" s="206"/>
      <c r="Y100" s="205"/>
    </row>
    <row r="101" spans="1:25" ht="16.149999999999999" customHeight="1" x14ac:dyDescent="0.2">
      <c r="A101" s="370"/>
      <c r="B101" s="369"/>
      <c r="C101" s="180">
        <f t="shared" si="1"/>
        <v>0</v>
      </c>
      <c r="D101" s="278"/>
      <c r="E101" s="257"/>
      <c r="F101" s="257"/>
      <c r="G101" s="258"/>
      <c r="H101" s="259"/>
      <c r="I101" s="219"/>
      <c r="J101" s="220"/>
      <c r="K101" s="218"/>
      <c r="L101" s="221"/>
      <c r="M101" s="219"/>
      <c r="N101" s="220"/>
      <c r="O101" s="218"/>
      <c r="P101" s="221"/>
      <c r="Q101" s="219"/>
      <c r="R101" s="220"/>
      <c r="S101" s="218"/>
      <c r="T101" s="218"/>
      <c r="U101" s="221"/>
      <c r="V101" s="204"/>
      <c r="W101" s="173"/>
      <c r="X101" s="206"/>
      <c r="Y101" s="205"/>
    </row>
    <row r="102" spans="1:25" ht="16.149999999999999" customHeight="1" x14ac:dyDescent="0.2">
      <c r="A102" s="370"/>
      <c r="B102" s="369"/>
      <c r="C102" s="180">
        <f t="shared" si="1"/>
        <v>0</v>
      </c>
      <c r="D102" s="278"/>
      <c r="E102" s="257"/>
      <c r="F102" s="257"/>
      <c r="G102" s="258"/>
      <c r="H102" s="259"/>
      <c r="I102" s="219"/>
      <c r="J102" s="220"/>
      <c r="K102" s="218"/>
      <c r="L102" s="221"/>
      <c r="M102" s="219"/>
      <c r="N102" s="220"/>
      <c r="O102" s="218"/>
      <c r="P102" s="221"/>
      <c r="Q102" s="219"/>
      <c r="R102" s="220"/>
      <c r="S102" s="218"/>
      <c r="T102" s="218"/>
      <c r="U102" s="221"/>
      <c r="V102" s="204"/>
      <c r="W102" s="173"/>
      <c r="X102" s="206"/>
      <c r="Y102" s="205"/>
    </row>
    <row r="103" spans="1:25" ht="16.149999999999999" customHeight="1" x14ac:dyDescent="0.2">
      <c r="A103" s="370">
        <f>A99+1</f>
        <v>45071</v>
      </c>
      <c r="B103" s="369" t="str">
        <f>IF(WEEKDAY(A103)=1,"CN","T"&amp;WEEKDAY(A103))</f>
        <v>T5</v>
      </c>
      <c r="C103" s="180">
        <f t="shared" si="1"/>
        <v>103000</v>
      </c>
      <c r="D103" s="278" t="s">
        <v>104</v>
      </c>
      <c r="E103" s="257"/>
      <c r="F103" s="257"/>
      <c r="G103" s="258"/>
      <c r="H103" s="259">
        <v>24000</v>
      </c>
      <c r="I103" s="219" t="s">
        <v>105</v>
      </c>
      <c r="J103" s="220" t="s">
        <v>182</v>
      </c>
      <c r="K103" s="218"/>
      <c r="L103" s="221">
        <v>41000</v>
      </c>
      <c r="M103" s="219"/>
      <c r="N103" s="220"/>
      <c r="O103" s="218"/>
      <c r="P103" s="221"/>
      <c r="Q103" s="219" t="s">
        <v>143</v>
      </c>
      <c r="R103" s="220" t="s">
        <v>188</v>
      </c>
      <c r="S103" s="218"/>
      <c r="T103" s="218"/>
      <c r="U103" s="221">
        <v>38000</v>
      </c>
      <c r="V103" s="204"/>
      <c r="W103" s="173"/>
      <c r="X103" s="206"/>
      <c r="Y103" s="205"/>
    </row>
    <row r="104" spans="1:25" ht="16.149999999999999" customHeight="1" x14ac:dyDescent="0.2">
      <c r="A104" s="370"/>
      <c r="B104" s="369"/>
      <c r="C104" s="180">
        <f t="shared" si="1"/>
        <v>41000</v>
      </c>
      <c r="D104" s="278"/>
      <c r="E104" s="257"/>
      <c r="F104" s="257"/>
      <c r="G104" s="258"/>
      <c r="H104" s="259"/>
      <c r="I104" s="219"/>
      <c r="J104" s="220"/>
      <c r="K104" s="218"/>
      <c r="L104" s="221"/>
      <c r="M104" s="219" t="s">
        <v>177</v>
      </c>
      <c r="N104" s="220" t="s">
        <v>178</v>
      </c>
      <c r="O104" s="218"/>
      <c r="P104" s="221">
        <v>41000</v>
      </c>
      <c r="Q104" s="219"/>
      <c r="R104" s="220"/>
      <c r="S104" s="218"/>
      <c r="T104" s="218"/>
      <c r="U104" s="221"/>
      <c r="V104" s="204"/>
      <c r="W104" s="173"/>
      <c r="X104" s="206"/>
      <c r="Y104" s="205"/>
    </row>
    <row r="105" spans="1:25" ht="16.149999999999999" customHeight="1" x14ac:dyDescent="0.2">
      <c r="A105" s="370"/>
      <c r="B105" s="369"/>
      <c r="C105" s="180">
        <f t="shared" si="1"/>
        <v>0</v>
      </c>
      <c r="D105" s="278"/>
      <c r="E105" s="257"/>
      <c r="F105" s="257"/>
      <c r="G105" s="258"/>
      <c r="H105" s="259"/>
      <c r="I105" s="219"/>
      <c r="J105" s="220"/>
      <c r="K105" s="218"/>
      <c r="L105" s="221"/>
      <c r="M105" s="219"/>
      <c r="N105" s="220"/>
      <c r="O105" s="218"/>
      <c r="P105" s="221"/>
      <c r="Q105" s="219"/>
      <c r="R105" s="220"/>
      <c r="S105" s="218"/>
      <c r="T105" s="218"/>
      <c r="U105" s="221"/>
      <c r="V105" s="204"/>
      <c r="W105" s="173"/>
      <c r="X105" s="206"/>
      <c r="Y105" s="205"/>
    </row>
    <row r="106" spans="1:25" ht="16.149999999999999" customHeight="1" x14ac:dyDescent="0.2">
      <c r="A106" s="370"/>
      <c r="B106" s="369"/>
      <c r="C106" s="180">
        <f t="shared" si="1"/>
        <v>0</v>
      </c>
      <c r="D106" s="278"/>
      <c r="E106" s="257"/>
      <c r="F106" s="257"/>
      <c r="G106" s="258"/>
      <c r="H106" s="259"/>
      <c r="I106" s="219"/>
      <c r="J106" s="220"/>
      <c r="K106" s="218"/>
      <c r="L106" s="221"/>
      <c r="M106" s="219"/>
      <c r="N106" s="220"/>
      <c r="O106" s="218"/>
      <c r="P106" s="221"/>
      <c r="Q106" s="219"/>
      <c r="R106" s="220"/>
      <c r="S106" s="218"/>
      <c r="T106" s="218"/>
      <c r="U106" s="221"/>
      <c r="V106" s="204"/>
      <c r="W106" s="173"/>
      <c r="X106" s="206"/>
      <c r="Y106" s="205"/>
    </row>
    <row r="107" spans="1:25" ht="16.149999999999999" customHeight="1" x14ac:dyDescent="0.2">
      <c r="A107" s="370">
        <f>A103+1</f>
        <v>45072</v>
      </c>
      <c r="B107" s="369" t="str">
        <f>IF(WEEKDAY(A107)=1,"CN","T"&amp;WEEKDAY(A107))</f>
        <v>T6</v>
      </c>
      <c r="C107" s="180">
        <f t="shared" si="1"/>
        <v>123000</v>
      </c>
      <c r="D107" s="222" t="s">
        <v>189</v>
      </c>
      <c r="E107" s="220" t="s">
        <v>190</v>
      </c>
      <c r="F107" s="220"/>
      <c r="G107" s="218"/>
      <c r="H107" s="221">
        <v>38000</v>
      </c>
      <c r="I107" s="219" t="s">
        <v>105</v>
      </c>
      <c r="J107" s="220" t="s">
        <v>182</v>
      </c>
      <c r="K107" s="218"/>
      <c r="L107" s="221">
        <v>41000</v>
      </c>
      <c r="M107" s="219" t="s">
        <v>177</v>
      </c>
      <c r="N107" s="220" t="s">
        <v>178</v>
      </c>
      <c r="O107" s="218"/>
      <c r="P107" s="221">
        <v>6000</v>
      </c>
      <c r="Q107" s="219" t="s">
        <v>143</v>
      </c>
      <c r="R107" s="220" t="s">
        <v>188</v>
      </c>
      <c r="S107" s="218"/>
      <c r="T107" s="218"/>
      <c r="U107" s="221">
        <v>38000</v>
      </c>
      <c r="V107" s="204"/>
      <c r="W107" s="173"/>
      <c r="X107" s="206"/>
      <c r="Y107" s="205"/>
    </row>
    <row r="108" spans="1:25" ht="16.149999999999999" customHeight="1" x14ac:dyDescent="0.2">
      <c r="A108" s="370"/>
      <c r="B108" s="369"/>
      <c r="C108" s="180">
        <f t="shared" si="1"/>
        <v>28000</v>
      </c>
      <c r="D108" s="222"/>
      <c r="E108" s="220"/>
      <c r="F108" s="220"/>
      <c r="G108" s="218"/>
      <c r="H108" s="221"/>
      <c r="I108" s="219"/>
      <c r="J108" s="220"/>
      <c r="K108" s="218"/>
      <c r="L108" s="221"/>
      <c r="M108" s="256" t="s">
        <v>124</v>
      </c>
      <c r="N108" s="257" t="s">
        <v>207</v>
      </c>
      <c r="O108" s="258"/>
      <c r="P108" s="259">
        <v>28000</v>
      </c>
      <c r="Q108" s="219"/>
      <c r="R108" s="220"/>
      <c r="S108" s="218"/>
      <c r="T108" s="218"/>
      <c r="U108" s="221"/>
      <c r="V108" s="204"/>
      <c r="W108" s="173"/>
      <c r="X108" s="206"/>
      <c r="Y108" s="205"/>
    </row>
    <row r="109" spans="1:25" ht="16.149999999999999" customHeight="1" x14ac:dyDescent="0.2">
      <c r="A109" s="370"/>
      <c r="B109" s="369"/>
      <c r="C109" s="180">
        <f t="shared" si="1"/>
        <v>7000</v>
      </c>
      <c r="D109" s="222"/>
      <c r="E109" s="220"/>
      <c r="F109" s="220"/>
      <c r="G109" s="218"/>
      <c r="H109" s="221"/>
      <c r="I109" s="219"/>
      <c r="J109" s="220"/>
      <c r="K109" s="218"/>
      <c r="L109" s="221"/>
      <c r="M109" s="219" t="s">
        <v>124</v>
      </c>
      <c r="N109" s="220" t="s">
        <v>186</v>
      </c>
      <c r="O109" s="218"/>
      <c r="P109" s="221">
        <f>41000-P108-P107</f>
        <v>7000</v>
      </c>
      <c r="Q109" s="219"/>
      <c r="R109" s="220"/>
      <c r="S109" s="218"/>
      <c r="T109" s="218"/>
      <c r="U109" s="221"/>
      <c r="V109" s="204"/>
      <c r="W109" s="173"/>
      <c r="X109" s="206"/>
      <c r="Y109" s="205"/>
    </row>
    <row r="110" spans="1:25" ht="16.149999999999999" customHeight="1" x14ac:dyDescent="0.2">
      <c r="A110" s="370"/>
      <c r="B110" s="369"/>
      <c r="C110" s="180">
        <f t="shared" si="1"/>
        <v>0</v>
      </c>
      <c r="D110" s="222"/>
      <c r="E110" s="220"/>
      <c r="F110" s="220"/>
      <c r="G110" s="218"/>
      <c r="H110" s="221"/>
      <c r="I110" s="219"/>
      <c r="J110" s="220"/>
      <c r="K110" s="218"/>
      <c r="L110" s="221"/>
      <c r="M110" s="219"/>
      <c r="N110" s="220"/>
      <c r="O110" s="218"/>
      <c r="P110" s="221"/>
      <c r="Q110" s="219"/>
      <c r="R110" s="220"/>
      <c r="S110" s="218"/>
      <c r="T110" s="218"/>
      <c r="U110" s="221"/>
      <c r="V110" s="204"/>
      <c r="W110" s="173"/>
      <c r="X110" s="206"/>
      <c r="Y110" s="205"/>
    </row>
    <row r="111" spans="1:25" ht="16.149999999999999" customHeight="1" x14ac:dyDescent="0.2">
      <c r="A111" s="370">
        <f>A107+1</f>
        <v>45073</v>
      </c>
      <c r="B111" s="369" t="str">
        <f>IF(WEEKDAY(A111)=1,"CN","T"&amp;WEEKDAY(A111))</f>
        <v>T7</v>
      </c>
      <c r="C111" s="180">
        <f t="shared" si="1"/>
        <v>134000</v>
      </c>
      <c r="D111" s="222" t="s">
        <v>189</v>
      </c>
      <c r="E111" s="220" t="s">
        <v>190</v>
      </c>
      <c r="F111" s="220"/>
      <c r="G111" s="218"/>
      <c r="H111" s="221">
        <v>38000</v>
      </c>
      <c r="I111" s="219" t="s">
        <v>105</v>
      </c>
      <c r="J111" s="220" t="s">
        <v>182</v>
      </c>
      <c r="K111" s="218"/>
      <c r="L111" s="221">
        <v>41000</v>
      </c>
      <c r="M111" s="219" t="s">
        <v>124</v>
      </c>
      <c r="N111" s="220" t="s">
        <v>186</v>
      </c>
      <c r="O111" s="218"/>
      <c r="P111" s="221">
        <v>41000</v>
      </c>
      <c r="Q111" s="219" t="s">
        <v>143</v>
      </c>
      <c r="R111" s="220" t="s">
        <v>188</v>
      </c>
      <c r="S111" s="218"/>
      <c r="T111" s="218"/>
      <c r="U111" s="221">
        <v>14000</v>
      </c>
      <c r="V111" s="204"/>
      <c r="W111" s="173"/>
      <c r="X111" s="206"/>
      <c r="Y111" s="205"/>
    </row>
    <row r="112" spans="1:25" ht="16.149999999999999" customHeight="1" x14ac:dyDescent="0.2">
      <c r="A112" s="370"/>
      <c r="B112" s="369"/>
      <c r="C112" s="180">
        <f t="shared" si="1"/>
        <v>24000</v>
      </c>
      <c r="D112" s="222"/>
      <c r="E112" s="220"/>
      <c r="F112" s="220"/>
      <c r="G112" s="218"/>
      <c r="H112" s="221"/>
      <c r="I112" s="219"/>
      <c r="J112" s="220"/>
      <c r="K112" s="218"/>
      <c r="L112" s="221"/>
      <c r="M112" s="219"/>
      <c r="N112" s="220"/>
      <c r="O112" s="218"/>
      <c r="P112" s="221"/>
      <c r="Q112" s="219" t="s">
        <v>143</v>
      </c>
      <c r="R112" s="220" t="s">
        <v>190</v>
      </c>
      <c r="S112" s="218"/>
      <c r="T112" s="218"/>
      <c r="U112" s="221">
        <f>38000-U111</f>
        <v>24000</v>
      </c>
      <c r="V112" s="204"/>
      <c r="W112" s="173"/>
      <c r="X112" s="206"/>
      <c r="Y112" s="205"/>
    </row>
    <row r="113" spans="1:25" ht="16.149999999999999" customHeight="1" x14ac:dyDescent="0.2">
      <c r="A113" s="370"/>
      <c r="B113" s="369"/>
      <c r="C113" s="180">
        <f t="shared" si="1"/>
        <v>0</v>
      </c>
      <c r="D113" s="222"/>
      <c r="E113" s="220"/>
      <c r="F113" s="220"/>
      <c r="G113" s="218"/>
      <c r="H113" s="221"/>
      <c r="I113" s="219"/>
      <c r="J113" s="220"/>
      <c r="K113" s="218"/>
      <c r="L113" s="221"/>
      <c r="M113" s="219"/>
      <c r="N113" s="220"/>
      <c r="O113" s="218"/>
      <c r="P113" s="221"/>
      <c r="Q113" s="219"/>
      <c r="R113" s="220"/>
      <c r="S113" s="218"/>
      <c r="T113" s="218"/>
      <c r="U113" s="221"/>
      <c r="V113" s="204"/>
      <c r="W113" s="173"/>
      <c r="X113" s="206"/>
      <c r="Y113" s="205"/>
    </row>
    <row r="114" spans="1:25" ht="16.149999999999999" customHeight="1" x14ac:dyDescent="0.2">
      <c r="A114" s="370"/>
      <c r="B114" s="369"/>
      <c r="C114" s="180">
        <f t="shared" si="1"/>
        <v>0</v>
      </c>
      <c r="D114" s="222"/>
      <c r="E114" s="220"/>
      <c r="F114" s="220"/>
      <c r="G114" s="218"/>
      <c r="H114" s="221"/>
      <c r="I114" s="219"/>
      <c r="J114" s="220"/>
      <c r="K114" s="218"/>
      <c r="L114" s="221"/>
      <c r="M114" s="219"/>
      <c r="N114" s="220"/>
      <c r="O114" s="218"/>
      <c r="P114" s="221"/>
      <c r="Q114" s="219"/>
      <c r="R114" s="220"/>
      <c r="S114" s="218"/>
      <c r="T114" s="218"/>
      <c r="U114" s="221"/>
      <c r="V114" s="204"/>
      <c r="W114" s="173"/>
      <c r="X114" s="206"/>
      <c r="Y114" s="205"/>
    </row>
    <row r="115" spans="1:25" ht="16.149999999999999" customHeight="1" x14ac:dyDescent="0.2">
      <c r="A115" s="370">
        <f>A111+1</f>
        <v>45074</v>
      </c>
      <c r="B115" s="369" t="str">
        <f>IF(WEEKDAY(A115)=1,"CN","T"&amp;WEEKDAY(A115))</f>
        <v>CN</v>
      </c>
      <c r="C115" s="180">
        <f t="shared" si="1"/>
        <v>78000</v>
      </c>
      <c r="D115" s="164"/>
      <c r="E115" s="270"/>
      <c r="F115" s="270"/>
      <c r="G115" s="166"/>
      <c r="H115" s="165"/>
      <c r="I115" s="219" t="s">
        <v>105</v>
      </c>
      <c r="J115" s="220" t="s">
        <v>182</v>
      </c>
      <c r="K115" s="218"/>
      <c r="L115" s="221">
        <v>37000</v>
      </c>
      <c r="M115" s="219" t="s">
        <v>124</v>
      </c>
      <c r="N115" s="220" t="s">
        <v>186</v>
      </c>
      <c r="O115" s="218"/>
      <c r="P115" s="221">
        <v>41000</v>
      </c>
      <c r="Q115" s="272"/>
      <c r="R115" s="273"/>
      <c r="S115" s="274"/>
      <c r="T115" s="274"/>
      <c r="U115" s="275"/>
      <c r="V115" s="204"/>
      <c r="W115" s="173"/>
      <c r="X115" s="206"/>
      <c r="Y115" s="205"/>
    </row>
    <row r="116" spans="1:25" ht="16.149999999999999" customHeight="1" x14ac:dyDescent="0.2">
      <c r="A116" s="370"/>
      <c r="B116" s="369"/>
      <c r="C116" s="180">
        <f t="shared" si="1"/>
        <v>3000</v>
      </c>
      <c r="D116" s="164"/>
      <c r="E116" s="270"/>
      <c r="F116" s="270"/>
      <c r="G116" s="166"/>
      <c r="H116" s="165"/>
      <c r="I116" s="219" t="s">
        <v>105</v>
      </c>
      <c r="J116" s="220" t="s">
        <v>183</v>
      </c>
      <c r="K116" s="218"/>
      <c r="L116" s="221">
        <v>3000</v>
      </c>
      <c r="M116" s="219"/>
      <c r="N116" s="220"/>
      <c r="O116" s="218"/>
      <c r="P116" s="221"/>
      <c r="Q116" s="272"/>
      <c r="R116" s="273"/>
      <c r="S116" s="274"/>
      <c r="T116" s="274"/>
      <c r="U116" s="275"/>
      <c r="V116" s="204"/>
      <c r="W116" s="173"/>
      <c r="X116" s="206"/>
      <c r="Y116" s="205"/>
    </row>
    <row r="117" spans="1:25" ht="16.149999999999999" customHeight="1" x14ac:dyDescent="0.2">
      <c r="A117" s="370"/>
      <c r="B117" s="369"/>
      <c r="C117" s="180">
        <f t="shared" si="1"/>
        <v>0</v>
      </c>
      <c r="D117" s="164"/>
      <c r="E117" s="270"/>
      <c r="F117" s="270"/>
      <c r="G117" s="166"/>
      <c r="H117" s="165"/>
      <c r="I117" s="219"/>
      <c r="J117" s="220"/>
      <c r="K117" s="218"/>
      <c r="L117" s="221"/>
      <c r="M117" s="219"/>
      <c r="N117" s="220"/>
      <c r="O117" s="218"/>
      <c r="P117" s="221"/>
      <c r="Q117" s="272"/>
      <c r="R117" s="273"/>
      <c r="S117" s="274"/>
      <c r="T117" s="274"/>
      <c r="U117" s="275"/>
      <c r="V117" s="204"/>
      <c r="W117" s="173"/>
      <c r="X117" s="206"/>
      <c r="Y117" s="205"/>
    </row>
    <row r="118" spans="1:25" ht="16.149999999999999" customHeight="1" x14ac:dyDescent="0.2">
      <c r="A118" s="370"/>
      <c r="B118" s="369"/>
      <c r="C118" s="180">
        <f t="shared" si="1"/>
        <v>0</v>
      </c>
      <c r="D118" s="164"/>
      <c r="E118" s="270"/>
      <c r="F118" s="270"/>
      <c r="G118" s="166"/>
      <c r="H118" s="165"/>
      <c r="I118" s="219"/>
      <c r="J118" s="220"/>
      <c r="K118" s="218"/>
      <c r="L118" s="221"/>
      <c r="M118" s="219"/>
      <c r="N118" s="220"/>
      <c r="O118" s="218"/>
      <c r="P118" s="221"/>
      <c r="Q118" s="272"/>
      <c r="R118" s="273"/>
      <c r="S118" s="274"/>
      <c r="T118" s="274"/>
      <c r="U118" s="275"/>
      <c r="V118" s="204"/>
      <c r="W118" s="173"/>
      <c r="X118" s="206"/>
      <c r="Y118" s="205"/>
    </row>
    <row r="119" spans="1:25" ht="16.149999999999999" customHeight="1" x14ac:dyDescent="0.2">
      <c r="A119" s="370">
        <f>A115+1</f>
        <v>45075</v>
      </c>
      <c r="B119" s="369" t="str">
        <f>IF(WEEKDAY(A119)=1,"CN","T"&amp;WEEKDAY(A119))</f>
        <v>T2</v>
      </c>
      <c r="C119" s="180">
        <f>SUM(D119:U119)</f>
        <v>123000</v>
      </c>
      <c r="D119" s="222" t="s">
        <v>189</v>
      </c>
      <c r="E119" s="220" t="s">
        <v>190</v>
      </c>
      <c r="F119" s="220"/>
      <c r="G119" s="218"/>
      <c r="H119" s="221">
        <v>38000</v>
      </c>
      <c r="I119" s="219" t="s">
        <v>105</v>
      </c>
      <c r="J119" s="220" t="s">
        <v>165</v>
      </c>
      <c r="K119" s="218"/>
      <c r="L119" s="221">
        <v>6000</v>
      </c>
      <c r="M119" s="219" t="s">
        <v>124</v>
      </c>
      <c r="N119" s="220" t="s">
        <v>186</v>
      </c>
      <c r="O119" s="218"/>
      <c r="P119" s="221">
        <v>41000</v>
      </c>
      <c r="Q119" s="219" t="s">
        <v>143</v>
      </c>
      <c r="R119" s="220" t="s">
        <v>190</v>
      </c>
      <c r="S119" s="218"/>
      <c r="T119" s="218"/>
      <c r="U119" s="221">
        <v>38000</v>
      </c>
      <c r="V119" s="204"/>
      <c r="W119" s="173"/>
      <c r="X119" s="206"/>
      <c r="Y119" s="205"/>
    </row>
    <row r="120" spans="1:25" ht="16.149999999999999" customHeight="1" x14ac:dyDescent="0.2">
      <c r="A120" s="370"/>
      <c r="B120" s="369"/>
      <c r="C120" s="180">
        <f>SUM(D120:U120)</f>
        <v>10000</v>
      </c>
      <c r="D120" s="222"/>
      <c r="E120" s="220"/>
      <c r="F120" s="220"/>
      <c r="G120" s="218"/>
      <c r="H120" s="221"/>
      <c r="I120" s="219" t="s">
        <v>105</v>
      </c>
      <c r="J120" s="220" t="s">
        <v>103</v>
      </c>
      <c r="K120" s="218"/>
      <c r="L120" s="221">
        <v>10000</v>
      </c>
      <c r="M120" s="219"/>
      <c r="N120" s="220"/>
      <c r="O120" s="218"/>
      <c r="P120" s="221"/>
      <c r="Q120" s="219"/>
      <c r="R120" s="220"/>
      <c r="S120" s="218"/>
      <c r="T120" s="218"/>
      <c r="U120" s="221"/>
      <c r="V120" s="204"/>
      <c r="W120" s="173"/>
      <c r="X120" s="206"/>
      <c r="Y120" s="205"/>
    </row>
    <row r="121" spans="1:25" ht="16.149999999999999" customHeight="1" x14ac:dyDescent="0.2">
      <c r="A121" s="370"/>
      <c r="B121" s="369"/>
      <c r="C121" s="180">
        <f>SUM(D121:U121)</f>
        <v>20000</v>
      </c>
      <c r="D121" s="222"/>
      <c r="E121" s="220"/>
      <c r="F121" s="220"/>
      <c r="G121" s="218"/>
      <c r="H121" s="221"/>
      <c r="I121" s="219" t="s">
        <v>105</v>
      </c>
      <c r="J121" s="220" t="s">
        <v>184</v>
      </c>
      <c r="K121" s="218"/>
      <c r="L121" s="221">
        <v>20000</v>
      </c>
      <c r="M121" s="219"/>
      <c r="N121" s="220"/>
      <c r="O121" s="218"/>
      <c r="P121" s="221"/>
      <c r="Q121" s="219"/>
      <c r="R121" s="220"/>
      <c r="S121" s="218"/>
      <c r="T121" s="218"/>
      <c r="U121" s="221"/>
      <c r="V121" s="204"/>
      <c r="W121" s="173"/>
      <c r="X121" s="206"/>
      <c r="Y121" s="205"/>
    </row>
    <row r="122" spans="1:25" ht="16.149999999999999" customHeight="1" x14ac:dyDescent="0.2">
      <c r="A122" s="370"/>
      <c r="B122" s="369"/>
      <c r="C122" s="180">
        <f>SUM(D122:U122)</f>
        <v>2000</v>
      </c>
      <c r="D122" s="222"/>
      <c r="E122" s="220"/>
      <c r="F122" s="220"/>
      <c r="G122" s="218"/>
      <c r="H122" s="221"/>
      <c r="I122" s="219" t="s">
        <v>105</v>
      </c>
      <c r="J122" s="220" t="s">
        <v>185</v>
      </c>
      <c r="K122" s="218"/>
      <c r="L122" s="221">
        <v>2000</v>
      </c>
      <c r="M122" s="219"/>
      <c r="N122" s="220"/>
      <c r="O122" s="218"/>
      <c r="P122" s="221"/>
      <c r="Q122" s="219"/>
      <c r="R122" s="220"/>
      <c r="S122" s="218"/>
      <c r="T122" s="218"/>
      <c r="U122" s="221"/>
      <c r="V122" s="204"/>
      <c r="W122" s="173"/>
      <c r="X122" s="206"/>
      <c r="Y122" s="205"/>
    </row>
    <row r="123" spans="1:25" ht="16.149999999999999" customHeight="1" x14ac:dyDescent="0.2">
      <c r="A123" s="370">
        <f>A119+1</f>
        <v>45076</v>
      </c>
      <c r="B123" s="369" t="str">
        <f>IF(WEEKDAY(A123)=1,"CN","T"&amp;WEEKDAY(A123))</f>
        <v>T3</v>
      </c>
      <c r="C123" s="180">
        <f t="shared" si="1"/>
        <v>131000</v>
      </c>
      <c r="D123" s="222" t="s">
        <v>189</v>
      </c>
      <c r="E123" s="220" t="s">
        <v>190</v>
      </c>
      <c r="F123" s="220"/>
      <c r="G123" s="218"/>
      <c r="H123" s="221">
        <f>36000-25000</f>
        <v>11000</v>
      </c>
      <c r="I123" s="219" t="s">
        <v>105</v>
      </c>
      <c r="J123" s="220" t="s">
        <v>208</v>
      </c>
      <c r="K123" s="218"/>
      <c r="L123" s="221">
        <v>41000</v>
      </c>
      <c r="M123" s="219" t="s">
        <v>124</v>
      </c>
      <c r="N123" s="220" t="s">
        <v>186</v>
      </c>
      <c r="O123" s="218"/>
      <c r="P123" s="221">
        <v>41000</v>
      </c>
      <c r="Q123" s="219" t="s">
        <v>143</v>
      </c>
      <c r="R123" s="220" t="s">
        <v>190</v>
      </c>
      <c r="S123" s="218"/>
      <c r="T123" s="218"/>
      <c r="U123" s="221">
        <v>38000</v>
      </c>
      <c r="V123" s="204"/>
      <c r="W123" s="173"/>
      <c r="X123" s="206"/>
      <c r="Y123" s="205"/>
    </row>
    <row r="124" spans="1:25" ht="16.149999999999999" customHeight="1" x14ac:dyDescent="0.2">
      <c r="A124" s="370"/>
      <c r="B124" s="369"/>
      <c r="C124" s="180">
        <f t="shared" si="1"/>
        <v>0</v>
      </c>
      <c r="D124" s="222"/>
      <c r="E124" s="220"/>
      <c r="F124" s="220"/>
      <c r="G124" s="218"/>
      <c r="H124" s="221"/>
      <c r="I124" s="219"/>
      <c r="J124" s="220"/>
      <c r="K124" s="218"/>
      <c r="L124" s="221"/>
      <c r="M124" s="219"/>
      <c r="N124" s="220"/>
      <c r="O124" s="218"/>
      <c r="P124" s="221"/>
      <c r="Q124" s="219"/>
      <c r="R124" s="220"/>
      <c r="S124" s="218"/>
      <c r="T124" s="218"/>
      <c r="U124" s="221"/>
      <c r="V124" s="204"/>
      <c r="W124" s="173"/>
      <c r="X124" s="206"/>
      <c r="Y124" s="205"/>
    </row>
    <row r="125" spans="1:25" ht="16.149999999999999" customHeight="1" x14ac:dyDescent="0.2">
      <c r="A125" s="370"/>
      <c r="B125" s="369"/>
      <c r="C125" s="180">
        <f t="shared" si="1"/>
        <v>0</v>
      </c>
      <c r="D125" s="222"/>
      <c r="E125" s="220"/>
      <c r="F125" s="220"/>
      <c r="G125" s="265"/>
      <c r="H125" s="221"/>
      <c r="I125" s="219"/>
      <c r="J125" s="220"/>
      <c r="K125" s="218"/>
      <c r="L125" s="221"/>
      <c r="M125" s="219"/>
      <c r="N125" s="220"/>
      <c r="O125" s="218"/>
      <c r="P125" s="221"/>
      <c r="Q125" s="219"/>
      <c r="R125" s="220"/>
      <c r="S125" s="218"/>
      <c r="T125" s="218"/>
      <c r="U125" s="221"/>
      <c r="V125" s="204"/>
      <c r="W125" s="173"/>
      <c r="X125" s="206"/>
      <c r="Y125" s="205"/>
    </row>
    <row r="126" spans="1:25" ht="16.149999999999999" customHeight="1" x14ac:dyDescent="0.2">
      <c r="A126" s="370"/>
      <c r="B126" s="369"/>
      <c r="C126" s="180">
        <f t="shared" si="1"/>
        <v>0</v>
      </c>
      <c r="D126" s="222"/>
      <c r="E126" s="220"/>
      <c r="F126" s="220"/>
      <c r="G126" s="265"/>
      <c r="H126" s="221"/>
      <c r="I126" s="219"/>
      <c r="J126" s="220"/>
      <c r="K126" s="218"/>
      <c r="L126" s="221"/>
      <c r="M126" s="219"/>
      <c r="N126" s="220"/>
      <c r="O126" s="218"/>
      <c r="P126" s="221"/>
      <c r="Q126" s="219"/>
      <c r="R126" s="220"/>
      <c r="S126" s="218"/>
      <c r="T126" s="218"/>
      <c r="U126" s="221"/>
      <c r="V126" s="204"/>
      <c r="W126" s="173"/>
      <c r="X126" s="206"/>
      <c r="Y126" s="205"/>
    </row>
    <row r="127" spans="1:25" ht="16.149999999999999" customHeight="1" x14ac:dyDescent="0.2">
      <c r="A127" s="370">
        <f>A123+1</f>
        <v>45077</v>
      </c>
      <c r="B127" s="369" t="str">
        <f>IF(WEEKDAY(A127)=1,"CN","T"&amp;WEEKDAY(A127))</f>
        <v>T4</v>
      </c>
      <c r="C127" s="180">
        <f t="shared" si="1"/>
        <v>144000</v>
      </c>
      <c r="D127" s="278" t="s">
        <v>121</v>
      </c>
      <c r="E127" s="257"/>
      <c r="F127" s="257"/>
      <c r="G127" s="258"/>
      <c r="H127" s="259">
        <v>24000</v>
      </c>
      <c r="I127" s="219" t="s">
        <v>105</v>
      </c>
      <c r="J127" s="220" t="s">
        <v>208</v>
      </c>
      <c r="K127" s="218"/>
      <c r="L127" s="221">
        <v>41000</v>
      </c>
      <c r="M127" s="219" t="s">
        <v>124</v>
      </c>
      <c r="N127" s="220" t="s">
        <v>186</v>
      </c>
      <c r="O127" s="218"/>
      <c r="P127" s="221">
        <v>41000</v>
      </c>
      <c r="Q127" s="219" t="s">
        <v>143</v>
      </c>
      <c r="R127" s="220" t="s">
        <v>190</v>
      </c>
      <c r="S127" s="218"/>
      <c r="T127" s="218"/>
      <c r="U127" s="221">
        <v>38000</v>
      </c>
      <c r="V127" s="204"/>
      <c r="W127" s="173"/>
      <c r="X127" s="206"/>
      <c r="Y127" s="205"/>
    </row>
    <row r="128" spans="1:25" ht="16.149999999999999" customHeight="1" x14ac:dyDescent="0.2">
      <c r="A128" s="370"/>
      <c r="B128" s="369"/>
      <c r="C128" s="180">
        <f t="shared" si="1"/>
        <v>14000</v>
      </c>
      <c r="D128" s="278" t="s">
        <v>104</v>
      </c>
      <c r="E128" s="257"/>
      <c r="F128" s="257"/>
      <c r="G128" s="258"/>
      <c r="H128" s="259">
        <v>14000</v>
      </c>
      <c r="I128" s="219"/>
      <c r="J128" s="220"/>
      <c r="K128" s="218"/>
      <c r="L128" s="221"/>
      <c r="M128" s="219"/>
      <c r="N128" s="220"/>
      <c r="O128" s="218"/>
      <c r="P128" s="221"/>
      <c r="Q128" s="219"/>
      <c r="R128" s="220"/>
      <c r="S128" s="218"/>
      <c r="T128" s="218"/>
      <c r="U128" s="221"/>
      <c r="V128" s="204"/>
      <c r="W128" s="173"/>
      <c r="X128" s="206"/>
      <c r="Y128" s="205"/>
    </row>
    <row r="129" spans="1:26" ht="16.149999999999999" customHeight="1" x14ac:dyDescent="0.2">
      <c r="A129" s="370"/>
      <c r="B129" s="369"/>
      <c r="C129" s="180">
        <f t="shared" si="1"/>
        <v>0</v>
      </c>
      <c r="D129" s="278"/>
      <c r="E129" s="257"/>
      <c r="F129" s="257"/>
      <c r="G129" s="258"/>
      <c r="H129" s="259"/>
      <c r="I129" s="219"/>
      <c r="J129" s="220"/>
      <c r="K129" s="218"/>
      <c r="L129" s="221"/>
      <c r="M129" s="219"/>
      <c r="N129" s="220"/>
      <c r="O129" s="218"/>
      <c r="P129" s="221"/>
      <c r="Q129" s="219"/>
      <c r="R129" s="220"/>
      <c r="S129" s="218"/>
      <c r="T129" s="218"/>
      <c r="U129" s="221"/>
      <c r="V129" s="204"/>
      <c r="W129" s="173"/>
      <c r="X129" s="206"/>
      <c r="Y129" s="205"/>
      <c r="Z129" s="135">
        <f>28*9</f>
        <v>252</v>
      </c>
    </row>
    <row r="130" spans="1:26" ht="16.149999999999999" customHeight="1" x14ac:dyDescent="0.2">
      <c r="A130" s="370"/>
      <c r="B130" s="369"/>
      <c r="C130" s="180">
        <f t="shared" si="1"/>
        <v>0</v>
      </c>
      <c r="D130" s="278"/>
      <c r="E130" s="257"/>
      <c r="F130" s="257"/>
      <c r="G130" s="258"/>
      <c r="H130" s="259"/>
      <c r="I130" s="219"/>
      <c r="J130" s="220"/>
      <c r="K130" s="218"/>
      <c r="L130" s="221"/>
      <c r="M130" s="219"/>
      <c r="N130" s="220"/>
      <c r="O130" s="218"/>
      <c r="P130" s="221"/>
      <c r="Q130" s="219"/>
      <c r="R130" s="220"/>
      <c r="S130" s="218"/>
      <c r="T130" s="218"/>
      <c r="U130" s="221"/>
      <c r="V130" s="204"/>
      <c r="W130" s="173"/>
      <c r="X130" s="206"/>
      <c r="Y130" s="205"/>
      <c r="Z130" s="135">
        <f>Z129/40</f>
        <v>6.3</v>
      </c>
    </row>
    <row r="131" spans="1:26" ht="16.149999999999999" customHeight="1" x14ac:dyDescent="0.2">
      <c r="A131" s="280">
        <f>A127+1</f>
        <v>45078</v>
      </c>
      <c r="B131" s="369" t="str">
        <f>IF(WEEKDAY(A131)=1,"CN","T"&amp;WEEKDAY(A131))</f>
        <v>T5</v>
      </c>
      <c r="C131" s="180">
        <f t="shared" si="1"/>
        <v>71000</v>
      </c>
      <c r="D131" s="278" t="s">
        <v>104</v>
      </c>
      <c r="E131" s="257"/>
      <c r="F131" s="257"/>
      <c r="G131" s="258"/>
      <c r="H131" s="259">
        <v>6000</v>
      </c>
      <c r="I131" s="219" t="s">
        <v>105</v>
      </c>
      <c r="J131" s="220" t="s">
        <v>208</v>
      </c>
      <c r="K131" s="218"/>
      <c r="L131" s="221">
        <v>41000</v>
      </c>
      <c r="M131" s="219" t="s">
        <v>124</v>
      </c>
      <c r="N131" s="220" t="s">
        <v>186</v>
      </c>
      <c r="O131" s="218"/>
      <c r="P131" s="221">
        <v>12000</v>
      </c>
      <c r="Q131" s="219" t="s">
        <v>143</v>
      </c>
      <c r="R131" s="220" t="s">
        <v>190</v>
      </c>
      <c r="S131" s="218"/>
      <c r="T131" s="218"/>
      <c r="U131" s="221">
        <v>12000</v>
      </c>
      <c r="V131" s="204"/>
      <c r="W131" s="173"/>
      <c r="X131" s="206"/>
      <c r="Y131" s="205"/>
    </row>
    <row r="132" spans="1:26" ht="16.149999999999999" customHeight="1" x14ac:dyDescent="0.2">
      <c r="A132" s="280"/>
      <c r="B132" s="369"/>
      <c r="C132" s="180">
        <f t="shared" si="1"/>
        <v>87000</v>
      </c>
      <c r="D132" s="164" t="s">
        <v>125</v>
      </c>
      <c r="E132" s="173"/>
      <c r="F132" s="173"/>
      <c r="G132" s="166"/>
      <c r="H132" s="165">
        <v>32000</v>
      </c>
      <c r="I132" s="219"/>
      <c r="J132" s="220"/>
      <c r="K132" s="218"/>
      <c r="L132" s="221"/>
      <c r="M132" s="219" t="s">
        <v>124</v>
      </c>
      <c r="N132" s="220"/>
      <c r="O132" s="218"/>
      <c r="P132" s="221">
        <f>41000-P131</f>
        <v>29000</v>
      </c>
      <c r="Q132" s="256" t="s">
        <v>124</v>
      </c>
      <c r="R132" s="257"/>
      <c r="S132" s="258"/>
      <c r="T132" s="258"/>
      <c r="U132" s="259">
        <f>38000-U131</f>
        <v>26000</v>
      </c>
      <c r="V132" s="204"/>
      <c r="W132" s="173"/>
      <c r="X132" s="206"/>
      <c r="Y132" s="205"/>
    </row>
    <row r="133" spans="1:26" ht="16.149999999999999" customHeight="1" x14ac:dyDescent="0.2">
      <c r="A133" s="280"/>
      <c r="B133" s="369"/>
      <c r="C133" s="180">
        <f t="shared" si="1"/>
        <v>0</v>
      </c>
      <c r="D133" s="164"/>
      <c r="E133" s="173"/>
      <c r="F133" s="173"/>
      <c r="G133" s="166"/>
      <c r="H133" s="165"/>
      <c r="I133" s="219"/>
      <c r="J133" s="220"/>
      <c r="K133" s="218"/>
      <c r="L133" s="221"/>
      <c r="M133" s="219"/>
      <c r="N133" s="220"/>
      <c r="O133" s="218"/>
      <c r="P133" s="221"/>
      <c r="Q133" s="256"/>
      <c r="R133" s="257"/>
      <c r="S133" s="258"/>
      <c r="T133" s="258"/>
      <c r="U133" s="259"/>
      <c r="V133" s="204"/>
      <c r="W133" s="173"/>
      <c r="X133" s="206"/>
      <c r="Y133" s="205"/>
    </row>
    <row r="134" spans="1:26" ht="16.149999999999999" customHeight="1" x14ac:dyDescent="0.2">
      <c r="A134" s="280"/>
      <c r="B134" s="369"/>
      <c r="C134" s="180">
        <f t="shared" si="1"/>
        <v>0</v>
      </c>
      <c r="D134" s="164"/>
      <c r="E134" s="173"/>
      <c r="F134" s="173"/>
      <c r="G134" s="166"/>
      <c r="H134" s="165"/>
      <c r="I134" s="219"/>
      <c r="J134" s="220"/>
      <c r="K134" s="218"/>
      <c r="L134" s="221"/>
      <c r="M134" s="219"/>
      <c r="N134" s="220"/>
      <c r="O134" s="218"/>
      <c r="P134" s="221"/>
      <c r="Q134" s="256"/>
      <c r="R134" s="257"/>
      <c r="S134" s="258"/>
      <c r="T134" s="258"/>
      <c r="U134" s="259"/>
      <c r="V134" s="204"/>
      <c r="W134" s="173"/>
      <c r="X134" s="206"/>
      <c r="Y134" s="205"/>
    </row>
    <row r="135" spans="1:26" x14ac:dyDescent="0.2">
      <c r="A135" s="280">
        <f>A131+1</f>
        <v>45079</v>
      </c>
      <c r="B135" s="369" t="str">
        <f>IF(WEEKDAY(A135)=1,"CN","T"&amp;WEEKDAY(A135))</f>
        <v>T6</v>
      </c>
      <c r="C135" s="180">
        <f t="shared" ref="C135:C162" si="2">SUM(D135:U135)</f>
        <v>148000</v>
      </c>
      <c r="D135" s="164" t="s">
        <v>125</v>
      </c>
      <c r="E135" s="173"/>
      <c r="F135" s="173"/>
      <c r="G135" s="166"/>
      <c r="H135" s="165">
        <v>38000</v>
      </c>
      <c r="I135" s="219" t="s">
        <v>105</v>
      </c>
      <c r="J135" s="220" t="s">
        <v>208</v>
      </c>
      <c r="K135" s="218"/>
      <c r="L135" s="221">
        <v>41000</v>
      </c>
      <c r="M135" s="219" t="s">
        <v>124</v>
      </c>
      <c r="N135" s="220" t="s">
        <v>186</v>
      </c>
      <c r="O135" s="218"/>
      <c r="P135" s="221">
        <v>41000</v>
      </c>
      <c r="Q135" s="256" t="s">
        <v>124</v>
      </c>
      <c r="R135" s="257"/>
      <c r="S135" s="258"/>
      <c r="T135" s="258"/>
      <c r="U135" s="259">
        <f>54000-U132</f>
        <v>28000</v>
      </c>
      <c r="V135" s="204"/>
      <c r="W135" s="173"/>
      <c r="X135" s="206"/>
      <c r="Y135" s="205"/>
    </row>
    <row r="136" spans="1:26" x14ac:dyDescent="0.2">
      <c r="A136" s="280"/>
      <c r="B136" s="369"/>
      <c r="C136" s="180">
        <f t="shared" si="2"/>
        <v>10000</v>
      </c>
      <c r="D136" s="164"/>
      <c r="E136" s="173"/>
      <c r="F136" s="173"/>
      <c r="G136" s="166"/>
      <c r="H136" s="165"/>
      <c r="I136" s="219"/>
      <c r="J136" s="220"/>
      <c r="K136" s="218"/>
      <c r="L136" s="221"/>
      <c r="M136" s="219"/>
      <c r="N136" s="220"/>
      <c r="O136" s="218"/>
      <c r="P136" s="221"/>
      <c r="Q136" s="256" t="s">
        <v>137</v>
      </c>
      <c r="R136" s="257"/>
      <c r="S136" s="258"/>
      <c r="T136" s="258"/>
      <c r="U136" s="259">
        <v>10000</v>
      </c>
      <c r="V136" s="204"/>
      <c r="W136" s="173"/>
      <c r="X136" s="206"/>
      <c r="Y136" s="205"/>
    </row>
    <row r="137" spans="1:26" x14ac:dyDescent="0.2">
      <c r="A137" s="280"/>
      <c r="B137" s="369"/>
      <c r="C137" s="180">
        <f t="shared" si="2"/>
        <v>0</v>
      </c>
      <c r="D137" s="164"/>
      <c r="E137" s="173"/>
      <c r="F137" s="173"/>
      <c r="G137" s="166"/>
      <c r="H137" s="165"/>
      <c r="I137" s="219"/>
      <c r="J137" s="220"/>
      <c r="K137" s="218"/>
      <c r="L137" s="221"/>
      <c r="M137" s="219"/>
      <c r="N137" s="220"/>
      <c r="O137" s="218"/>
      <c r="P137" s="221"/>
      <c r="Q137" s="256"/>
      <c r="R137" s="257"/>
      <c r="S137" s="258"/>
      <c r="T137" s="258"/>
      <c r="U137" s="259"/>
      <c r="V137" s="204"/>
      <c r="W137" s="173"/>
      <c r="X137" s="206"/>
      <c r="Y137" s="205"/>
    </row>
    <row r="138" spans="1:26" x14ac:dyDescent="0.2">
      <c r="A138" s="280"/>
      <c r="B138" s="369"/>
      <c r="C138" s="180">
        <f t="shared" si="2"/>
        <v>0</v>
      </c>
      <c r="D138" s="164"/>
      <c r="E138" s="173"/>
      <c r="F138" s="173"/>
      <c r="G138" s="166"/>
      <c r="H138" s="165"/>
      <c r="I138" s="219"/>
      <c r="J138" s="220"/>
      <c r="K138" s="218"/>
      <c r="L138" s="221"/>
      <c r="M138" s="219"/>
      <c r="N138" s="220"/>
      <c r="O138" s="218"/>
      <c r="P138" s="221"/>
      <c r="Q138" s="256"/>
      <c r="R138" s="257"/>
      <c r="S138" s="258"/>
      <c r="T138" s="258"/>
      <c r="U138" s="259"/>
      <c r="V138" s="204"/>
      <c r="W138" s="173"/>
      <c r="X138" s="206"/>
      <c r="Y138" s="205"/>
    </row>
    <row r="139" spans="1:26" x14ac:dyDescent="0.2">
      <c r="A139" s="280">
        <f>A135+1</f>
        <v>45080</v>
      </c>
      <c r="B139" s="369" t="str">
        <f>IF(WEEKDAY(A139)=1,"CN","T"&amp;WEEKDAY(A139))</f>
        <v>T7</v>
      </c>
      <c r="C139" s="180">
        <f t="shared" si="2"/>
        <v>159000</v>
      </c>
      <c r="D139" s="164" t="s">
        <v>125</v>
      </c>
      <c r="E139" s="173"/>
      <c r="F139" s="173"/>
      <c r="G139" s="166"/>
      <c r="H139" s="165">
        <v>38000</v>
      </c>
      <c r="I139" s="219" t="s">
        <v>105</v>
      </c>
      <c r="J139" s="220" t="s">
        <v>208</v>
      </c>
      <c r="K139" s="218"/>
      <c r="L139" s="221">
        <v>41000</v>
      </c>
      <c r="M139" s="219" t="s">
        <v>124</v>
      </c>
      <c r="N139" s="220" t="s">
        <v>186</v>
      </c>
      <c r="O139" s="218"/>
      <c r="P139" s="221">
        <v>42000</v>
      </c>
      <c r="Q139" s="256" t="s">
        <v>137</v>
      </c>
      <c r="R139" s="257"/>
      <c r="S139" s="258"/>
      <c r="T139" s="258"/>
      <c r="U139" s="259">
        <v>38000</v>
      </c>
      <c r="V139" s="204"/>
      <c r="W139" s="173"/>
      <c r="X139" s="206"/>
      <c r="Y139" s="205"/>
    </row>
    <row r="140" spans="1:26" x14ac:dyDescent="0.2">
      <c r="A140" s="280"/>
      <c r="B140" s="369"/>
      <c r="C140" s="180">
        <f t="shared" si="2"/>
        <v>0</v>
      </c>
      <c r="D140" s="164"/>
      <c r="E140" s="173"/>
      <c r="F140" s="173"/>
      <c r="G140" s="166"/>
      <c r="H140" s="165"/>
      <c r="I140" s="284"/>
      <c r="J140" s="285"/>
      <c r="K140" s="286"/>
      <c r="L140" s="287"/>
      <c r="M140" s="179"/>
      <c r="N140" s="173"/>
      <c r="O140" s="159"/>
      <c r="P140" s="155"/>
      <c r="Q140" s="256"/>
      <c r="R140" s="257"/>
      <c r="S140" s="258"/>
      <c r="T140" s="258"/>
      <c r="U140" s="259"/>
      <c r="V140" s="204"/>
      <c r="W140" s="173"/>
      <c r="X140" s="206"/>
      <c r="Y140" s="205"/>
    </row>
    <row r="141" spans="1:26" x14ac:dyDescent="0.2">
      <c r="A141" s="280"/>
      <c r="B141" s="369"/>
      <c r="C141" s="180">
        <f t="shared" si="2"/>
        <v>0</v>
      </c>
      <c r="D141" s="164"/>
      <c r="E141" s="173"/>
      <c r="F141" s="173"/>
      <c r="G141" s="166"/>
      <c r="H141" s="165"/>
      <c r="I141" s="284"/>
      <c r="J141" s="285"/>
      <c r="K141" s="286"/>
      <c r="L141" s="287"/>
      <c r="M141" s="179"/>
      <c r="N141" s="173"/>
      <c r="O141" s="159"/>
      <c r="P141" s="155"/>
      <c r="Q141" s="256"/>
      <c r="R141" s="257"/>
      <c r="S141" s="258"/>
      <c r="T141" s="258"/>
      <c r="U141" s="259"/>
      <c r="V141" s="204"/>
      <c r="W141" s="173"/>
      <c r="X141" s="206"/>
      <c r="Y141" s="205"/>
    </row>
    <row r="142" spans="1:26" x14ac:dyDescent="0.2">
      <c r="A142" s="280"/>
      <c r="B142" s="369"/>
      <c r="C142" s="180">
        <f t="shared" si="2"/>
        <v>0</v>
      </c>
      <c r="D142" s="164"/>
      <c r="E142" s="173"/>
      <c r="F142" s="173"/>
      <c r="G142" s="166"/>
      <c r="H142" s="165"/>
      <c r="I142" s="284"/>
      <c r="J142" s="285"/>
      <c r="K142" s="286"/>
      <c r="L142" s="287"/>
      <c r="M142" s="179"/>
      <c r="N142" s="173"/>
      <c r="O142" s="159"/>
      <c r="P142" s="155"/>
      <c r="Q142" s="256"/>
      <c r="R142" s="257"/>
      <c r="S142" s="258"/>
      <c r="T142" s="258"/>
      <c r="U142" s="259"/>
      <c r="V142" s="204"/>
      <c r="W142" s="173"/>
      <c r="X142" s="206"/>
      <c r="Y142" s="205"/>
    </row>
    <row r="143" spans="1:26" x14ac:dyDescent="0.2">
      <c r="A143" s="280">
        <f>A139+1</f>
        <v>45081</v>
      </c>
      <c r="B143" s="369" t="str">
        <f>IF(WEEKDAY(A143)=1,"CN","T"&amp;WEEKDAY(A143))</f>
        <v>CN</v>
      </c>
      <c r="C143" s="180">
        <f t="shared" si="2"/>
        <v>4000</v>
      </c>
      <c r="D143" s="164" t="s">
        <v>125</v>
      </c>
      <c r="E143" s="173"/>
      <c r="F143" s="173"/>
      <c r="G143" s="166"/>
      <c r="H143" s="165">
        <v>4000</v>
      </c>
      <c r="I143" s="288"/>
      <c r="J143" s="289"/>
      <c r="K143" s="290"/>
      <c r="L143" s="291"/>
      <c r="M143" s="179"/>
      <c r="N143" s="173"/>
      <c r="O143" s="159"/>
      <c r="P143" s="155"/>
      <c r="Q143" s="256"/>
      <c r="R143" s="257"/>
      <c r="S143" s="258"/>
      <c r="T143" s="258"/>
      <c r="U143" s="259"/>
      <c r="V143" s="204"/>
      <c r="W143" s="173"/>
      <c r="X143" s="206"/>
      <c r="Y143" s="205"/>
    </row>
    <row r="144" spans="1:26" x14ac:dyDescent="0.2">
      <c r="A144" s="280"/>
      <c r="B144" s="369"/>
      <c r="C144" s="180">
        <f t="shared" si="2"/>
        <v>0</v>
      </c>
      <c r="D144" s="164"/>
      <c r="E144" s="173"/>
      <c r="F144" s="173"/>
      <c r="G144" s="166"/>
      <c r="H144" s="165"/>
      <c r="I144" s="288"/>
      <c r="J144" s="292"/>
      <c r="K144" s="290"/>
      <c r="L144" s="291"/>
      <c r="M144" s="179"/>
      <c r="N144" s="173"/>
      <c r="O144" s="159"/>
      <c r="P144" s="155"/>
      <c r="Q144" s="256"/>
      <c r="R144" s="257"/>
      <c r="S144" s="258"/>
      <c r="T144" s="258"/>
      <c r="U144" s="259"/>
      <c r="V144" s="204"/>
      <c r="W144" s="173"/>
      <c r="X144" s="206"/>
      <c r="Y144" s="205"/>
    </row>
    <row r="145" spans="1:25" x14ac:dyDescent="0.2">
      <c r="A145" s="280"/>
      <c r="B145" s="369"/>
      <c r="C145" s="180">
        <f t="shared" si="2"/>
        <v>0</v>
      </c>
      <c r="D145" s="164"/>
      <c r="E145" s="173"/>
      <c r="F145" s="173"/>
      <c r="G145" s="166"/>
      <c r="H145" s="165"/>
      <c r="I145" s="288"/>
      <c r="J145" s="292"/>
      <c r="K145" s="290"/>
      <c r="L145" s="291"/>
      <c r="M145" s="179"/>
      <c r="N145" s="173"/>
      <c r="O145" s="159"/>
      <c r="P145" s="155"/>
      <c r="Q145" s="256"/>
      <c r="R145" s="257"/>
      <c r="S145" s="258"/>
      <c r="T145" s="258"/>
      <c r="U145" s="259"/>
      <c r="V145" s="204"/>
      <c r="W145" s="173"/>
      <c r="X145" s="206"/>
      <c r="Y145" s="205"/>
    </row>
    <row r="146" spans="1:25" x14ac:dyDescent="0.2">
      <c r="A146" s="280"/>
      <c r="B146" s="369"/>
      <c r="C146" s="180">
        <f t="shared" si="2"/>
        <v>0</v>
      </c>
      <c r="D146" s="164"/>
      <c r="E146" s="173"/>
      <c r="F146" s="173"/>
      <c r="G146" s="166"/>
      <c r="H146" s="165"/>
      <c r="I146" s="288"/>
      <c r="J146" s="292"/>
      <c r="K146" s="290"/>
      <c r="L146" s="291"/>
      <c r="M146" s="179"/>
      <c r="N146" s="173"/>
      <c r="O146" s="159"/>
      <c r="P146" s="155"/>
      <c r="Q146" s="256"/>
      <c r="R146" s="257"/>
      <c r="S146" s="258"/>
      <c r="T146" s="258"/>
      <c r="U146" s="259"/>
      <c r="V146" s="204"/>
      <c r="W146" s="173"/>
      <c r="X146" s="206"/>
      <c r="Y146" s="205"/>
    </row>
    <row r="147" spans="1:25" x14ac:dyDescent="0.2">
      <c r="A147" s="280">
        <f>A143+1</f>
        <v>45082</v>
      </c>
      <c r="B147" s="369" t="str">
        <f>IF(WEEKDAY(A147)=1,"CN","T"&amp;WEEKDAY(A147))</f>
        <v>T2</v>
      </c>
      <c r="C147" s="180">
        <f t="shared" si="2"/>
        <v>114000</v>
      </c>
      <c r="D147" s="278" t="s">
        <v>121</v>
      </c>
      <c r="E147" s="257"/>
      <c r="F147" s="257"/>
      <c r="G147" s="258"/>
      <c r="H147" s="259">
        <v>24000</v>
      </c>
      <c r="I147" s="219" t="s">
        <v>105</v>
      </c>
      <c r="J147" s="220" t="s">
        <v>208</v>
      </c>
      <c r="K147" s="218"/>
      <c r="L147" s="221">
        <v>11000</v>
      </c>
      <c r="M147" s="219" t="s">
        <v>203</v>
      </c>
      <c r="N147" s="220" t="s">
        <v>202</v>
      </c>
      <c r="O147" s="218"/>
      <c r="P147" s="221">
        <v>41000</v>
      </c>
      <c r="Q147" s="256" t="s">
        <v>137</v>
      </c>
      <c r="R147" s="257"/>
      <c r="S147" s="258"/>
      <c r="T147" s="258"/>
      <c r="U147" s="259">
        <v>38000</v>
      </c>
      <c r="V147" s="204"/>
      <c r="W147" s="173"/>
      <c r="X147" s="206"/>
      <c r="Y147" s="205"/>
    </row>
    <row r="148" spans="1:25" x14ac:dyDescent="0.2">
      <c r="A148" s="280"/>
      <c r="B148" s="369"/>
      <c r="C148" s="180">
        <f t="shared" si="2"/>
        <v>23000</v>
      </c>
      <c r="D148" s="278" t="s">
        <v>104</v>
      </c>
      <c r="E148" s="257"/>
      <c r="F148" s="257"/>
      <c r="G148" s="258"/>
      <c r="H148" s="259">
        <v>14000</v>
      </c>
      <c r="I148" s="219" t="s">
        <v>105</v>
      </c>
      <c r="J148" s="220" t="s">
        <v>209</v>
      </c>
      <c r="K148" s="218"/>
      <c r="L148" s="221">
        <v>9000</v>
      </c>
      <c r="M148" s="219"/>
      <c r="N148" s="220"/>
      <c r="O148" s="218"/>
      <c r="P148" s="221"/>
      <c r="Q148" s="256"/>
      <c r="R148" s="257"/>
      <c r="S148" s="258"/>
      <c r="T148" s="258"/>
      <c r="U148" s="259"/>
      <c r="V148" s="204"/>
      <c r="W148" s="173"/>
      <c r="X148" s="206"/>
      <c r="Y148" s="205"/>
    </row>
    <row r="149" spans="1:25" x14ac:dyDescent="0.2">
      <c r="A149" s="280"/>
      <c r="B149" s="369"/>
      <c r="C149" s="180">
        <f t="shared" si="2"/>
        <v>0</v>
      </c>
      <c r="D149" s="278"/>
      <c r="E149" s="257"/>
      <c r="F149" s="257"/>
      <c r="G149" s="258"/>
      <c r="H149" s="259"/>
      <c r="I149" s="219"/>
      <c r="J149" s="220"/>
      <c r="K149" s="218"/>
      <c r="L149" s="221"/>
      <c r="M149" s="219"/>
      <c r="N149" s="220"/>
      <c r="O149" s="218"/>
      <c r="P149" s="221"/>
      <c r="Q149" s="256"/>
      <c r="R149" s="257"/>
      <c r="S149" s="258"/>
      <c r="T149" s="258"/>
      <c r="U149" s="259"/>
      <c r="V149" s="204"/>
      <c r="W149" s="173"/>
      <c r="X149" s="206"/>
      <c r="Y149" s="205"/>
    </row>
    <row r="150" spans="1:25" x14ac:dyDescent="0.2">
      <c r="A150" s="280"/>
      <c r="B150" s="369"/>
      <c r="C150" s="180">
        <f t="shared" si="2"/>
        <v>0</v>
      </c>
      <c r="D150" s="278"/>
      <c r="E150" s="257"/>
      <c r="F150" s="257"/>
      <c r="G150" s="258"/>
      <c r="H150" s="259"/>
      <c r="I150" s="219"/>
      <c r="J150" s="220"/>
      <c r="K150" s="218"/>
      <c r="L150" s="221"/>
      <c r="M150" s="219"/>
      <c r="N150" s="220"/>
      <c r="O150" s="218"/>
      <c r="P150" s="221"/>
      <c r="Q150" s="256"/>
      <c r="R150" s="257"/>
      <c r="S150" s="258"/>
      <c r="T150" s="258"/>
      <c r="U150" s="259"/>
      <c r="V150" s="204"/>
      <c r="W150" s="173"/>
      <c r="X150" s="206"/>
      <c r="Y150" s="205"/>
    </row>
    <row r="151" spans="1:25" x14ac:dyDescent="0.2">
      <c r="A151" s="280">
        <f>A147+1</f>
        <v>45083</v>
      </c>
      <c r="B151" s="369" t="str">
        <f>IF(WEEKDAY(A151)=1,"CN","T"&amp;WEEKDAY(A151))</f>
        <v>T3</v>
      </c>
      <c r="C151" s="180">
        <f t="shared" si="2"/>
        <v>118000</v>
      </c>
      <c r="D151" s="278" t="s">
        <v>104</v>
      </c>
      <c r="E151" s="257"/>
      <c r="F151" s="257"/>
      <c r="G151" s="258"/>
      <c r="H151" s="259">
        <v>10000</v>
      </c>
      <c r="I151" s="219" t="s">
        <v>105</v>
      </c>
      <c r="J151" s="220" t="s">
        <v>209</v>
      </c>
      <c r="K151" s="218"/>
      <c r="L151" s="221">
        <v>41000</v>
      </c>
      <c r="M151" s="219" t="s">
        <v>203</v>
      </c>
      <c r="N151" s="220" t="s">
        <v>202</v>
      </c>
      <c r="O151" s="218"/>
      <c r="P151" s="221">
        <v>41000</v>
      </c>
      <c r="Q151" s="256" t="s">
        <v>137</v>
      </c>
      <c r="R151" s="257"/>
      <c r="S151" s="258"/>
      <c r="T151" s="258"/>
      <c r="U151" s="259">
        <v>26000</v>
      </c>
      <c r="V151" s="204"/>
      <c r="W151" s="173"/>
      <c r="X151" s="206"/>
      <c r="Y151" s="205"/>
    </row>
    <row r="152" spans="1:25" x14ac:dyDescent="0.2">
      <c r="A152" s="280"/>
      <c r="B152" s="369"/>
      <c r="C152" s="180">
        <f t="shared" si="2"/>
        <v>28000</v>
      </c>
      <c r="D152" s="164" t="s">
        <v>142</v>
      </c>
      <c r="E152" s="173"/>
      <c r="F152" s="173"/>
      <c r="G152" s="166"/>
      <c r="H152" s="165">
        <v>28000</v>
      </c>
      <c r="I152" s="219"/>
      <c r="J152" s="220"/>
      <c r="K152" s="218"/>
      <c r="L152" s="221"/>
      <c r="M152" s="219"/>
      <c r="N152" s="220"/>
      <c r="O152" s="218"/>
      <c r="P152" s="221"/>
      <c r="Q152" s="212"/>
      <c r="R152" s="173"/>
      <c r="S152" s="213"/>
      <c r="T152" s="213"/>
      <c r="U152" s="214"/>
      <c r="V152" s="204"/>
      <c r="W152" s="173"/>
      <c r="X152" s="206"/>
      <c r="Y152" s="205"/>
    </row>
    <row r="153" spans="1:25" x14ac:dyDescent="0.2">
      <c r="A153" s="280"/>
      <c r="B153" s="369"/>
      <c r="C153" s="180">
        <f t="shared" si="2"/>
        <v>0</v>
      </c>
      <c r="D153" s="164"/>
      <c r="E153" s="173"/>
      <c r="F153" s="173"/>
      <c r="G153" s="166"/>
      <c r="H153" s="165"/>
      <c r="I153" s="219"/>
      <c r="J153" s="220"/>
      <c r="K153" s="218"/>
      <c r="L153" s="221"/>
      <c r="M153" s="219"/>
      <c r="N153" s="220"/>
      <c r="O153" s="218"/>
      <c r="P153" s="221"/>
      <c r="Q153" s="212"/>
      <c r="R153" s="173"/>
      <c r="S153" s="213"/>
      <c r="T153" s="213"/>
      <c r="U153" s="214"/>
      <c r="V153" s="204"/>
      <c r="W153" s="173"/>
      <c r="X153" s="206"/>
      <c r="Y153" s="205"/>
    </row>
    <row r="154" spans="1:25" x14ac:dyDescent="0.2">
      <c r="A154" s="280"/>
      <c r="B154" s="369"/>
      <c r="C154" s="180">
        <f t="shared" si="2"/>
        <v>0</v>
      </c>
      <c r="D154" s="164"/>
      <c r="E154" s="173"/>
      <c r="F154" s="173"/>
      <c r="G154" s="166"/>
      <c r="H154" s="165"/>
      <c r="I154" s="219"/>
      <c r="J154" s="220"/>
      <c r="K154" s="218"/>
      <c r="L154" s="221"/>
      <c r="M154" s="219"/>
      <c r="N154" s="220"/>
      <c r="O154" s="218"/>
      <c r="P154" s="221"/>
      <c r="Q154" s="212"/>
      <c r="R154" s="173"/>
      <c r="S154" s="213"/>
      <c r="T154" s="213"/>
      <c r="U154" s="214"/>
      <c r="V154" s="204"/>
      <c r="W154" s="173"/>
      <c r="X154" s="206"/>
      <c r="Y154" s="205"/>
    </row>
    <row r="155" spans="1:25" x14ac:dyDescent="0.2">
      <c r="A155" s="280">
        <f>A151+1</f>
        <v>45084</v>
      </c>
      <c r="B155" s="369" t="str">
        <f>IF(WEEKDAY(A155)=1,"CN","T"&amp;WEEKDAY(A155))</f>
        <v>T4</v>
      </c>
      <c r="C155" s="180">
        <f t="shared" si="2"/>
        <v>120000</v>
      </c>
      <c r="D155" s="164" t="s">
        <v>142</v>
      </c>
      <c r="E155" s="173"/>
      <c r="F155" s="173"/>
      <c r="G155" s="166"/>
      <c r="H155" s="165">
        <v>38000</v>
      </c>
      <c r="I155" s="219" t="s">
        <v>105</v>
      </c>
      <c r="J155" s="220" t="s">
        <v>209</v>
      </c>
      <c r="K155" s="218"/>
      <c r="L155" s="221">
        <v>41000</v>
      </c>
      <c r="M155" s="219" t="s">
        <v>203</v>
      </c>
      <c r="N155" s="220" t="s">
        <v>202</v>
      </c>
      <c r="O155" s="218"/>
      <c r="P155" s="221">
        <v>41000</v>
      </c>
      <c r="Q155" s="212"/>
      <c r="R155" s="173"/>
      <c r="S155" s="213"/>
      <c r="T155" s="213"/>
      <c r="U155" s="214"/>
      <c r="V155" s="204"/>
      <c r="W155" s="173"/>
      <c r="X155" s="206"/>
      <c r="Y155" s="205"/>
    </row>
    <row r="156" spans="1:25" x14ac:dyDescent="0.2">
      <c r="A156" s="280"/>
      <c r="B156" s="369"/>
      <c r="C156" s="180">
        <f t="shared" si="2"/>
        <v>0</v>
      </c>
      <c r="D156" s="164"/>
      <c r="E156" s="173"/>
      <c r="F156" s="173"/>
      <c r="G156" s="166"/>
      <c r="H156" s="165"/>
      <c r="I156" s="219"/>
      <c r="J156" s="220"/>
      <c r="K156" s="218"/>
      <c r="L156" s="221"/>
      <c r="M156" s="219"/>
      <c r="N156" s="220"/>
      <c r="O156" s="218"/>
      <c r="P156" s="221"/>
      <c r="Q156" s="212"/>
      <c r="R156" s="173"/>
      <c r="S156" s="213"/>
      <c r="T156" s="213"/>
      <c r="U156" s="214"/>
      <c r="V156" s="204"/>
      <c r="W156" s="173"/>
      <c r="X156" s="206"/>
      <c r="Y156" s="205"/>
    </row>
    <row r="157" spans="1:25" x14ac:dyDescent="0.2">
      <c r="A157" s="280"/>
      <c r="B157" s="369"/>
      <c r="C157" s="180">
        <f t="shared" si="2"/>
        <v>0</v>
      </c>
      <c r="D157" s="164"/>
      <c r="E157" s="173"/>
      <c r="F157" s="173"/>
      <c r="G157" s="166"/>
      <c r="H157" s="165"/>
      <c r="I157" s="219"/>
      <c r="J157" s="220"/>
      <c r="K157" s="218"/>
      <c r="L157" s="221"/>
      <c r="M157" s="219"/>
      <c r="N157" s="220"/>
      <c r="O157" s="218"/>
      <c r="P157" s="221"/>
      <c r="Q157" s="212"/>
      <c r="R157" s="173"/>
      <c r="S157" s="213"/>
      <c r="T157" s="213"/>
      <c r="U157" s="214"/>
      <c r="V157" s="204"/>
      <c r="W157" s="173"/>
      <c r="X157" s="206"/>
      <c r="Y157" s="205"/>
    </row>
    <row r="158" spans="1:25" x14ac:dyDescent="0.2">
      <c r="A158" s="280"/>
      <c r="B158" s="369"/>
      <c r="C158" s="180">
        <f t="shared" si="2"/>
        <v>0</v>
      </c>
      <c r="D158" s="164"/>
      <c r="E158" s="173"/>
      <c r="F158" s="173"/>
      <c r="G158" s="166"/>
      <c r="H158" s="165"/>
      <c r="I158" s="219"/>
      <c r="J158" s="220"/>
      <c r="K158" s="218"/>
      <c r="L158" s="221"/>
      <c r="M158" s="219"/>
      <c r="N158" s="220"/>
      <c r="O158" s="218"/>
      <c r="P158" s="221"/>
      <c r="Q158" s="212"/>
      <c r="R158" s="173"/>
      <c r="S158" s="213"/>
      <c r="T158" s="213"/>
      <c r="U158" s="214"/>
      <c r="V158" s="204"/>
      <c r="W158" s="173"/>
      <c r="X158" s="206"/>
      <c r="Y158" s="205"/>
    </row>
    <row r="159" spans="1:25" x14ac:dyDescent="0.2">
      <c r="A159" s="280">
        <f>A155+1</f>
        <v>45085</v>
      </c>
      <c r="B159" s="369" t="str">
        <f>IF(WEEKDAY(A159)=1,"CN","T"&amp;WEEKDAY(A159))</f>
        <v>T5</v>
      </c>
      <c r="C159" s="180">
        <f t="shared" si="2"/>
        <v>118000</v>
      </c>
      <c r="D159" s="164" t="s">
        <v>142</v>
      </c>
      <c r="E159" s="173"/>
      <c r="F159" s="173"/>
      <c r="G159" s="166"/>
      <c r="H159" s="165">
        <v>38000</v>
      </c>
      <c r="I159" s="219" t="s">
        <v>105</v>
      </c>
      <c r="J159" s="220" t="s">
        <v>209</v>
      </c>
      <c r="K159" s="218"/>
      <c r="L159" s="221">
        <v>41000</v>
      </c>
      <c r="M159" s="219" t="s">
        <v>203</v>
      </c>
      <c r="N159" s="220" t="s">
        <v>202</v>
      </c>
      <c r="O159" s="218"/>
      <c r="P159" s="221">
        <v>39000</v>
      </c>
      <c r="Q159" s="212"/>
      <c r="R159" s="173"/>
      <c r="S159" s="213"/>
      <c r="T159" s="213"/>
      <c r="U159" s="214"/>
      <c r="V159" s="204"/>
      <c r="W159" s="173"/>
      <c r="X159" s="206"/>
      <c r="Y159" s="205"/>
    </row>
    <row r="160" spans="1:25" x14ac:dyDescent="0.2">
      <c r="A160" s="280"/>
      <c r="B160" s="369"/>
      <c r="C160" s="180">
        <f t="shared" si="2"/>
        <v>2000</v>
      </c>
      <c r="D160" s="164"/>
      <c r="E160" s="173"/>
      <c r="F160" s="173"/>
      <c r="G160" s="166"/>
      <c r="H160" s="165"/>
      <c r="I160" s="219"/>
      <c r="J160" s="220"/>
      <c r="K160" s="218"/>
      <c r="L160" s="221"/>
      <c r="M160" s="219" t="s">
        <v>115</v>
      </c>
      <c r="N160" s="220"/>
      <c r="O160" s="218"/>
      <c r="P160" s="221">
        <v>2000</v>
      </c>
      <c r="Q160" s="212"/>
      <c r="R160" s="173"/>
      <c r="S160" s="213"/>
      <c r="T160" s="213"/>
      <c r="U160" s="214"/>
      <c r="V160" s="204"/>
      <c r="W160" s="173"/>
      <c r="X160" s="206"/>
      <c r="Y160" s="205"/>
    </row>
    <row r="161" spans="1:25" x14ac:dyDescent="0.2">
      <c r="A161" s="280"/>
      <c r="B161" s="369"/>
      <c r="C161" s="180">
        <f t="shared" si="2"/>
        <v>0</v>
      </c>
      <c r="D161" s="164"/>
      <c r="E161" s="173"/>
      <c r="F161" s="173"/>
      <c r="G161" s="166"/>
      <c r="H161" s="165"/>
      <c r="I161" s="219"/>
      <c r="J161" s="220"/>
      <c r="K161" s="218"/>
      <c r="L161" s="221"/>
      <c r="M161" s="219"/>
      <c r="N161" s="220"/>
      <c r="O161" s="218"/>
      <c r="P161" s="221"/>
      <c r="Q161" s="212"/>
      <c r="R161" s="173"/>
      <c r="S161" s="213"/>
      <c r="T161" s="213"/>
      <c r="U161" s="214"/>
      <c r="V161" s="204"/>
      <c r="W161" s="173"/>
      <c r="X161" s="206"/>
      <c r="Y161" s="205"/>
    </row>
    <row r="162" spans="1:25" x14ac:dyDescent="0.2">
      <c r="A162" s="280"/>
      <c r="B162" s="369"/>
      <c r="C162" s="180">
        <f t="shared" si="2"/>
        <v>41000</v>
      </c>
      <c r="D162" s="164"/>
      <c r="E162" s="173"/>
      <c r="F162" s="173"/>
      <c r="G162" s="166"/>
      <c r="H162" s="165"/>
      <c r="I162" s="219"/>
      <c r="J162" s="220"/>
      <c r="K162" s="218"/>
      <c r="L162" s="221"/>
      <c r="M162" s="219"/>
      <c r="N162" s="220"/>
      <c r="O162" s="218"/>
      <c r="P162" s="221">
        <v>41000</v>
      </c>
      <c r="Q162" s="212"/>
      <c r="R162" s="173"/>
      <c r="S162" s="213"/>
      <c r="T162" s="213"/>
      <c r="U162" s="214"/>
      <c r="V162" s="204"/>
      <c r="W162" s="173"/>
      <c r="X162" s="206"/>
      <c r="Y162" s="205"/>
    </row>
    <row r="163" spans="1:25" x14ac:dyDescent="0.2">
      <c r="A163" s="280">
        <f>A159+1</f>
        <v>45086</v>
      </c>
      <c r="B163" s="369" t="str">
        <f>IF(WEEKDAY(A163)=1,"CN","T"&amp;WEEKDAY(A163))</f>
        <v>T6</v>
      </c>
      <c r="C163" s="180">
        <f t="shared" ref="C163:C182" si="3">SUM(D163:U163)</f>
        <v>79000</v>
      </c>
      <c r="D163" s="164" t="s">
        <v>142</v>
      </c>
      <c r="E163" s="173"/>
      <c r="F163" s="173"/>
      <c r="G163" s="166"/>
      <c r="H163" s="165">
        <v>38000</v>
      </c>
      <c r="I163" s="219" t="s">
        <v>105</v>
      </c>
      <c r="J163" s="220" t="s">
        <v>209</v>
      </c>
      <c r="K163" s="218"/>
      <c r="L163" s="221">
        <v>41000</v>
      </c>
      <c r="M163" s="219" t="s">
        <v>115</v>
      </c>
      <c r="N163" s="220" t="s">
        <v>202</v>
      </c>
      <c r="O163" s="218"/>
      <c r="P163" s="221"/>
      <c r="Q163" s="212"/>
      <c r="R163" s="173"/>
      <c r="S163" s="213"/>
      <c r="T163" s="213"/>
      <c r="U163" s="214"/>
      <c r="V163" s="204"/>
      <c r="W163" s="173"/>
      <c r="X163" s="206"/>
      <c r="Y163" s="205"/>
    </row>
    <row r="164" spans="1:25" x14ac:dyDescent="0.2">
      <c r="A164" s="280"/>
      <c r="B164" s="369"/>
      <c r="C164" s="180">
        <f t="shared" si="3"/>
        <v>0</v>
      </c>
      <c r="D164" s="164"/>
      <c r="E164" s="173"/>
      <c r="F164" s="173"/>
      <c r="G164" s="166"/>
      <c r="H164" s="165"/>
      <c r="I164" s="219"/>
      <c r="J164" s="220"/>
      <c r="K164" s="218"/>
      <c r="L164" s="221"/>
      <c r="M164" s="219"/>
      <c r="N164" s="220"/>
      <c r="O164" s="218"/>
      <c r="P164" s="221"/>
      <c r="Q164" s="212"/>
      <c r="R164" s="173"/>
      <c r="S164" s="213"/>
      <c r="T164" s="213"/>
      <c r="U164" s="214"/>
      <c r="V164" s="204"/>
      <c r="W164" s="173"/>
      <c r="X164" s="206"/>
      <c r="Y164" s="205"/>
    </row>
    <row r="165" spans="1:25" x14ac:dyDescent="0.2">
      <c r="A165" s="280"/>
      <c r="B165" s="369"/>
      <c r="C165" s="180">
        <f t="shared" si="3"/>
        <v>0</v>
      </c>
      <c r="D165" s="164"/>
      <c r="E165" s="173"/>
      <c r="F165" s="173"/>
      <c r="G165" s="166"/>
      <c r="H165" s="165"/>
      <c r="I165" s="219"/>
      <c r="J165" s="220"/>
      <c r="K165" s="218"/>
      <c r="L165" s="221"/>
      <c r="M165" s="219"/>
      <c r="N165" s="220"/>
      <c r="O165" s="218"/>
      <c r="P165" s="221"/>
      <c r="Q165" s="212"/>
      <c r="R165" s="173"/>
      <c r="S165" s="213"/>
      <c r="T165" s="213"/>
      <c r="U165" s="214"/>
      <c r="V165" s="204"/>
      <c r="W165" s="173"/>
      <c r="X165" s="206"/>
      <c r="Y165" s="205"/>
    </row>
    <row r="166" spans="1:25" x14ac:dyDescent="0.2">
      <c r="A166" s="280"/>
      <c r="B166" s="369"/>
      <c r="C166" s="180">
        <f t="shared" si="3"/>
        <v>0</v>
      </c>
      <c r="D166" s="164"/>
      <c r="E166" s="173"/>
      <c r="F166" s="173"/>
      <c r="G166" s="166"/>
      <c r="H166" s="165"/>
      <c r="I166" s="219"/>
      <c r="J166" s="220"/>
      <c r="K166" s="218"/>
      <c r="L166" s="221"/>
      <c r="M166" s="219"/>
      <c r="N166" s="220"/>
      <c r="O166" s="218"/>
      <c r="P166" s="221"/>
      <c r="Q166" s="212"/>
      <c r="R166" s="173"/>
      <c r="S166" s="213"/>
      <c r="T166" s="213"/>
      <c r="U166" s="214"/>
      <c r="V166" s="204"/>
      <c r="W166" s="173"/>
      <c r="X166" s="206"/>
      <c r="Y166" s="205"/>
    </row>
    <row r="167" spans="1:25" x14ac:dyDescent="0.2">
      <c r="A167" s="280">
        <f>A163+1</f>
        <v>45087</v>
      </c>
      <c r="B167" s="369" t="str">
        <f>IF(WEEKDAY(A167)=1,"CN","T"&amp;WEEKDAY(A167))</f>
        <v>T7</v>
      </c>
      <c r="C167" s="180">
        <f t="shared" si="3"/>
        <v>120000</v>
      </c>
      <c r="D167" s="164" t="s">
        <v>142</v>
      </c>
      <c r="E167" s="173"/>
      <c r="F167" s="173"/>
      <c r="G167" s="166"/>
      <c r="H167" s="165">
        <v>38000</v>
      </c>
      <c r="I167" s="219" t="s">
        <v>105</v>
      </c>
      <c r="J167" s="220" t="s">
        <v>209</v>
      </c>
      <c r="K167" s="218"/>
      <c r="L167" s="221">
        <v>41000</v>
      </c>
      <c r="M167" s="219" t="s">
        <v>115</v>
      </c>
      <c r="N167" s="220" t="s">
        <v>202</v>
      </c>
      <c r="O167" s="218"/>
      <c r="P167" s="221">
        <v>41000</v>
      </c>
      <c r="Q167" s="212"/>
      <c r="R167" s="173"/>
      <c r="S167" s="213"/>
      <c r="T167" s="213"/>
      <c r="U167" s="214"/>
      <c r="V167" s="204"/>
      <c r="W167" s="173"/>
      <c r="X167" s="206"/>
      <c r="Y167" s="205"/>
    </row>
    <row r="168" spans="1:25" x14ac:dyDescent="0.2">
      <c r="A168" s="280"/>
      <c r="B168" s="369"/>
      <c r="C168" s="180">
        <f t="shared" si="3"/>
        <v>0</v>
      </c>
      <c r="D168" s="164"/>
      <c r="E168" s="173"/>
      <c r="F168" s="173"/>
      <c r="G168" s="166"/>
      <c r="H168" s="165"/>
      <c r="I168" s="219"/>
      <c r="J168" s="220"/>
      <c r="K168" s="218"/>
      <c r="L168" s="221"/>
      <c r="M168" s="219"/>
      <c r="N168" s="220"/>
      <c r="O168" s="218"/>
      <c r="P168" s="221"/>
      <c r="Q168" s="212"/>
      <c r="R168" s="173"/>
      <c r="S168" s="213"/>
      <c r="T168" s="213"/>
      <c r="U168" s="214"/>
      <c r="V168" s="204"/>
      <c r="W168" s="173"/>
      <c r="X168" s="206"/>
      <c r="Y168" s="205"/>
    </row>
    <row r="169" spans="1:25" x14ac:dyDescent="0.2">
      <c r="A169" s="280"/>
      <c r="B169" s="369"/>
      <c r="C169" s="180">
        <f t="shared" si="3"/>
        <v>0</v>
      </c>
      <c r="D169" s="164"/>
      <c r="E169" s="173"/>
      <c r="F169" s="173"/>
      <c r="G169" s="166"/>
      <c r="H169" s="165"/>
      <c r="I169" s="219"/>
      <c r="J169" s="220"/>
      <c r="K169" s="218"/>
      <c r="L169" s="221"/>
      <c r="M169" s="219"/>
      <c r="N169" s="220"/>
      <c r="O169" s="218"/>
      <c r="P169" s="221"/>
      <c r="Q169" s="212"/>
      <c r="R169" s="173"/>
      <c r="S169" s="213"/>
      <c r="T169" s="213"/>
      <c r="U169" s="214"/>
      <c r="V169" s="204"/>
      <c r="W169" s="173"/>
      <c r="X169" s="206"/>
      <c r="Y169" s="205"/>
    </row>
    <row r="170" spans="1:25" x14ac:dyDescent="0.2">
      <c r="A170" s="280"/>
      <c r="B170" s="369"/>
      <c r="C170" s="180">
        <f t="shared" si="3"/>
        <v>0</v>
      </c>
      <c r="D170" s="164"/>
      <c r="E170" s="173"/>
      <c r="F170" s="173"/>
      <c r="G170" s="166"/>
      <c r="H170" s="165"/>
      <c r="I170" s="219"/>
      <c r="J170" s="220"/>
      <c r="K170" s="218"/>
      <c r="L170" s="221"/>
      <c r="M170" s="219"/>
      <c r="N170" s="220"/>
      <c r="O170" s="218"/>
      <c r="P170" s="221"/>
      <c r="Q170" s="212"/>
      <c r="R170" s="173"/>
      <c r="S170" s="213"/>
      <c r="T170" s="213"/>
      <c r="U170" s="214"/>
      <c r="V170" s="204"/>
      <c r="W170" s="173"/>
      <c r="X170" s="206"/>
      <c r="Y170" s="205"/>
    </row>
    <row r="171" spans="1:25" x14ac:dyDescent="0.2">
      <c r="A171" s="280">
        <f>A167+1</f>
        <v>45088</v>
      </c>
      <c r="B171" s="369" t="str">
        <f>IF(WEEKDAY(A171)=1,"CN","T"&amp;WEEKDAY(A171))</f>
        <v>CN</v>
      </c>
      <c r="C171" s="180">
        <f t="shared" si="3"/>
        <v>81000</v>
      </c>
      <c r="D171" s="164" t="s">
        <v>142</v>
      </c>
      <c r="E171" s="173"/>
      <c r="F171" s="173"/>
      <c r="G171" s="166"/>
      <c r="H171" s="165">
        <v>38000</v>
      </c>
      <c r="I171" s="219" t="s">
        <v>105</v>
      </c>
      <c r="J171" s="220" t="s">
        <v>209</v>
      </c>
      <c r="K171" s="218"/>
      <c r="L171" s="221">
        <v>2000</v>
      </c>
      <c r="M171" s="219" t="s">
        <v>115</v>
      </c>
      <c r="N171" s="220" t="s">
        <v>202</v>
      </c>
      <c r="O171" s="218"/>
      <c r="P171" s="221">
        <v>41000</v>
      </c>
      <c r="Q171" s="212"/>
      <c r="R171" s="173"/>
      <c r="S171" s="213"/>
      <c r="T171" s="213"/>
      <c r="U171" s="214"/>
      <c r="V171" s="204"/>
      <c r="W171" s="173"/>
      <c r="X171" s="206"/>
      <c r="Y171" s="205"/>
    </row>
    <row r="172" spans="1:25" x14ac:dyDescent="0.2">
      <c r="A172" s="280"/>
      <c r="B172" s="369"/>
      <c r="C172" s="180">
        <f t="shared" si="3"/>
        <v>39000</v>
      </c>
      <c r="D172" s="164"/>
      <c r="E172" s="173"/>
      <c r="F172" s="173"/>
      <c r="G172" s="166"/>
      <c r="H172" s="165"/>
      <c r="I172" s="219" t="s">
        <v>105</v>
      </c>
      <c r="J172" s="220" t="s">
        <v>210</v>
      </c>
      <c r="K172" s="218"/>
      <c r="L172" s="221">
        <v>39000</v>
      </c>
      <c r="M172" s="219"/>
      <c r="N172" s="220"/>
      <c r="O172" s="218"/>
      <c r="P172" s="221"/>
      <c r="Q172" s="212"/>
      <c r="R172" s="173"/>
      <c r="S172" s="213"/>
      <c r="T172" s="213"/>
      <c r="U172" s="214"/>
      <c r="V172" s="204"/>
      <c r="W172" s="173"/>
      <c r="X172" s="206"/>
      <c r="Y172" s="205"/>
    </row>
    <row r="173" spans="1:25" x14ac:dyDescent="0.2">
      <c r="A173" s="280"/>
      <c r="B173" s="369"/>
      <c r="C173" s="180">
        <f t="shared" si="3"/>
        <v>0</v>
      </c>
      <c r="D173" s="164"/>
      <c r="E173" s="173"/>
      <c r="F173" s="173"/>
      <c r="G173" s="166"/>
      <c r="H173" s="165"/>
      <c r="I173" s="219"/>
      <c r="J173" s="220"/>
      <c r="K173" s="218"/>
      <c r="L173" s="221"/>
      <c r="M173" s="219"/>
      <c r="N173" s="220"/>
      <c r="O173" s="218"/>
      <c r="P173" s="221"/>
      <c r="Q173" s="212"/>
      <c r="R173" s="173"/>
      <c r="S173" s="213"/>
      <c r="T173" s="213"/>
      <c r="U173" s="214"/>
      <c r="V173" s="204"/>
      <c r="W173" s="173"/>
      <c r="X173" s="206"/>
      <c r="Y173" s="205"/>
    </row>
    <row r="174" spans="1:25" x14ac:dyDescent="0.2">
      <c r="A174" s="280"/>
      <c r="B174" s="369"/>
      <c r="C174" s="180">
        <f t="shared" si="3"/>
        <v>0</v>
      </c>
      <c r="D174" s="164"/>
      <c r="E174" s="173"/>
      <c r="F174" s="173"/>
      <c r="G174" s="166"/>
      <c r="H174" s="165"/>
      <c r="I174" s="219"/>
      <c r="J174" s="220"/>
      <c r="K174" s="218"/>
      <c r="L174" s="221"/>
      <c r="M174" s="219"/>
      <c r="N174" s="220"/>
      <c r="O174" s="218"/>
      <c r="P174" s="221"/>
      <c r="Q174" s="212"/>
      <c r="R174" s="173"/>
      <c r="S174" s="213"/>
      <c r="T174" s="213"/>
      <c r="U174" s="214"/>
      <c r="V174" s="204"/>
      <c r="W174" s="173"/>
      <c r="X174" s="206"/>
      <c r="Y174" s="205"/>
    </row>
    <row r="175" spans="1:25" x14ac:dyDescent="0.2">
      <c r="A175" s="280">
        <f>A171+1</f>
        <v>45089</v>
      </c>
      <c r="B175" s="369" t="str">
        <f>IF(WEEKDAY(A175)=1,"CN","T"&amp;WEEKDAY(A175))</f>
        <v>T2</v>
      </c>
      <c r="C175" s="180">
        <f t="shared" si="3"/>
        <v>120000</v>
      </c>
      <c r="D175" s="164" t="s">
        <v>142</v>
      </c>
      <c r="E175" s="270"/>
      <c r="F175" s="270"/>
      <c r="G175" s="166"/>
      <c r="H175" s="165">
        <v>38000</v>
      </c>
      <c r="I175" s="219" t="s">
        <v>105</v>
      </c>
      <c r="J175" s="220" t="s">
        <v>210</v>
      </c>
      <c r="K175" s="218"/>
      <c r="L175" s="221">
        <v>41000</v>
      </c>
      <c r="M175" s="219" t="s">
        <v>115</v>
      </c>
      <c r="N175" s="220" t="s">
        <v>202</v>
      </c>
      <c r="O175" s="218"/>
      <c r="P175" s="221">
        <v>41000</v>
      </c>
      <c r="Q175" s="212"/>
      <c r="R175" s="173"/>
      <c r="S175" s="213"/>
      <c r="T175" s="213"/>
      <c r="U175" s="214"/>
      <c r="V175" s="204"/>
      <c r="W175" s="173"/>
      <c r="X175" s="206"/>
      <c r="Y175" s="205"/>
    </row>
    <row r="176" spans="1:25" x14ac:dyDescent="0.2">
      <c r="A176" s="280"/>
      <c r="B176" s="369"/>
      <c r="C176" s="180">
        <f t="shared" si="3"/>
        <v>0</v>
      </c>
      <c r="D176" s="164"/>
      <c r="E176" s="270"/>
      <c r="F176" s="270"/>
      <c r="G176" s="166"/>
      <c r="H176" s="165"/>
      <c r="I176" s="219"/>
      <c r="J176" s="220"/>
      <c r="K176" s="218"/>
      <c r="L176" s="221"/>
      <c r="M176" s="219"/>
      <c r="N176" s="220"/>
      <c r="O176" s="218"/>
      <c r="P176" s="221"/>
      <c r="Q176" s="212"/>
      <c r="R176" s="173"/>
      <c r="S176" s="213"/>
      <c r="T176" s="213"/>
      <c r="U176" s="214"/>
      <c r="V176" s="204"/>
      <c r="W176" s="173"/>
      <c r="X176" s="206"/>
      <c r="Y176" s="205"/>
    </row>
    <row r="177" spans="1:25" x14ac:dyDescent="0.2">
      <c r="A177" s="280"/>
      <c r="B177" s="369"/>
      <c r="C177" s="180">
        <f t="shared" si="3"/>
        <v>0</v>
      </c>
      <c r="D177" s="164"/>
      <c r="E177" s="270"/>
      <c r="F177" s="270"/>
      <c r="G177" s="166"/>
      <c r="H177" s="165"/>
      <c r="I177" s="219"/>
      <c r="J177" s="220"/>
      <c r="K177" s="218"/>
      <c r="L177" s="221"/>
      <c r="M177" s="219"/>
      <c r="N177" s="220"/>
      <c r="O177" s="218"/>
      <c r="P177" s="221"/>
      <c r="Q177" s="212"/>
      <c r="R177" s="173"/>
      <c r="S177" s="213"/>
      <c r="T177" s="213"/>
      <c r="U177" s="214"/>
      <c r="V177" s="204"/>
      <c r="W177" s="173"/>
      <c r="X177" s="206"/>
      <c r="Y177" s="205"/>
    </row>
    <row r="178" spans="1:25" x14ac:dyDescent="0.2">
      <c r="A178" s="280"/>
      <c r="B178" s="369"/>
      <c r="C178" s="180">
        <f t="shared" si="3"/>
        <v>0</v>
      </c>
      <c r="D178" s="164"/>
      <c r="E178" s="270"/>
      <c r="F178" s="270"/>
      <c r="G178" s="166"/>
      <c r="H178" s="165"/>
      <c r="I178" s="219"/>
      <c r="J178" s="220"/>
      <c r="K178" s="218"/>
      <c r="L178" s="221"/>
      <c r="M178" s="219"/>
      <c r="N178" s="220"/>
      <c r="O178" s="218"/>
      <c r="P178" s="221"/>
      <c r="Q178" s="212"/>
      <c r="R178" s="173"/>
      <c r="S178" s="213"/>
      <c r="T178" s="213"/>
      <c r="U178" s="214"/>
      <c r="V178" s="204"/>
      <c r="W178" s="173"/>
      <c r="X178" s="206"/>
      <c r="Y178" s="205"/>
    </row>
    <row r="179" spans="1:25" x14ac:dyDescent="0.2">
      <c r="A179" s="280">
        <f>A175+1</f>
        <v>45090</v>
      </c>
      <c r="B179" s="369" t="str">
        <f>IF(WEEKDAY(A179)=1,"CN","T"&amp;WEEKDAY(A179))</f>
        <v>T3</v>
      </c>
      <c r="C179" s="180">
        <f t="shared" si="3"/>
        <v>120000</v>
      </c>
      <c r="D179" s="164" t="s">
        <v>142</v>
      </c>
      <c r="E179" s="270"/>
      <c r="F179" s="270"/>
      <c r="G179" s="166"/>
      <c r="H179" s="165">
        <v>38000</v>
      </c>
      <c r="I179" s="219" t="s">
        <v>105</v>
      </c>
      <c r="J179" s="220" t="s">
        <v>210</v>
      </c>
      <c r="K179" s="218"/>
      <c r="L179" s="221">
        <v>41000</v>
      </c>
      <c r="M179" s="219" t="s">
        <v>115</v>
      </c>
      <c r="N179" s="220" t="s">
        <v>202</v>
      </c>
      <c r="O179" s="218"/>
      <c r="P179" s="221">
        <v>41000</v>
      </c>
      <c r="Q179" s="212"/>
      <c r="R179" s="173"/>
      <c r="S179" s="213"/>
      <c r="T179" s="213"/>
      <c r="U179" s="214"/>
      <c r="V179" s="204"/>
      <c r="W179" s="173"/>
      <c r="X179" s="206"/>
      <c r="Y179" s="205"/>
    </row>
    <row r="180" spans="1:25" x14ac:dyDescent="0.2">
      <c r="A180" s="280"/>
      <c r="B180" s="369"/>
      <c r="C180" s="180">
        <f t="shared" si="3"/>
        <v>0</v>
      </c>
      <c r="D180" s="164"/>
      <c r="E180" s="173"/>
      <c r="F180" s="173"/>
      <c r="G180" s="166"/>
      <c r="H180" s="165"/>
      <c r="I180" s="219"/>
      <c r="J180" s="220"/>
      <c r="K180" s="218"/>
      <c r="L180" s="221"/>
      <c r="M180" s="219"/>
      <c r="N180" s="220"/>
      <c r="O180" s="218"/>
      <c r="P180" s="221"/>
      <c r="Q180" s="212"/>
      <c r="R180" s="173"/>
      <c r="S180" s="213"/>
      <c r="T180" s="213"/>
      <c r="U180" s="214"/>
      <c r="V180" s="204"/>
      <c r="W180" s="173"/>
      <c r="X180" s="206"/>
      <c r="Y180" s="205"/>
    </row>
    <row r="181" spans="1:25" x14ac:dyDescent="0.2">
      <c r="A181" s="280"/>
      <c r="B181" s="369"/>
      <c r="C181" s="180">
        <f t="shared" si="3"/>
        <v>0</v>
      </c>
      <c r="D181" s="164"/>
      <c r="E181" s="173"/>
      <c r="F181" s="173"/>
      <c r="G181" s="166"/>
      <c r="H181" s="165"/>
      <c r="I181" s="219"/>
      <c r="J181" s="220"/>
      <c r="K181" s="218"/>
      <c r="L181" s="221"/>
      <c r="M181" s="219"/>
      <c r="N181" s="220"/>
      <c r="O181" s="218"/>
      <c r="P181" s="221"/>
      <c r="Q181" s="212"/>
      <c r="R181" s="173"/>
      <c r="S181" s="213"/>
      <c r="T181" s="213"/>
      <c r="U181" s="214"/>
      <c r="V181" s="204"/>
      <c r="W181" s="173"/>
      <c r="X181" s="206"/>
      <c r="Y181" s="205"/>
    </row>
    <row r="182" spans="1:25" x14ac:dyDescent="0.2">
      <c r="A182" s="280"/>
      <c r="B182" s="369"/>
      <c r="C182" s="180">
        <f t="shared" si="3"/>
        <v>0</v>
      </c>
      <c r="D182" s="164"/>
      <c r="E182" s="173"/>
      <c r="F182" s="173"/>
      <c r="G182" s="166"/>
      <c r="H182" s="165"/>
      <c r="I182" s="219"/>
      <c r="J182" s="220"/>
      <c r="K182" s="218"/>
      <c r="L182" s="221"/>
      <c r="M182" s="219"/>
      <c r="N182" s="220"/>
      <c r="O182" s="218"/>
      <c r="P182" s="221"/>
      <c r="Q182" s="212"/>
      <c r="R182" s="173"/>
      <c r="S182" s="213"/>
      <c r="T182" s="213"/>
      <c r="U182" s="214"/>
      <c r="V182" s="204"/>
      <c r="W182" s="173"/>
      <c r="X182" s="206"/>
      <c r="Y182" s="205"/>
    </row>
    <row r="183" spans="1:25" x14ac:dyDescent="0.2">
      <c r="A183" s="280">
        <f>A179+1</f>
        <v>45091</v>
      </c>
      <c r="B183" s="369" t="str">
        <f>IF(WEEKDAY(A183)=1,"CN","T"&amp;WEEKDAY(A183))</f>
        <v>T4</v>
      </c>
      <c r="C183" s="180">
        <f t="shared" ref="C183:C238" si="4">SUM(D183:U183)</f>
        <v>88000</v>
      </c>
      <c r="D183" s="164" t="s">
        <v>142</v>
      </c>
      <c r="E183" s="173"/>
      <c r="F183" s="173"/>
      <c r="G183" s="166"/>
      <c r="H183" s="165">
        <v>6000</v>
      </c>
      <c r="I183" s="219" t="s">
        <v>105</v>
      </c>
      <c r="J183" s="220" t="s">
        <v>210</v>
      </c>
      <c r="K183" s="218"/>
      <c r="L183" s="221">
        <v>41000</v>
      </c>
      <c r="M183" s="219" t="s">
        <v>115</v>
      </c>
      <c r="N183" s="220" t="s">
        <v>202</v>
      </c>
      <c r="O183" s="218"/>
      <c r="P183" s="221">
        <v>41000</v>
      </c>
      <c r="Q183" s="212"/>
      <c r="R183" s="173"/>
      <c r="S183" s="213"/>
      <c r="T183" s="213"/>
      <c r="U183" s="214"/>
      <c r="V183" s="204"/>
      <c r="W183" s="173"/>
      <c r="X183" s="206"/>
      <c r="Y183" s="205"/>
    </row>
    <row r="184" spans="1:25" x14ac:dyDescent="0.2">
      <c r="A184" s="280"/>
      <c r="B184" s="369"/>
      <c r="C184" s="180">
        <f t="shared" si="4"/>
        <v>24000</v>
      </c>
      <c r="D184" s="278" t="s">
        <v>121</v>
      </c>
      <c r="E184" s="257"/>
      <c r="F184" s="257"/>
      <c r="G184" s="258"/>
      <c r="H184" s="259">
        <v>24000</v>
      </c>
      <c r="I184" s="219"/>
      <c r="J184" s="220"/>
      <c r="K184" s="218"/>
      <c r="L184" s="221"/>
      <c r="M184" s="219"/>
      <c r="N184" s="220"/>
      <c r="O184" s="218"/>
      <c r="P184" s="221"/>
      <c r="Q184" s="212"/>
      <c r="R184" s="173"/>
      <c r="S184" s="213"/>
      <c r="T184" s="213"/>
      <c r="U184" s="214"/>
      <c r="V184" s="204"/>
      <c r="W184" s="173"/>
      <c r="X184" s="206"/>
      <c r="Y184" s="205"/>
    </row>
    <row r="185" spans="1:25" x14ac:dyDescent="0.2">
      <c r="A185" s="280"/>
      <c r="B185" s="369"/>
      <c r="C185" s="180">
        <f t="shared" si="4"/>
        <v>8000</v>
      </c>
      <c r="D185" s="278" t="s">
        <v>104</v>
      </c>
      <c r="E185" s="257"/>
      <c r="F185" s="257"/>
      <c r="G185" s="258"/>
      <c r="H185" s="259">
        <v>8000</v>
      </c>
      <c r="I185" s="219"/>
      <c r="J185" s="220"/>
      <c r="K185" s="218"/>
      <c r="L185" s="221"/>
      <c r="M185" s="219"/>
      <c r="N185" s="220"/>
      <c r="O185" s="218"/>
      <c r="P185" s="221"/>
      <c r="Q185" s="212"/>
      <c r="R185" s="173"/>
      <c r="S185" s="213"/>
      <c r="T185" s="213"/>
      <c r="U185" s="214"/>
      <c r="V185" s="204"/>
      <c r="W185" s="173"/>
      <c r="X185" s="206"/>
      <c r="Y185" s="205"/>
    </row>
    <row r="186" spans="1:25" x14ac:dyDescent="0.2">
      <c r="A186" s="280"/>
      <c r="B186" s="369"/>
      <c r="C186" s="180">
        <f t="shared" si="4"/>
        <v>0</v>
      </c>
      <c r="D186" s="278"/>
      <c r="E186" s="257"/>
      <c r="F186" s="257"/>
      <c r="G186" s="258"/>
      <c r="H186" s="259"/>
      <c r="I186" s="219"/>
      <c r="J186" s="220"/>
      <c r="K186" s="218"/>
      <c r="L186" s="221"/>
      <c r="M186" s="219"/>
      <c r="N186" s="220"/>
      <c r="O186" s="218"/>
      <c r="P186" s="221"/>
      <c r="Q186" s="212"/>
      <c r="R186" s="173"/>
      <c r="S186" s="213"/>
      <c r="T186" s="213"/>
      <c r="U186" s="214"/>
      <c r="V186" s="204"/>
      <c r="W186" s="173"/>
      <c r="X186" s="206"/>
      <c r="Y186" s="205"/>
    </row>
    <row r="187" spans="1:25" x14ac:dyDescent="0.2">
      <c r="A187" s="280">
        <f>A183+1</f>
        <v>45092</v>
      </c>
      <c r="B187" s="369" t="str">
        <f>IF(WEEKDAY(A187)=1,"CN","T"&amp;WEEKDAY(A187))</f>
        <v>T5</v>
      </c>
      <c r="C187" s="180">
        <f t="shared" si="4"/>
        <v>98000</v>
      </c>
      <c r="D187" s="278" t="s">
        <v>104</v>
      </c>
      <c r="E187" s="257"/>
      <c r="F187" s="257"/>
      <c r="G187" s="258"/>
      <c r="H187" s="259">
        <v>16000</v>
      </c>
      <c r="I187" s="219" t="s">
        <v>105</v>
      </c>
      <c r="J187" s="220" t="s">
        <v>210</v>
      </c>
      <c r="K187" s="218"/>
      <c r="L187" s="221">
        <v>41000</v>
      </c>
      <c r="M187" s="219" t="s">
        <v>115</v>
      </c>
      <c r="N187" s="220" t="s">
        <v>202</v>
      </c>
      <c r="O187" s="218"/>
      <c r="P187" s="221">
        <v>41000</v>
      </c>
      <c r="Q187" s="212"/>
      <c r="R187" s="173"/>
      <c r="S187" s="213"/>
      <c r="T187" s="213"/>
      <c r="U187" s="214"/>
      <c r="V187" s="204"/>
      <c r="W187" s="173"/>
      <c r="X187" s="206"/>
      <c r="Y187" s="205"/>
    </row>
    <row r="188" spans="1:25" x14ac:dyDescent="0.2">
      <c r="A188" s="280"/>
      <c r="B188" s="369"/>
      <c r="C188" s="180">
        <f t="shared" si="4"/>
        <v>0</v>
      </c>
      <c r="D188" s="164"/>
      <c r="E188" s="173"/>
      <c r="F188" s="173"/>
      <c r="G188" s="166"/>
      <c r="H188" s="165"/>
      <c r="I188" s="219"/>
      <c r="J188" s="220"/>
      <c r="K188" s="218"/>
      <c r="L188" s="221"/>
      <c r="M188" s="219"/>
      <c r="N188" s="220"/>
      <c r="O188" s="218"/>
      <c r="P188" s="221"/>
      <c r="Q188" s="212"/>
      <c r="R188" s="173"/>
      <c r="S188" s="213"/>
      <c r="T188" s="213"/>
      <c r="U188" s="214"/>
      <c r="V188" s="204"/>
      <c r="W188" s="173"/>
      <c r="X188" s="206"/>
      <c r="Y188" s="205"/>
    </row>
    <row r="189" spans="1:25" x14ac:dyDescent="0.2">
      <c r="A189" s="280"/>
      <c r="B189" s="369"/>
      <c r="C189" s="180">
        <f t="shared" si="4"/>
        <v>0</v>
      </c>
      <c r="D189" s="164"/>
      <c r="E189" s="173"/>
      <c r="F189" s="173"/>
      <c r="G189" s="166"/>
      <c r="H189" s="165"/>
      <c r="I189" s="219"/>
      <c r="J189" s="220"/>
      <c r="K189" s="218"/>
      <c r="L189" s="221"/>
      <c r="M189" s="219"/>
      <c r="N189" s="220"/>
      <c r="O189" s="218"/>
      <c r="P189" s="221"/>
      <c r="Q189" s="212"/>
      <c r="R189" s="173"/>
      <c r="S189" s="213"/>
      <c r="T189" s="213"/>
      <c r="U189" s="214"/>
      <c r="V189" s="204"/>
      <c r="W189" s="173"/>
      <c r="X189" s="206"/>
      <c r="Y189" s="205"/>
    </row>
    <row r="190" spans="1:25" x14ac:dyDescent="0.2">
      <c r="A190" s="280"/>
      <c r="B190" s="369"/>
      <c r="C190" s="180">
        <f t="shared" si="4"/>
        <v>0</v>
      </c>
      <c r="D190" s="164"/>
      <c r="E190" s="173"/>
      <c r="F190" s="173"/>
      <c r="G190" s="166"/>
      <c r="H190" s="165"/>
      <c r="I190" s="219"/>
      <c r="J190" s="220"/>
      <c r="K190" s="218"/>
      <c r="L190" s="221"/>
      <c r="M190" s="219"/>
      <c r="N190" s="220"/>
      <c r="O190" s="218"/>
      <c r="P190" s="221"/>
      <c r="Q190" s="212"/>
      <c r="R190" s="173"/>
      <c r="S190" s="213"/>
      <c r="T190" s="213"/>
      <c r="U190" s="214"/>
      <c r="V190" s="204"/>
      <c r="W190" s="173"/>
      <c r="X190" s="206"/>
      <c r="Y190" s="205"/>
    </row>
    <row r="191" spans="1:25" x14ac:dyDescent="0.2">
      <c r="A191" s="280">
        <f>A187+1</f>
        <v>45093</v>
      </c>
      <c r="B191" s="369" t="str">
        <f>IF(WEEKDAY(A191)=1,"CN","T"&amp;WEEKDAY(A191))</f>
        <v>T6</v>
      </c>
      <c r="C191" s="180">
        <f t="shared" si="4"/>
        <v>54000</v>
      </c>
      <c r="D191" s="164"/>
      <c r="E191" s="173"/>
      <c r="F191" s="173"/>
      <c r="G191" s="166"/>
      <c r="H191" s="165"/>
      <c r="I191" s="219" t="s">
        <v>105</v>
      </c>
      <c r="J191" s="220" t="s">
        <v>210</v>
      </c>
      <c r="K191" s="218"/>
      <c r="L191" s="221">
        <v>13000</v>
      </c>
      <c r="M191" s="219" t="s">
        <v>115</v>
      </c>
      <c r="N191" s="220" t="s">
        <v>202</v>
      </c>
      <c r="O191" s="218"/>
      <c r="P191" s="221">
        <v>41000</v>
      </c>
      <c r="Q191" s="212"/>
      <c r="R191" s="173"/>
      <c r="S191" s="213"/>
      <c r="T191" s="213"/>
      <c r="U191" s="214"/>
      <c r="V191" s="204"/>
      <c r="W191" s="173"/>
      <c r="X191" s="206"/>
      <c r="Y191" s="205"/>
    </row>
    <row r="192" spans="1:25" x14ac:dyDescent="0.2">
      <c r="A192" s="280"/>
      <c r="B192" s="369"/>
      <c r="C192" s="180">
        <f t="shared" si="4"/>
        <v>28000</v>
      </c>
      <c r="D192" s="164"/>
      <c r="E192" s="173"/>
      <c r="F192" s="173"/>
      <c r="G192" s="166"/>
      <c r="H192" s="165"/>
      <c r="I192" s="219" t="s">
        <v>105</v>
      </c>
      <c r="J192" s="220" t="s">
        <v>184</v>
      </c>
      <c r="K192" s="218"/>
      <c r="L192" s="221">
        <v>28000</v>
      </c>
      <c r="M192" s="219"/>
      <c r="N192" s="220"/>
      <c r="O192" s="218"/>
      <c r="P192" s="221"/>
      <c r="Q192" s="212"/>
      <c r="R192" s="173"/>
      <c r="S192" s="213"/>
      <c r="T192" s="213"/>
      <c r="U192" s="214"/>
      <c r="V192" s="204"/>
      <c r="W192" s="173"/>
      <c r="X192" s="206"/>
      <c r="Y192" s="205"/>
    </row>
    <row r="193" spans="1:25" x14ac:dyDescent="0.2">
      <c r="A193" s="280"/>
      <c r="B193" s="369"/>
      <c r="C193" s="180">
        <f t="shared" si="4"/>
        <v>0</v>
      </c>
      <c r="D193" s="164"/>
      <c r="E193" s="173"/>
      <c r="F193" s="173"/>
      <c r="G193" s="166"/>
      <c r="H193" s="165"/>
      <c r="I193" s="219"/>
      <c r="J193" s="220"/>
      <c r="K193" s="218"/>
      <c r="L193" s="221"/>
      <c r="M193" s="219"/>
      <c r="N193" s="220"/>
      <c r="O193" s="218"/>
      <c r="P193" s="221"/>
      <c r="Q193" s="212"/>
      <c r="R193" s="173"/>
      <c r="S193" s="213"/>
      <c r="T193" s="213"/>
      <c r="U193" s="214"/>
      <c r="V193" s="204"/>
      <c r="W193" s="173"/>
      <c r="X193" s="206"/>
      <c r="Y193" s="205"/>
    </row>
    <row r="194" spans="1:25" x14ac:dyDescent="0.2">
      <c r="A194" s="280"/>
      <c r="B194" s="369"/>
      <c r="C194" s="180">
        <f t="shared" si="4"/>
        <v>0</v>
      </c>
      <c r="D194" s="164"/>
      <c r="E194" s="173"/>
      <c r="F194" s="173"/>
      <c r="G194" s="166"/>
      <c r="H194" s="165"/>
      <c r="I194" s="219"/>
      <c r="J194" s="220"/>
      <c r="K194" s="218"/>
      <c r="L194" s="221"/>
      <c r="M194" s="219"/>
      <c r="N194" s="220"/>
      <c r="O194" s="218"/>
      <c r="P194" s="221"/>
      <c r="Q194" s="212"/>
      <c r="R194" s="173"/>
      <c r="S194" s="213"/>
      <c r="T194" s="213"/>
      <c r="U194" s="214"/>
      <c r="V194" s="204"/>
      <c r="W194" s="173"/>
      <c r="X194" s="206"/>
      <c r="Y194" s="205"/>
    </row>
    <row r="195" spans="1:25" x14ac:dyDescent="0.2">
      <c r="A195" s="280">
        <f>A191+1</f>
        <v>45094</v>
      </c>
      <c r="B195" s="369" t="str">
        <f>IF(WEEKDAY(A195)=1,"CN","T"&amp;WEEKDAY(A195))</f>
        <v>T7</v>
      </c>
      <c r="C195" s="180">
        <f t="shared" si="4"/>
        <v>53000</v>
      </c>
      <c r="D195" s="164"/>
      <c r="E195" s="173"/>
      <c r="F195" s="173"/>
      <c r="G195" s="166"/>
      <c r="H195" s="165"/>
      <c r="I195" s="219" t="s">
        <v>105</v>
      </c>
      <c r="J195" s="220" t="s">
        <v>184</v>
      </c>
      <c r="K195" s="218"/>
      <c r="L195" s="221">
        <v>12000</v>
      </c>
      <c r="M195" s="219" t="s">
        <v>115</v>
      </c>
      <c r="N195" s="220" t="s">
        <v>202</v>
      </c>
      <c r="O195" s="218"/>
      <c r="P195" s="221">
        <v>41000</v>
      </c>
      <c r="Q195" s="212"/>
      <c r="R195" s="173"/>
      <c r="S195" s="213"/>
      <c r="T195" s="213"/>
      <c r="U195" s="214"/>
      <c r="V195" s="204"/>
      <c r="W195" s="173"/>
      <c r="X195" s="206"/>
      <c r="Y195" s="205"/>
    </row>
    <row r="196" spans="1:25" x14ac:dyDescent="0.2">
      <c r="A196" s="280"/>
      <c r="B196" s="369"/>
      <c r="C196" s="180">
        <f t="shared" si="4"/>
        <v>28000</v>
      </c>
      <c r="D196" s="164"/>
      <c r="E196" s="173"/>
      <c r="F196" s="173"/>
      <c r="G196" s="166"/>
      <c r="H196" s="165"/>
      <c r="I196" s="219" t="s">
        <v>105</v>
      </c>
      <c r="J196" s="220" t="s">
        <v>164</v>
      </c>
      <c r="K196" s="218"/>
      <c r="L196" s="221">
        <v>28000</v>
      </c>
      <c r="M196" s="219"/>
      <c r="N196" s="220"/>
      <c r="O196" s="218"/>
      <c r="P196" s="221"/>
      <c r="Q196" s="212"/>
      <c r="R196" s="173"/>
      <c r="S196" s="213"/>
      <c r="T196" s="213"/>
      <c r="U196" s="214"/>
      <c r="V196" s="204"/>
      <c r="W196" s="173"/>
      <c r="X196" s="206"/>
      <c r="Y196" s="205"/>
    </row>
    <row r="197" spans="1:25" x14ac:dyDescent="0.2">
      <c r="A197" s="280"/>
      <c r="B197" s="369"/>
      <c r="C197" s="180">
        <f t="shared" si="4"/>
        <v>0</v>
      </c>
      <c r="D197" s="164"/>
      <c r="E197" s="173"/>
      <c r="F197" s="173"/>
      <c r="G197" s="166"/>
      <c r="H197" s="165"/>
      <c r="I197" s="219"/>
      <c r="J197" s="220"/>
      <c r="K197" s="218"/>
      <c r="L197" s="221"/>
      <c r="M197" s="219"/>
      <c r="N197" s="220"/>
      <c r="O197" s="218"/>
      <c r="P197" s="221"/>
      <c r="Q197" s="212"/>
      <c r="R197" s="173"/>
      <c r="S197" s="213"/>
      <c r="T197" s="213"/>
      <c r="U197" s="214"/>
      <c r="V197" s="204"/>
      <c r="W197" s="173"/>
      <c r="X197" s="206"/>
      <c r="Y197" s="205"/>
    </row>
    <row r="198" spans="1:25" x14ac:dyDescent="0.2">
      <c r="A198" s="280"/>
      <c r="B198" s="369"/>
      <c r="C198" s="180">
        <f t="shared" si="4"/>
        <v>0</v>
      </c>
      <c r="D198" s="164"/>
      <c r="E198" s="173"/>
      <c r="F198" s="173"/>
      <c r="G198" s="166"/>
      <c r="H198" s="165"/>
      <c r="I198" s="194"/>
      <c r="J198" s="173"/>
      <c r="K198" s="196"/>
      <c r="L198" s="195"/>
      <c r="M198" s="179"/>
      <c r="N198" s="173"/>
      <c r="O198" s="159"/>
      <c r="P198" s="155"/>
      <c r="Q198" s="212"/>
      <c r="R198" s="173"/>
      <c r="S198" s="213"/>
      <c r="T198" s="213"/>
      <c r="U198" s="214"/>
      <c r="V198" s="204"/>
      <c r="W198" s="173"/>
      <c r="X198" s="206"/>
      <c r="Y198" s="205"/>
    </row>
    <row r="199" spans="1:25" x14ac:dyDescent="0.2">
      <c r="A199" s="280">
        <f>A195+1</f>
        <v>45095</v>
      </c>
      <c r="B199" s="369" t="str">
        <f>IF(WEEKDAY(A199)=1,"CN","T"&amp;WEEKDAY(A199))</f>
        <v>CN</v>
      </c>
      <c r="C199" s="180">
        <f t="shared" si="4"/>
        <v>10000</v>
      </c>
      <c r="D199" s="164"/>
      <c r="E199" s="173"/>
      <c r="F199" s="173"/>
      <c r="G199" s="166"/>
      <c r="H199" s="165"/>
      <c r="I199" s="194" t="s">
        <v>105</v>
      </c>
      <c r="J199" s="173" t="s">
        <v>165</v>
      </c>
      <c r="K199" s="196"/>
      <c r="L199" s="195">
        <v>10000</v>
      </c>
      <c r="M199" s="179"/>
      <c r="N199" s="173"/>
      <c r="O199" s="159"/>
      <c r="P199" s="155"/>
      <c r="Q199" s="212"/>
      <c r="R199" s="173"/>
      <c r="S199" s="213"/>
      <c r="T199" s="213"/>
      <c r="U199" s="214"/>
      <c r="V199" s="204"/>
      <c r="W199" s="173"/>
      <c r="X199" s="206"/>
      <c r="Y199" s="205"/>
    </row>
    <row r="200" spans="1:25" x14ac:dyDescent="0.2">
      <c r="A200" s="280"/>
      <c r="B200" s="369"/>
      <c r="C200" s="180">
        <f t="shared" si="4"/>
        <v>10000</v>
      </c>
      <c r="D200" s="164"/>
      <c r="E200" s="173"/>
      <c r="F200" s="173"/>
      <c r="G200" s="166"/>
      <c r="H200" s="165"/>
      <c r="I200" s="194" t="s">
        <v>105</v>
      </c>
      <c r="J200" s="173" t="s">
        <v>103</v>
      </c>
      <c r="K200" s="196"/>
      <c r="L200" s="195">
        <v>10000</v>
      </c>
      <c r="M200" s="179"/>
      <c r="N200" s="173"/>
      <c r="O200" s="159"/>
      <c r="P200" s="155"/>
      <c r="Q200" s="212"/>
      <c r="R200" s="173"/>
      <c r="S200" s="213"/>
      <c r="T200" s="213"/>
      <c r="U200" s="214"/>
      <c r="V200" s="204"/>
      <c r="W200" s="173"/>
      <c r="X200" s="206"/>
      <c r="Y200" s="205"/>
    </row>
    <row r="201" spans="1:25" x14ac:dyDescent="0.2">
      <c r="A201" s="280"/>
      <c r="B201" s="369"/>
      <c r="C201" s="180">
        <f t="shared" si="4"/>
        <v>3000</v>
      </c>
      <c r="D201" s="164"/>
      <c r="E201" s="173"/>
      <c r="F201" s="173"/>
      <c r="G201" s="166"/>
      <c r="H201" s="165"/>
      <c r="I201" s="194" t="s">
        <v>105</v>
      </c>
      <c r="J201" s="173" t="s">
        <v>183</v>
      </c>
      <c r="K201" s="196"/>
      <c r="L201" s="195">
        <v>3000</v>
      </c>
      <c r="M201" s="179"/>
      <c r="N201" s="173"/>
      <c r="O201" s="159"/>
      <c r="P201" s="155"/>
      <c r="Q201" s="212"/>
      <c r="R201" s="173"/>
      <c r="S201" s="213"/>
      <c r="T201" s="213"/>
      <c r="U201" s="214"/>
      <c r="V201" s="204"/>
      <c r="W201" s="173"/>
      <c r="X201" s="206"/>
      <c r="Y201" s="205"/>
    </row>
    <row r="202" spans="1:25" x14ac:dyDescent="0.2">
      <c r="A202" s="280"/>
      <c r="B202" s="369"/>
      <c r="C202" s="180">
        <f t="shared" si="4"/>
        <v>18000</v>
      </c>
      <c r="D202" s="164"/>
      <c r="E202" s="173"/>
      <c r="F202" s="173"/>
      <c r="G202" s="166"/>
      <c r="H202" s="165"/>
      <c r="I202" s="194" t="s">
        <v>115</v>
      </c>
      <c r="J202" s="173" t="s">
        <v>166</v>
      </c>
      <c r="K202" s="196"/>
      <c r="L202" s="195">
        <v>18000</v>
      </c>
      <c r="M202" s="179"/>
      <c r="N202" s="173"/>
      <c r="O202" s="159"/>
      <c r="P202" s="155"/>
      <c r="Q202" s="212"/>
      <c r="R202" s="173"/>
      <c r="S202" s="213"/>
      <c r="T202" s="213"/>
      <c r="U202" s="214"/>
      <c r="V202" s="204"/>
      <c r="W202" s="173"/>
      <c r="X202" s="206"/>
      <c r="Y202" s="205"/>
    </row>
    <row r="203" spans="1:25" x14ac:dyDescent="0.2">
      <c r="A203" s="280">
        <f>A199+1</f>
        <v>45096</v>
      </c>
      <c r="B203" s="369" t="str">
        <f>IF(WEEKDAY(A203)=1,"CN","T"&amp;WEEKDAY(A203))</f>
        <v>T2</v>
      </c>
      <c r="C203" s="180">
        <f t="shared" si="4"/>
        <v>65000</v>
      </c>
      <c r="D203" s="278" t="s">
        <v>121</v>
      </c>
      <c r="E203" s="257"/>
      <c r="F203" s="257"/>
      <c r="G203" s="258"/>
      <c r="H203" s="259">
        <v>24000</v>
      </c>
      <c r="I203" s="219"/>
      <c r="J203" s="220"/>
      <c r="K203" s="218"/>
      <c r="L203" s="221"/>
      <c r="M203" s="219" t="s">
        <v>115</v>
      </c>
      <c r="N203" s="220" t="s">
        <v>202</v>
      </c>
      <c r="O203" s="218"/>
      <c r="P203" s="221">
        <v>41000</v>
      </c>
      <c r="Q203" s="212"/>
      <c r="R203" s="173"/>
      <c r="S203" s="213"/>
      <c r="T203" s="213"/>
      <c r="U203" s="214"/>
      <c r="V203" s="204"/>
      <c r="W203" s="173"/>
      <c r="X203" s="206"/>
      <c r="Y203" s="205"/>
    </row>
    <row r="204" spans="1:25" x14ac:dyDescent="0.2">
      <c r="A204" s="280"/>
      <c r="B204" s="369"/>
      <c r="C204" s="180">
        <f t="shared" si="4"/>
        <v>14000</v>
      </c>
      <c r="D204" s="278" t="s">
        <v>104</v>
      </c>
      <c r="E204" s="257"/>
      <c r="F204" s="257"/>
      <c r="G204" s="258"/>
      <c r="H204" s="259">
        <v>14000</v>
      </c>
      <c r="I204" s="219"/>
      <c r="J204" s="220"/>
      <c r="K204" s="218"/>
      <c r="L204" s="221"/>
      <c r="M204" s="219"/>
      <c r="N204" s="220"/>
      <c r="O204" s="218"/>
      <c r="P204" s="221"/>
      <c r="Q204" s="212"/>
      <c r="R204" s="173"/>
      <c r="S204" s="213"/>
      <c r="T204" s="213"/>
      <c r="U204" s="214"/>
      <c r="V204" s="204"/>
      <c r="W204" s="173"/>
      <c r="X204" s="206"/>
      <c r="Y204" s="205"/>
    </row>
    <row r="205" spans="1:25" x14ac:dyDescent="0.2">
      <c r="A205" s="280"/>
      <c r="B205" s="369"/>
      <c r="C205" s="180">
        <f t="shared" si="4"/>
        <v>0</v>
      </c>
      <c r="D205" s="278"/>
      <c r="E205" s="257"/>
      <c r="F205" s="257"/>
      <c r="G205" s="258"/>
      <c r="H205" s="259"/>
      <c r="I205" s="219"/>
      <c r="J205" s="220"/>
      <c r="K205" s="218"/>
      <c r="L205" s="221"/>
      <c r="M205" s="219"/>
      <c r="N205" s="220"/>
      <c r="O205" s="218"/>
      <c r="P205" s="221"/>
      <c r="Q205" s="212"/>
      <c r="R205" s="173"/>
      <c r="S205" s="213"/>
      <c r="T205" s="213"/>
      <c r="U205" s="214"/>
      <c r="V205" s="204"/>
      <c r="W205" s="173"/>
      <c r="X205" s="206"/>
      <c r="Y205" s="205"/>
    </row>
    <row r="206" spans="1:25" x14ac:dyDescent="0.2">
      <c r="A206" s="280"/>
      <c r="B206" s="369"/>
      <c r="C206" s="180">
        <f t="shared" si="4"/>
        <v>0</v>
      </c>
      <c r="D206" s="278"/>
      <c r="E206" s="257"/>
      <c r="F206" s="257"/>
      <c r="G206" s="258"/>
      <c r="H206" s="259"/>
      <c r="I206" s="219"/>
      <c r="J206" s="220"/>
      <c r="K206" s="218"/>
      <c r="L206" s="221"/>
      <c r="M206" s="219"/>
      <c r="N206" s="220"/>
      <c r="O206" s="218"/>
      <c r="P206" s="221"/>
      <c r="Q206" s="212"/>
      <c r="R206" s="173"/>
      <c r="S206" s="213"/>
      <c r="T206" s="213"/>
      <c r="U206" s="214"/>
      <c r="V206" s="204"/>
      <c r="W206" s="173"/>
      <c r="X206" s="206"/>
      <c r="Y206" s="205"/>
    </row>
    <row r="207" spans="1:25" x14ac:dyDescent="0.2">
      <c r="A207" s="280">
        <f>A203+1</f>
        <v>45097</v>
      </c>
      <c r="B207" s="369" t="str">
        <f>IF(WEEKDAY(A207)=1,"CN","T"&amp;WEEKDAY(A207))</f>
        <v>T3</v>
      </c>
      <c r="C207" s="180">
        <f t="shared" si="4"/>
        <v>92000</v>
      </c>
      <c r="D207" s="278" t="s">
        <v>104</v>
      </c>
      <c r="E207" s="257"/>
      <c r="F207" s="257"/>
      <c r="G207" s="258"/>
      <c r="H207" s="259">
        <v>10000</v>
      </c>
      <c r="I207" s="219" t="s">
        <v>115</v>
      </c>
      <c r="J207" s="220" t="s">
        <v>202</v>
      </c>
      <c r="K207" s="218"/>
      <c r="L207" s="221">
        <v>41000</v>
      </c>
      <c r="M207" s="219" t="s">
        <v>115</v>
      </c>
      <c r="N207" s="220" t="s">
        <v>202</v>
      </c>
      <c r="O207" s="218"/>
      <c r="P207" s="221">
        <v>41000</v>
      </c>
      <c r="Q207" s="212"/>
      <c r="R207" s="173"/>
      <c r="S207" s="213"/>
      <c r="T207" s="213"/>
      <c r="U207" s="214"/>
      <c r="V207" s="204"/>
      <c r="W207" s="173"/>
      <c r="X207" s="206"/>
      <c r="Y207" s="205"/>
    </row>
    <row r="208" spans="1:25" x14ac:dyDescent="0.2">
      <c r="A208" s="280"/>
      <c r="B208" s="369"/>
      <c r="C208" s="180">
        <f t="shared" si="4"/>
        <v>0</v>
      </c>
      <c r="D208" s="164"/>
      <c r="E208" s="173"/>
      <c r="F208" s="173"/>
      <c r="G208" s="166"/>
      <c r="H208" s="165"/>
      <c r="I208" s="219"/>
      <c r="J208" s="220"/>
      <c r="K208" s="218"/>
      <c r="L208" s="221"/>
      <c r="M208" s="219"/>
      <c r="N208" s="220"/>
      <c r="O208" s="218"/>
      <c r="P208" s="221"/>
      <c r="Q208" s="212"/>
      <c r="R208" s="173"/>
      <c r="S208" s="213"/>
      <c r="T208" s="213"/>
      <c r="U208" s="214"/>
      <c r="V208" s="204"/>
      <c r="W208" s="173"/>
      <c r="X208" s="206"/>
      <c r="Y208" s="205"/>
    </row>
    <row r="209" spans="1:25" x14ac:dyDescent="0.2">
      <c r="A209" s="280"/>
      <c r="B209" s="369"/>
      <c r="C209" s="180">
        <f t="shared" si="4"/>
        <v>0</v>
      </c>
      <c r="D209" s="164"/>
      <c r="E209" s="173"/>
      <c r="F209" s="173"/>
      <c r="G209" s="166"/>
      <c r="H209" s="165"/>
      <c r="I209" s="219"/>
      <c r="J209" s="220"/>
      <c r="K209" s="218"/>
      <c r="L209" s="221"/>
      <c r="M209" s="219"/>
      <c r="N209" s="220"/>
      <c r="O209" s="218"/>
      <c r="P209" s="221"/>
      <c r="Q209" s="212"/>
      <c r="R209" s="173"/>
      <c r="S209" s="213"/>
      <c r="T209" s="213"/>
      <c r="U209" s="214"/>
      <c r="V209" s="204"/>
      <c r="W209" s="173"/>
      <c r="X209" s="206"/>
      <c r="Y209" s="205"/>
    </row>
    <row r="210" spans="1:25" x14ac:dyDescent="0.2">
      <c r="A210" s="280"/>
      <c r="B210" s="369"/>
      <c r="C210" s="180">
        <f t="shared" si="4"/>
        <v>0</v>
      </c>
      <c r="D210" s="164"/>
      <c r="E210" s="173"/>
      <c r="F210" s="173"/>
      <c r="G210" s="166"/>
      <c r="H210" s="165"/>
      <c r="I210" s="219"/>
      <c r="J210" s="220"/>
      <c r="K210" s="218"/>
      <c r="L210" s="221"/>
      <c r="M210" s="219"/>
      <c r="N210" s="220"/>
      <c r="O210" s="218"/>
      <c r="P210" s="221"/>
      <c r="Q210" s="212"/>
      <c r="R210" s="173"/>
      <c r="S210" s="213"/>
      <c r="T210" s="213"/>
      <c r="U210" s="214"/>
      <c r="V210" s="204"/>
      <c r="W210" s="173"/>
      <c r="X210" s="206"/>
      <c r="Y210" s="205"/>
    </row>
    <row r="211" spans="1:25" x14ac:dyDescent="0.2">
      <c r="A211" s="280">
        <f>A207+1</f>
        <v>45098</v>
      </c>
      <c r="B211" s="369" t="str">
        <f>IF(WEEKDAY(A211)=1,"CN","T"&amp;WEEKDAY(A211))</f>
        <v>T4</v>
      </c>
      <c r="C211" s="180">
        <f t="shared" si="4"/>
        <v>82000</v>
      </c>
      <c r="D211" s="164"/>
      <c r="E211" s="173"/>
      <c r="F211" s="173"/>
      <c r="G211" s="166"/>
      <c r="H211" s="165"/>
      <c r="I211" s="219" t="s">
        <v>115</v>
      </c>
      <c r="J211" s="220" t="s">
        <v>202</v>
      </c>
      <c r="K211" s="218"/>
      <c r="L211" s="221">
        <v>41000</v>
      </c>
      <c r="M211" s="219" t="s">
        <v>115</v>
      </c>
      <c r="N211" s="220" t="s">
        <v>202</v>
      </c>
      <c r="O211" s="218"/>
      <c r="P211" s="221">
        <v>41000</v>
      </c>
      <c r="Q211" s="212"/>
      <c r="R211" s="173"/>
      <c r="S211" s="213"/>
      <c r="T211" s="213"/>
      <c r="U211" s="214"/>
      <c r="V211" s="204"/>
      <c r="W211" s="173"/>
      <c r="X211" s="206"/>
      <c r="Y211" s="205"/>
    </row>
    <row r="212" spans="1:25" x14ac:dyDescent="0.2">
      <c r="A212" s="280"/>
      <c r="B212" s="369"/>
      <c r="C212" s="180">
        <f t="shared" si="4"/>
        <v>0</v>
      </c>
      <c r="D212" s="164"/>
      <c r="E212" s="173"/>
      <c r="F212" s="173"/>
      <c r="G212" s="166"/>
      <c r="H212" s="165"/>
      <c r="I212" s="219"/>
      <c r="J212" s="220"/>
      <c r="K212" s="218"/>
      <c r="L212" s="221"/>
      <c r="M212" s="219"/>
      <c r="N212" s="220"/>
      <c r="O212" s="218"/>
      <c r="P212" s="221"/>
      <c r="Q212" s="212"/>
      <c r="R212" s="173"/>
      <c r="S212" s="213"/>
      <c r="T212" s="213"/>
      <c r="U212" s="214"/>
      <c r="V212" s="204"/>
      <c r="W212" s="173"/>
      <c r="X212" s="206"/>
      <c r="Y212" s="205"/>
    </row>
    <row r="213" spans="1:25" x14ac:dyDescent="0.2">
      <c r="A213" s="280"/>
      <c r="B213" s="369"/>
      <c r="C213" s="180">
        <f t="shared" si="4"/>
        <v>0</v>
      </c>
      <c r="D213" s="164"/>
      <c r="E213" s="173"/>
      <c r="F213" s="173"/>
      <c r="G213" s="166"/>
      <c r="H213" s="165"/>
      <c r="I213" s="219"/>
      <c r="J213" s="220"/>
      <c r="K213" s="218"/>
      <c r="L213" s="221"/>
      <c r="M213" s="219"/>
      <c r="N213" s="220"/>
      <c r="O213" s="218"/>
      <c r="P213" s="221"/>
      <c r="Q213" s="212"/>
      <c r="R213" s="173"/>
      <c r="S213" s="213"/>
      <c r="T213" s="213"/>
      <c r="U213" s="214"/>
      <c r="V213" s="204"/>
      <c r="W213" s="173"/>
      <c r="X213" s="206"/>
      <c r="Y213" s="205"/>
    </row>
    <row r="214" spans="1:25" x14ac:dyDescent="0.2">
      <c r="A214" s="280"/>
      <c r="B214" s="369"/>
      <c r="C214" s="180">
        <f t="shared" si="4"/>
        <v>0</v>
      </c>
      <c r="D214" s="164"/>
      <c r="E214" s="173"/>
      <c r="F214" s="173"/>
      <c r="G214" s="166"/>
      <c r="H214" s="165"/>
      <c r="I214" s="219"/>
      <c r="J214" s="220"/>
      <c r="K214" s="218"/>
      <c r="L214" s="221"/>
      <c r="M214" s="219"/>
      <c r="N214" s="220"/>
      <c r="O214" s="218"/>
      <c r="P214" s="221"/>
      <c r="Q214" s="212"/>
      <c r="R214" s="173"/>
      <c r="S214" s="213"/>
      <c r="T214" s="213"/>
      <c r="U214" s="214"/>
      <c r="V214" s="204"/>
      <c r="W214" s="173"/>
      <c r="X214" s="206"/>
      <c r="Y214" s="205"/>
    </row>
    <row r="215" spans="1:25" x14ac:dyDescent="0.2">
      <c r="A215" s="280">
        <f>A211+1</f>
        <v>45099</v>
      </c>
      <c r="B215" s="369" t="str">
        <f>IF(WEEKDAY(A215)=1,"CN","T"&amp;WEEKDAY(A215))</f>
        <v>T5</v>
      </c>
      <c r="C215" s="180">
        <f t="shared" si="4"/>
        <v>82000</v>
      </c>
      <c r="D215" s="164"/>
      <c r="E215" s="173"/>
      <c r="F215" s="173"/>
      <c r="G215" s="166"/>
      <c r="H215" s="165"/>
      <c r="I215" s="219" t="s">
        <v>115</v>
      </c>
      <c r="J215" s="220" t="s">
        <v>202</v>
      </c>
      <c r="K215" s="218"/>
      <c r="L215" s="221">
        <v>41000</v>
      </c>
      <c r="M215" s="219" t="s">
        <v>115</v>
      </c>
      <c r="N215" s="220" t="s">
        <v>202</v>
      </c>
      <c r="O215" s="218"/>
      <c r="P215" s="221">
        <v>41000</v>
      </c>
      <c r="Q215" s="212"/>
      <c r="R215" s="173"/>
      <c r="S215" s="213"/>
      <c r="T215" s="213"/>
      <c r="U215" s="214"/>
      <c r="V215" s="204"/>
      <c r="W215" s="173"/>
      <c r="X215" s="206"/>
      <c r="Y215" s="205"/>
    </row>
    <row r="216" spans="1:25" x14ac:dyDescent="0.2">
      <c r="A216" s="280"/>
      <c r="B216" s="369"/>
      <c r="C216" s="180">
        <f t="shared" si="4"/>
        <v>0</v>
      </c>
      <c r="D216" s="164"/>
      <c r="E216" s="173"/>
      <c r="F216" s="173"/>
      <c r="G216" s="166"/>
      <c r="H216" s="165"/>
      <c r="I216" s="219"/>
      <c r="J216" s="220"/>
      <c r="K216" s="218"/>
      <c r="L216" s="221"/>
      <c r="M216" s="219"/>
      <c r="N216" s="220"/>
      <c r="O216" s="218"/>
      <c r="P216" s="221"/>
      <c r="Q216" s="212"/>
      <c r="R216" s="173"/>
      <c r="S216" s="213"/>
      <c r="T216" s="213"/>
      <c r="U216" s="214"/>
      <c r="V216" s="204"/>
      <c r="W216" s="173"/>
      <c r="X216" s="206"/>
      <c r="Y216" s="205"/>
    </row>
    <row r="217" spans="1:25" x14ac:dyDescent="0.2">
      <c r="A217" s="280"/>
      <c r="B217" s="369"/>
      <c r="C217" s="180">
        <f t="shared" si="4"/>
        <v>0</v>
      </c>
      <c r="D217" s="164"/>
      <c r="E217" s="173"/>
      <c r="F217" s="173"/>
      <c r="G217" s="166"/>
      <c r="H217" s="165"/>
      <c r="I217" s="219"/>
      <c r="J217" s="220"/>
      <c r="K217" s="218"/>
      <c r="L217" s="221"/>
      <c r="M217" s="219"/>
      <c r="N217" s="220"/>
      <c r="O217" s="218"/>
      <c r="P217" s="221"/>
      <c r="Q217" s="212"/>
      <c r="R217" s="173"/>
      <c r="S217" s="213"/>
      <c r="T217" s="213"/>
      <c r="U217" s="214"/>
      <c r="V217" s="204"/>
      <c r="W217" s="173"/>
      <c r="X217" s="206"/>
      <c r="Y217" s="205"/>
    </row>
    <row r="218" spans="1:25" x14ac:dyDescent="0.2">
      <c r="A218" s="280"/>
      <c r="B218" s="369"/>
      <c r="C218" s="180">
        <f t="shared" si="4"/>
        <v>0</v>
      </c>
      <c r="D218" s="164"/>
      <c r="E218" s="173"/>
      <c r="F218" s="173"/>
      <c r="G218" s="166"/>
      <c r="H218" s="165"/>
      <c r="I218" s="219"/>
      <c r="J218" s="220"/>
      <c r="K218" s="218"/>
      <c r="L218" s="221"/>
      <c r="M218" s="219"/>
      <c r="N218" s="220"/>
      <c r="O218" s="218"/>
      <c r="P218" s="221"/>
      <c r="Q218" s="212"/>
      <c r="R218" s="173"/>
      <c r="S218" s="213"/>
      <c r="T218" s="213"/>
      <c r="U218" s="214"/>
      <c r="V218" s="204"/>
      <c r="W218" s="173"/>
      <c r="X218" s="206"/>
      <c r="Y218" s="205"/>
    </row>
    <row r="219" spans="1:25" x14ac:dyDescent="0.2">
      <c r="A219" s="280">
        <f>A215+1</f>
        <v>45100</v>
      </c>
      <c r="B219" s="369" t="str">
        <f>IF(WEEKDAY(A219)=1,"CN","T"&amp;WEEKDAY(A219))</f>
        <v>T6</v>
      </c>
      <c r="C219" s="180">
        <f t="shared" si="4"/>
        <v>82000</v>
      </c>
      <c r="D219" s="164"/>
      <c r="E219" s="173"/>
      <c r="F219" s="173"/>
      <c r="G219" s="166"/>
      <c r="H219" s="165"/>
      <c r="I219" s="219" t="s">
        <v>115</v>
      </c>
      <c r="J219" s="220" t="s">
        <v>202</v>
      </c>
      <c r="K219" s="218"/>
      <c r="L219" s="221">
        <v>41000</v>
      </c>
      <c r="M219" s="219" t="s">
        <v>115</v>
      </c>
      <c r="N219" s="220" t="s">
        <v>202</v>
      </c>
      <c r="O219" s="218"/>
      <c r="P219" s="221">
        <v>41000</v>
      </c>
      <c r="Q219" s="212"/>
      <c r="R219" s="173"/>
      <c r="S219" s="213"/>
      <c r="T219" s="213"/>
      <c r="U219" s="214"/>
      <c r="V219" s="204"/>
      <c r="W219" s="173"/>
      <c r="X219" s="206"/>
      <c r="Y219" s="205"/>
    </row>
    <row r="220" spans="1:25" x14ac:dyDescent="0.2">
      <c r="A220" s="280"/>
      <c r="B220" s="369"/>
      <c r="C220" s="180">
        <f t="shared" si="4"/>
        <v>0</v>
      </c>
      <c r="D220" s="164"/>
      <c r="E220" s="173"/>
      <c r="F220" s="173"/>
      <c r="G220" s="166"/>
      <c r="H220" s="165"/>
      <c r="I220" s="219"/>
      <c r="J220" s="220"/>
      <c r="K220" s="218"/>
      <c r="L220" s="221"/>
      <c r="M220" s="219"/>
      <c r="N220" s="220"/>
      <c r="O220" s="218"/>
      <c r="P220" s="221"/>
      <c r="Q220" s="212"/>
      <c r="R220" s="173"/>
      <c r="S220" s="213"/>
      <c r="T220" s="213"/>
      <c r="U220" s="214"/>
      <c r="V220" s="204"/>
      <c r="W220" s="173"/>
      <c r="X220" s="206"/>
      <c r="Y220" s="205"/>
    </row>
    <row r="221" spans="1:25" x14ac:dyDescent="0.2">
      <c r="A221" s="280"/>
      <c r="B221" s="369"/>
      <c r="C221" s="180">
        <f t="shared" si="4"/>
        <v>0</v>
      </c>
      <c r="D221" s="164"/>
      <c r="E221" s="173"/>
      <c r="F221" s="173"/>
      <c r="G221" s="166"/>
      <c r="H221" s="165"/>
      <c r="I221" s="219"/>
      <c r="J221" s="220"/>
      <c r="K221" s="218"/>
      <c r="L221" s="221"/>
      <c r="M221" s="219"/>
      <c r="N221" s="220"/>
      <c r="O221" s="218"/>
      <c r="P221" s="221"/>
      <c r="Q221" s="212"/>
      <c r="R221" s="173"/>
      <c r="S221" s="213"/>
      <c r="T221" s="213"/>
      <c r="U221" s="214"/>
      <c r="V221" s="204"/>
      <c r="W221" s="173"/>
      <c r="X221" s="206"/>
      <c r="Y221" s="205"/>
    </row>
    <row r="222" spans="1:25" x14ac:dyDescent="0.2">
      <c r="A222" s="280"/>
      <c r="B222" s="369"/>
      <c r="C222" s="180">
        <f t="shared" si="4"/>
        <v>0</v>
      </c>
      <c r="D222" s="164"/>
      <c r="E222" s="173"/>
      <c r="F222" s="173"/>
      <c r="G222" s="166"/>
      <c r="H222" s="165"/>
      <c r="I222" s="219"/>
      <c r="J222" s="220"/>
      <c r="K222" s="218"/>
      <c r="L222" s="221"/>
      <c r="M222" s="219"/>
      <c r="N222" s="220"/>
      <c r="O222" s="218"/>
      <c r="P222" s="221"/>
      <c r="Q222" s="212"/>
      <c r="R222" s="173"/>
      <c r="S222" s="213"/>
      <c r="T222" s="213"/>
      <c r="U222" s="214"/>
      <c r="V222" s="204"/>
      <c r="W222" s="173"/>
      <c r="X222" s="206"/>
      <c r="Y222" s="205"/>
    </row>
    <row r="223" spans="1:25" x14ac:dyDescent="0.2">
      <c r="A223" s="280">
        <f>A219+1</f>
        <v>45101</v>
      </c>
      <c r="B223" s="369" t="str">
        <f>IF(WEEKDAY(A223)=1,"CN","T"&amp;WEEKDAY(A223))</f>
        <v>T7</v>
      </c>
      <c r="C223" s="180">
        <f t="shared" si="4"/>
        <v>82000</v>
      </c>
      <c r="D223" s="164"/>
      <c r="E223" s="173"/>
      <c r="F223" s="173"/>
      <c r="G223" s="166"/>
      <c r="H223" s="165"/>
      <c r="I223" s="219" t="s">
        <v>115</v>
      </c>
      <c r="J223" s="220" t="s">
        <v>202</v>
      </c>
      <c r="K223" s="218"/>
      <c r="L223" s="221">
        <v>41000</v>
      </c>
      <c r="M223" s="219" t="s">
        <v>115</v>
      </c>
      <c r="N223" s="220" t="s">
        <v>202</v>
      </c>
      <c r="O223" s="218"/>
      <c r="P223" s="221">
        <v>41000</v>
      </c>
      <c r="Q223" s="212"/>
      <c r="R223" s="173"/>
      <c r="S223" s="213"/>
      <c r="T223" s="213"/>
      <c r="U223" s="214"/>
      <c r="V223" s="204"/>
      <c r="W223" s="173"/>
      <c r="X223" s="206"/>
      <c r="Y223" s="205"/>
    </row>
    <row r="224" spans="1:25" x14ac:dyDescent="0.2">
      <c r="A224" s="280"/>
      <c r="B224" s="369"/>
      <c r="C224" s="180">
        <f t="shared" si="4"/>
        <v>0</v>
      </c>
      <c r="D224" s="164"/>
      <c r="E224" s="173"/>
      <c r="F224" s="173"/>
      <c r="G224" s="166"/>
      <c r="H224" s="165"/>
      <c r="I224" s="219"/>
      <c r="J224" s="220"/>
      <c r="K224" s="218"/>
      <c r="L224" s="221"/>
      <c r="M224" s="219"/>
      <c r="N224" s="220"/>
      <c r="O224" s="218"/>
      <c r="P224" s="221"/>
      <c r="Q224" s="212"/>
      <c r="R224" s="173"/>
      <c r="S224" s="213"/>
      <c r="T224" s="213"/>
      <c r="U224" s="214"/>
      <c r="V224" s="204"/>
      <c r="W224" s="173"/>
      <c r="X224" s="206"/>
      <c r="Y224" s="205"/>
    </row>
    <row r="225" spans="1:25" x14ac:dyDescent="0.2">
      <c r="A225" s="280"/>
      <c r="B225" s="369"/>
      <c r="C225" s="180">
        <f t="shared" si="4"/>
        <v>0</v>
      </c>
      <c r="D225" s="164"/>
      <c r="E225" s="173"/>
      <c r="F225" s="173"/>
      <c r="G225" s="166"/>
      <c r="H225" s="165"/>
      <c r="I225" s="219"/>
      <c r="J225" s="220"/>
      <c r="K225" s="218"/>
      <c r="L225" s="221"/>
      <c r="M225" s="219"/>
      <c r="N225" s="220"/>
      <c r="O225" s="218"/>
      <c r="P225" s="221"/>
      <c r="Q225" s="212"/>
      <c r="R225" s="173"/>
      <c r="S225" s="213"/>
      <c r="T225" s="213"/>
      <c r="U225" s="214"/>
      <c r="V225" s="204"/>
      <c r="W225" s="173"/>
      <c r="X225" s="206"/>
      <c r="Y225" s="205"/>
    </row>
    <row r="226" spans="1:25" x14ac:dyDescent="0.2">
      <c r="A226" s="280"/>
      <c r="B226" s="369"/>
      <c r="C226" s="180">
        <f t="shared" si="4"/>
        <v>0</v>
      </c>
      <c r="D226" s="164"/>
      <c r="E226" s="173"/>
      <c r="F226" s="173"/>
      <c r="G226" s="166"/>
      <c r="H226" s="165"/>
      <c r="I226" s="219"/>
      <c r="J226" s="220"/>
      <c r="K226" s="218"/>
      <c r="L226" s="221"/>
      <c r="M226" s="219"/>
      <c r="N226" s="220"/>
      <c r="O226" s="218"/>
      <c r="P226" s="221"/>
      <c r="Q226" s="212"/>
      <c r="R226" s="173"/>
      <c r="S226" s="213"/>
      <c r="T226" s="213"/>
      <c r="U226" s="214"/>
      <c r="V226" s="204"/>
      <c r="W226" s="173"/>
      <c r="X226" s="206"/>
      <c r="Y226" s="205"/>
    </row>
    <row r="227" spans="1:25" x14ac:dyDescent="0.2">
      <c r="A227" s="280">
        <f>A223+1</f>
        <v>45102</v>
      </c>
      <c r="B227" s="369" t="str">
        <f>IF(WEEKDAY(A227)=1,"CN","T"&amp;WEEKDAY(A227))</f>
        <v>CN</v>
      </c>
      <c r="C227" s="180">
        <f t="shared" si="4"/>
        <v>82000</v>
      </c>
      <c r="D227" s="164"/>
      <c r="E227" s="173"/>
      <c r="F227" s="173"/>
      <c r="G227" s="166"/>
      <c r="H227" s="165"/>
      <c r="I227" s="219" t="s">
        <v>115</v>
      </c>
      <c r="J227" s="220" t="s">
        <v>202</v>
      </c>
      <c r="K227" s="218"/>
      <c r="L227" s="221">
        <v>41000</v>
      </c>
      <c r="M227" s="219" t="s">
        <v>115</v>
      </c>
      <c r="N227" s="220" t="s">
        <v>202</v>
      </c>
      <c r="O227" s="218"/>
      <c r="P227" s="221">
        <v>41000</v>
      </c>
      <c r="Q227" s="212"/>
      <c r="R227" s="173"/>
      <c r="S227" s="213"/>
      <c r="T227" s="213"/>
      <c r="U227" s="214"/>
      <c r="V227" s="204"/>
      <c r="W227" s="173"/>
      <c r="X227" s="206"/>
      <c r="Y227" s="205"/>
    </row>
    <row r="228" spans="1:25" x14ac:dyDescent="0.2">
      <c r="A228" s="280"/>
      <c r="B228" s="369"/>
      <c r="C228" s="180">
        <f t="shared" si="4"/>
        <v>0</v>
      </c>
      <c r="D228" s="164"/>
      <c r="E228" s="173"/>
      <c r="F228" s="173"/>
      <c r="G228" s="166"/>
      <c r="H228" s="165"/>
      <c r="I228" s="219"/>
      <c r="J228" s="220"/>
      <c r="K228" s="218"/>
      <c r="L228" s="221"/>
      <c r="M228" s="219"/>
      <c r="N228" s="220"/>
      <c r="O228" s="218"/>
      <c r="P228" s="221"/>
      <c r="Q228" s="212"/>
      <c r="R228" s="173"/>
      <c r="S228" s="213"/>
      <c r="T228" s="213"/>
      <c r="U228" s="214"/>
      <c r="V228" s="204"/>
      <c r="W228" s="173"/>
      <c r="X228" s="206"/>
      <c r="Y228" s="205"/>
    </row>
    <row r="229" spans="1:25" x14ac:dyDescent="0.2">
      <c r="A229" s="280"/>
      <c r="B229" s="369"/>
      <c r="C229" s="180">
        <f t="shared" si="4"/>
        <v>0</v>
      </c>
      <c r="D229" s="164"/>
      <c r="E229" s="173"/>
      <c r="F229" s="173"/>
      <c r="G229" s="166"/>
      <c r="H229" s="165"/>
      <c r="I229" s="219"/>
      <c r="J229" s="220"/>
      <c r="K229" s="218"/>
      <c r="L229" s="221"/>
      <c r="M229" s="219"/>
      <c r="N229" s="220"/>
      <c r="O229" s="218"/>
      <c r="P229" s="221"/>
      <c r="Q229" s="212"/>
      <c r="R229" s="173"/>
      <c r="S229" s="213"/>
      <c r="T229" s="213"/>
      <c r="U229" s="214"/>
      <c r="V229" s="204"/>
      <c r="W229" s="173"/>
      <c r="X229" s="206"/>
      <c r="Y229" s="205"/>
    </row>
    <row r="230" spans="1:25" x14ac:dyDescent="0.2">
      <c r="A230" s="280"/>
      <c r="B230" s="369"/>
      <c r="C230" s="180">
        <f t="shared" si="4"/>
        <v>0</v>
      </c>
      <c r="D230" s="164"/>
      <c r="E230" s="173"/>
      <c r="F230" s="173"/>
      <c r="G230" s="166"/>
      <c r="H230" s="165"/>
      <c r="I230" s="219"/>
      <c r="J230" s="220"/>
      <c r="K230" s="218"/>
      <c r="L230" s="221"/>
      <c r="M230" s="219"/>
      <c r="N230" s="220"/>
      <c r="O230" s="218"/>
      <c r="P230" s="221"/>
      <c r="Q230" s="212"/>
      <c r="R230" s="173"/>
      <c r="S230" s="213"/>
      <c r="T230" s="213"/>
      <c r="U230" s="214"/>
      <c r="V230" s="204"/>
      <c r="W230" s="173"/>
      <c r="X230" s="206"/>
      <c r="Y230" s="205"/>
    </row>
    <row r="231" spans="1:25" x14ac:dyDescent="0.2">
      <c r="A231" s="280">
        <f>A227+1</f>
        <v>45103</v>
      </c>
      <c r="B231" s="369" t="str">
        <f>IF(WEEKDAY(A231)=1,"CN","T"&amp;WEEKDAY(A231))</f>
        <v>T2</v>
      </c>
      <c r="C231" s="180">
        <f t="shared" si="4"/>
        <v>106000</v>
      </c>
      <c r="D231" s="278" t="s">
        <v>121</v>
      </c>
      <c r="E231" s="257"/>
      <c r="F231" s="257"/>
      <c r="G231" s="258"/>
      <c r="H231" s="259">
        <v>24000</v>
      </c>
      <c r="I231" s="219" t="s">
        <v>115</v>
      </c>
      <c r="J231" s="220" t="s">
        <v>202</v>
      </c>
      <c r="K231" s="218"/>
      <c r="L231" s="221">
        <v>41000</v>
      </c>
      <c r="M231" s="219" t="s">
        <v>115</v>
      </c>
      <c r="N231" s="220" t="s">
        <v>202</v>
      </c>
      <c r="O231" s="218"/>
      <c r="P231" s="221">
        <v>41000</v>
      </c>
      <c r="Q231" s="212"/>
      <c r="R231" s="173"/>
      <c r="S231" s="213"/>
      <c r="T231" s="213"/>
      <c r="U231" s="214"/>
      <c r="V231" s="204"/>
      <c r="W231" s="173"/>
      <c r="X231" s="206"/>
      <c r="Y231" s="205"/>
    </row>
    <row r="232" spans="1:25" x14ac:dyDescent="0.2">
      <c r="A232" s="280"/>
      <c r="B232" s="369"/>
      <c r="C232" s="180">
        <f t="shared" si="4"/>
        <v>14000</v>
      </c>
      <c r="D232" s="278" t="s">
        <v>104</v>
      </c>
      <c r="E232" s="257"/>
      <c r="F232" s="257"/>
      <c r="G232" s="258"/>
      <c r="H232" s="259">
        <v>14000</v>
      </c>
      <c r="I232" s="219"/>
      <c r="J232" s="220"/>
      <c r="K232" s="218"/>
      <c r="L232" s="221"/>
      <c r="M232" s="219"/>
      <c r="N232" s="220"/>
      <c r="O232" s="218"/>
      <c r="P232" s="221"/>
      <c r="Q232" s="212"/>
      <c r="R232" s="173"/>
      <c r="S232" s="213"/>
      <c r="T232" s="213"/>
      <c r="U232" s="214"/>
      <c r="V232" s="204"/>
      <c r="W232" s="173"/>
      <c r="X232" s="206"/>
      <c r="Y232" s="205"/>
    </row>
    <row r="233" spans="1:25" x14ac:dyDescent="0.2">
      <c r="A233" s="280"/>
      <c r="B233" s="369"/>
      <c r="C233" s="180">
        <f t="shared" si="4"/>
        <v>0</v>
      </c>
      <c r="D233" s="278"/>
      <c r="E233" s="257"/>
      <c r="F233" s="257"/>
      <c r="G233" s="258"/>
      <c r="H233" s="259"/>
      <c r="I233" s="219"/>
      <c r="J233" s="220"/>
      <c r="K233" s="218"/>
      <c r="L233" s="221"/>
      <c r="M233" s="219"/>
      <c r="N233" s="220"/>
      <c r="O233" s="218"/>
      <c r="P233" s="221"/>
      <c r="Q233" s="212"/>
      <c r="R233" s="173"/>
      <c r="S233" s="213"/>
      <c r="T233" s="213"/>
      <c r="U233" s="214"/>
      <c r="V233" s="204"/>
      <c r="W233" s="173"/>
      <c r="X233" s="206"/>
      <c r="Y233" s="205"/>
    </row>
    <row r="234" spans="1:25" x14ac:dyDescent="0.2">
      <c r="A234" s="280"/>
      <c r="B234" s="369"/>
      <c r="C234" s="180">
        <f t="shared" si="4"/>
        <v>0</v>
      </c>
      <c r="D234" s="278"/>
      <c r="E234" s="257"/>
      <c r="F234" s="257"/>
      <c r="G234" s="258"/>
      <c r="H234" s="259"/>
      <c r="I234" s="219"/>
      <c r="J234" s="220"/>
      <c r="K234" s="218"/>
      <c r="L234" s="221"/>
      <c r="M234" s="219"/>
      <c r="N234" s="220"/>
      <c r="O234" s="218"/>
      <c r="P234" s="221"/>
      <c r="Q234" s="212"/>
      <c r="R234" s="173"/>
      <c r="S234" s="213"/>
      <c r="T234" s="213"/>
      <c r="U234" s="214"/>
      <c r="V234" s="204"/>
      <c r="W234" s="173"/>
      <c r="X234" s="206"/>
      <c r="Y234" s="205"/>
    </row>
    <row r="235" spans="1:25" x14ac:dyDescent="0.2">
      <c r="A235" s="280">
        <f>A231+1</f>
        <v>45104</v>
      </c>
      <c r="B235" s="369" t="str">
        <f>IF(WEEKDAY(A235)=1,"CN","T"&amp;WEEKDAY(A235))</f>
        <v>T3</v>
      </c>
      <c r="C235" s="180">
        <f t="shared" si="4"/>
        <v>92000</v>
      </c>
      <c r="D235" s="278" t="s">
        <v>104</v>
      </c>
      <c r="E235" s="257"/>
      <c r="F235" s="257"/>
      <c r="G235" s="258"/>
      <c r="H235" s="259">
        <v>10000</v>
      </c>
      <c r="I235" s="219" t="s">
        <v>115</v>
      </c>
      <c r="J235" s="220" t="s">
        <v>202</v>
      </c>
      <c r="K235" s="218"/>
      <c r="L235" s="221">
        <v>41000</v>
      </c>
      <c r="M235" s="219" t="s">
        <v>115</v>
      </c>
      <c r="N235" s="220" t="s">
        <v>202</v>
      </c>
      <c r="O235" s="218"/>
      <c r="P235" s="221">
        <v>41000</v>
      </c>
      <c r="Q235" s="212"/>
      <c r="R235" s="173"/>
      <c r="S235" s="213"/>
      <c r="T235" s="213"/>
      <c r="U235" s="214"/>
      <c r="V235" s="204"/>
      <c r="W235" s="173"/>
      <c r="X235" s="206"/>
      <c r="Y235" s="205"/>
    </row>
    <row r="236" spans="1:25" x14ac:dyDescent="0.2">
      <c r="A236" s="280"/>
      <c r="B236" s="369"/>
      <c r="C236" s="180">
        <f t="shared" si="4"/>
        <v>0</v>
      </c>
      <c r="D236" s="164"/>
      <c r="E236" s="173"/>
      <c r="F236" s="173"/>
      <c r="G236" s="166"/>
      <c r="H236" s="165"/>
      <c r="I236" s="219"/>
      <c r="J236" s="220"/>
      <c r="K236" s="218"/>
      <c r="L236" s="221"/>
      <c r="M236" s="219"/>
      <c r="N236" s="220"/>
      <c r="O236" s="218"/>
      <c r="P236" s="221"/>
      <c r="Q236" s="212"/>
      <c r="R236" s="173"/>
      <c r="S236" s="213"/>
      <c r="T236" s="213"/>
      <c r="U236" s="214"/>
      <c r="V236" s="204"/>
      <c r="W236" s="173"/>
      <c r="X236" s="206"/>
      <c r="Y236" s="205"/>
    </row>
    <row r="237" spans="1:25" x14ac:dyDescent="0.2">
      <c r="A237" s="280"/>
      <c r="B237" s="369"/>
      <c r="C237" s="180">
        <f t="shared" si="4"/>
        <v>0</v>
      </c>
      <c r="D237" s="164"/>
      <c r="E237" s="173"/>
      <c r="F237" s="173"/>
      <c r="G237" s="166"/>
      <c r="H237" s="165"/>
      <c r="I237" s="219"/>
      <c r="J237" s="220"/>
      <c r="K237" s="218"/>
      <c r="L237" s="221"/>
      <c r="M237" s="219"/>
      <c r="N237" s="220"/>
      <c r="O237" s="218"/>
      <c r="P237" s="221"/>
      <c r="Q237" s="212"/>
      <c r="R237" s="173"/>
      <c r="S237" s="213"/>
      <c r="T237" s="213"/>
      <c r="U237" s="214"/>
      <c r="V237" s="204"/>
      <c r="W237" s="173"/>
      <c r="X237" s="206"/>
      <c r="Y237" s="205"/>
    </row>
    <row r="238" spans="1:25" x14ac:dyDescent="0.2">
      <c r="A238" s="280"/>
      <c r="B238" s="369"/>
      <c r="C238" s="180">
        <f t="shared" si="4"/>
        <v>0</v>
      </c>
      <c r="D238" s="164"/>
      <c r="E238" s="173"/>
      <c r="F238" s="173"/>
      <c r="G238" s="166"/>
      <c r="H238" s="165"/>
      <c r="I238" s="219"/>
      <c r="J238" s="220"/>
      <c r="K238" s="218"/>
      <c r="L238" s="221"/>
      <c r="M238" s="219"/>
      <c r="N238" s="220"/>
      <c r="O238" s="218"/>
      <c r="P238" s="221"/>
      <c r="Q238" s="212"/>
      <c r="R238" s="173"/>
      <c r="S238" s="213"/>
      <c r="T238" s="213"/>
      <c r="U238" s="214"/>
      <c r="V238" s="204"/>
      <c r="W238" s="173"/>
      <c r="X238" s="206"/>
      <c r="Y238" s="205"/>
    </row>
    <row r="239" spans="1:25" x14ac:dyDescent="0.2">
      <c r="A239" s="280">
        <f>A235+1</f>
        <v>45105</v>
      </c>
      <c r="B239" s="369" t="str">
        <f>IF(WEEKDAY(A239)=1,"CN","T"&amp;WEEKDAY(A239))</f>
        <v>T4</v>
      </c>
      <c r="C239" s="180">
        <f t="shared" ref="C239:C254" si="5">SUM(D239:U239)</f>
        <v>82000</v>
      </c>
      <c r="D239" s="164"/>
      <c r="E239" s="173"/>
      <c r="F239" s="173"/>
      <c r="G239" s="166"/>
      <c r="H239" s="165"/>
      <c r="I239" s="219" t="s">
        <v>115</v>
      </c>
      <c r="J239" s="220" t="s">
        <v>202</v>
      </c>
      <c r="K239" s="218"/>
      <c r="L239" s="221">
        <v>41000</v>
      </c>
      <c r="M239" s="219" t="s">
        <v>115</v>
      </c>
      <c r="N239" s="220" t="s">
        <v>202</v>
      </c>
      <c r="O239" s="218"/>
      <c r="P239" s="221">
        <v>41000</v>
      </c>
      <c r="Q239" s="212"/>
      <c r="R239" s="173"/>
      <c r="S239" s="213"/>
      <c r="T239" s="213"/>
      <c r="U239" s="214"/>
      <c r="V239" s="204"/>
      <c r="W239" s="173"/>
      <c r="X239" s="206"/>
      <c r="Y239" s="205"/>
    </row>
    <row r="240" spans="1:25" x14ac:dyDescent="0.2">
      <c r="A240" s="280"/>
      <c r="B240" s="369"/>
      <c r="C240" s="180">
        <f t="shared" si="5"/>
        <v>0</v>
      </c>
      <c r="D240" s="164"/>
      <c r="E240" s="173"/>
      <c r="F240" s="173"/>
      <c r="G240" s="166"/>
      <c r="H240" s="165"/>
      <c r="I240" s="219"/>
      <c r="J240" s="220"/>
      <c r="K240" s="218"/>
      <c r="L240" s="221"/>
      <c r="M240" s="219"/>
      <c r="N240" s="220"/>
      <c r="O240" s="218"/>
      <c r="P240" s="221"/>
      <c r="Q240" s="212"/>
      <c r="R240" s="173"/>
      <c r="S240" s="213"/>
      <c r="T240" s="213"/>
      <c r="U240" s="214"/>
      <c r="V240" s="204"/>
      <c r="W240" s="173"/>
      <c r="X240" s="206"/>
      <c r="Y240" s="205"/>
    </row>
    <row r="241" spans="1:25" x14ac:dyDescent="0.2">
      <c r="A241" s="280"/>
      <c r="B241" s="369"/>
      <c r="C241" s="180">
        <f t="shared" si="5"/>
        <v>0</v>
      </c>
      <c r="D241" s="164"/>
      <c r="E241" s="173"/>
      <c r="F241" s="173"/>
      <c r="G241" s="166"/>
      <c r="H241" s="165"/>
      <c r="I241" s="219"/>
      <c r="J241" s="220"/>
      <c r="K241" s="218"/>
      <c r="L241" s="221"/>
      <c r="M241" s="219"/>
      <c r="N241" s="220"/>
      <c r="O241" s="218"/>
      <c r="P241" s="221"/>
      <c r="Q241" s="212"/>
      <c r="R241" s="173"/>
      <c r="S241" s="213"/>
      <c r="T241" s="213"/>
      <c r="U241" s="214"/>
      <c r="V241" s="204"/>
      <c r="W241" s="173"/>
      <c r="X241" s="206"/>
      <c r="Y241" s="205"/>
    </row>
    <row r="242" spans="1:25" x14ac:dyDescent="0.2">
      <c r="A242" s="280"/>
      <c r="B242" s="369"/>
      <c r="C242" s="180">
        <f t="shared" si="5"/>
        <v>0</v>
      </c>
      <c r="D242" s="164"/>
      <c r="E242" s="173"/>
      <c r="F242" s="173"/>
      <c r="G242" s="166"/>
      <c r="H242" s="165"/>
      <c r="I242" s="219"/>
      <c r="J242" s="220"/>
      <c r="K242" s="218"/>
      <c r="L242" s="221"/>
      <c r="M242" s="219"/>
      <c r="N242" s="220"/>
      <c r="O242" s="218"/>
      <c r="P242" s="221"/>
      <c r="Q242" s="212"/>
      <c r="R242" s="173"/>
      <c r="S242" s="213"/>
      <c r="T242" s="213"/>
      <c r="U242" s="214"/>
      <c r="V242" s="204"/>
      <c r="W242" s="173"/>
      <c r="X242" s="206"/>
      <c r="Y242" s="205"/>
    </row>
    <row r="243" spans="1:25" x14ac:dyDescent="0.2">
      <c r="A243" s="280">
        <f>A239+1</f>
        <v>45106</v>
      </c>
      <c r="B243" s="369" t="str">
        <f>IF(WEEKDAY(A243)=1,"CN","T"&amp;WEEKDAY(A243))</f>
        <v>T5</v>
      </c>
      <c r="C243" s="180">
        <f t="shared" si="5"/>
        <v>82000</v>
      </c>
      <c r="D243" s="164"/>
      <c r="E243" s="173"/>
      <c r="F243" s="173"/>
      <c r="G243" s="166"/>
      <c r="H243" s="165"/>
      <c r="I243" s="219" t="s">
        <v>115</v>
      </c>
      <c r="J243" s="220" t="s">
        <v>202</v>
      </c>
      <c r="K243" s="218"/>
      <c r="L243" s="221">
        <v>41000</v>
      </c>
      <c r="M243" s="219" t="s">
        <v>115</v>
      </c>
      <c r="N243" s="220" t="s">
        <v>202</v>
      </c>
      <c r="O243" s="218"/>
      <c r="P243" s="221">
        <v>41000</v>
      </c>
      <c r="Q243" s="212"/>
      <c r="R243" s="173"/>
      <c r="S243" s="213"/>
      <c r="T243" s="213"/>
      <c r="U243" s="214"/>
      <c r="V243" s="204"/>
      <c r="W243" s="173"/>
      <c r="X243" s="206"/>
      <c r="Y243" s="205"/>
    </row>
    <row r="244" spans="1:25" x14ac:dyDescent="0.2">
      <c r="A244" s="280"/>
      <c r="B244" s="369"/>
      <c r="C244" s="180">
        <f t="shared" si="5"/>
        <v>0</v>
      </c>
      <c r="D244" s="164"/>
      <c r="E244" s="173"/>
      <c r="F244" s="173"/>
      <c r="G244" s="166"/>
      <c r="H244" s="165"/>
      <c r="I244" s="219"/>
      <c r="J244" s="220"/>
      <c r="K244" s="218"/>
      <c r="L244" s="221"/>
      <c r="M244" s="219"/>
      <c r="N244" s="220"/>
      <c r="O244" s="218"/>
      <c r="P244" s="221"/>
      <c r="Q244" s="212"/>
      <c r="R244" s="173"/>
      <c r="S244" s="213"/>
      <c r="T244" s="213"/>
      <c r="U244" s="214"/>
      <c r="V244" s="204"/>
      <c r="W244" s="173"/>
      <c r="X244" s="206"/>
      <c r="Y244" s="205"/>
    </row>
    <row r="245" spans="1:25" x14ac:dyDescent="0.2">
      <c r="A245" s="280"/>
      <c r="B245" s="369"/>
      <c r="C245" s="180">
        <f t="shared" si="5"/>
        <v>0</v>
      </c>
      <c r="D245" s="164"/>
      <c r="E245" s="173"/>
      <c r="F245" s="173"/>
      <c r="G245" s="166"/>
      <c r="H245" s="165"/>
      <c r="I245" s="219"/>
      <c r="J245" s="220"/>
      <c r="K245" s="218"/>
      <c r="L245" s="221"/>
      <c r="M245" s="219"/>
      <c r="N245" s="220"/>
      <c r="O245" s="218"/>
      <c r="P245" s="221"/>
      <c r="Q245" s="212"/>
      <c r="R245" s="173"/>
      <c r="S245" s="213"/>
      <c r="T245" s="213"/>
      <c r="U245" s="214"/>
      <c r="V245" s="204"/>
      <c r="W245" s="173"/>
      <c r="X245" s="206"/>
      <c r="Y245" s="205"/>
    </row>
    <row r="246" spans="1:25" x14ac:dyDescent="0.2">
      <c r="A246" s="280"/>
      <c r="B246" s="369"/>
      <c r="C246" s="180">
        <f t="shared" si="5"/>
        <v>0</v>
      </c>
      <c r="D246" s="164"/>
      <c r="E246" s="173"/>
      <c r="F246" s="173"/>
      <c r="G246" s="166"/>
      <c r="H246" s="165"/>
      <c r="I246" s="219"/>
      <c r="J246" s="220"/>
      <c r="K246" s="218"/>
      <c r="L246" s="221"/>
      <c r="M246" s="219"/>
      <c r="N246" s="220"/>
      <c r="O246" s="218"/>
      <c r="P246" s="221"/>
      <c r="Q246" s="212"/>
      <c r="R246" s="173"/>
      <c r="S246" s="213"/>
      <c r="T246" s="213"/>
      <c r="U246" s="214"/>
      <c r="V246" s="204"/>
      <c r="W246" s="173"/>
      <c r="X246" s="206"/>
      <c r="Y246" s="205"/>
    </row>
    <row r="247" spans="1:25" x14ac:dyDescent="0.2">
      <c r="A247" s="280">
        <f>A243+1</f>
        <v>45107</v>
      </c>
      <c r="B247" s="369" t="str">
        <f>IF(WEEKDAY(A247)=1,"CN","T"&amp;WEEKDAY(A247))</f>
        <v>T6</v>
      </c>
      <c r="C247" s="180">
        <f t="shared" si="5"/>
        <v>81000</v>
      </c>
      <c r="D247" s="164"/>
      <c r="E247" s="173"/>
      <c r="F247" s="173"/>
      <c r="G247" s="166"/>
      <c r="H247" s="165"/>
      <c r="I247" s="219" t="s">
        <v>115</v>
      </c>
      <c r="J247" s="220"/>
      <c r="K247" s="218"/>
      <c r="L247" s="221">
        <v>41000</v>
      </c>
      <c r="M247" s="219" t="s">
        <v>115</v>
      </c>
      <c r="N247" s="220" t="s">
        <v>202</v>
      </c>
      <c r="O247" s="218"/>
      <c r="P247" s="221">
        <v>40000</v>
      </c>
      <c r="Q247" s="212"/>
      <c r="R247" s="173"/>
      <c r="S247" s="213"/>
      <c r="T247" s="213"/>
      <c r="U247" s="214"/>
      <c r="V247" s="204"/>
      <c r="W247" s="173"/>
      <c r="X247" s="206"/>
      <c r="Y247" s="205"/>
    </row>
    <row r="248" spans="1:25" x14ac:dyDescent="0.2">
      <c r="A248" s="280"/>
      <c r="B248" s="369"/>
      <c r="C248" s="180">
        <f t="shared" si="5"/>
        <v>0</v>
      </c>
      <c r="D248" s="164"/>
      <c r="E248" s="173"/>
      <c r="F248" s="173"/>
      <c r="G248" s="166"/>
      <c r="H248" s="165"/>
      <c r="I248" s="194"/>
      <c r="J248" s="173"/>
      <c r="K248" s="196"/>
      <c r="L248" s="195"/>
      <c r="M248" s="179"/>
      <c r="N248" s="173"/>
      <c r="O248" s="159"/>
      <c r="P248" s="155"/>
      <c r="Q248" s="212"/>
      <c r="R248" s="173"/>
      <c r="S248" s="213"/>
      <c r="T248" s="213"/>
      <c r="U248" s="214"/>
      <c r="V248" s="204"/>
      <c r="W248" s="173"/>
      <c r="X248" s="206"/>
      <c r="Y248" s="205"/>
    </row>
    <row r="249" spans="1:25" x14ac:dyDescent="0.2">
      <c r="A249" s="280"/>
      <c r="B249" s="369"/>
      <c r="C249" s="180">
        <f t="shared" si="5"/>
        <v>0</v>
      </c>
      <c r="D249" s="164"/>
      <c r="E249" s="173"/>
      <c r="F249" s="173"/>
      <c r="G249" s="166"/>
      <c r="H249" s="165"/>
      <c r="I249" s="194"/>
      <c r="J249" s="173"/>
      <c r="K249" s="196"/>
      <c r="L249" s="195"/>
      <c r="M249" s="179"/>
      <c r="N249" s="173"/>
      <c r="O249" s="159"/>
      <c r="P249" s="155"/>
      <c r="Q249" s="212"/>
      <c r="R249" s="173"/>
      <c r="S249" s="213"/>
      <c r="T249" s="213"/>
      <c r="U249" s="214"/>
      <c r="V249" s="204"/>
      <c r="W249" s="173"/>
      <c r="X249" s="206"/>
      <c r="Y249" s="205"/>
    </row>
    <row r="250" spans="1:25" x14ac:dyDescent="0.2">
      <c r="A250" s="280"/>
      <c r="B250" s="369"/>
      <c r="C250" s="180">
        <f t="shared" si="5"/>
        <v>0</v>
      </c>
      <c r="D250" s="164"/>
      <c r="E250" s="173"/>
      <c r="F250" s="173"/>
      <c r="G250" s="166"/>
      <c r="H250" s="165"/>
      <c r="I250" s="194"/>
      <c r="J250" s="173"/>
      <c r="K250" s="196"/>
      <c r="L250" s="195"/>
      <c r="M250" s="179"/>
      <c r="N250" s="173"/>
      <c r="O250" s="159"/>
      <c r="P250" s="155"/>
      <c r="Q250" s="212"/>
      <c r="R250" s="173"/>
      <c r="S250" s="213"/>
      <c r="T250" s="213"/>
      <c r="U250" s="214"/>
      <c r="V250" s="204"/>
      <c r="W250" s="173"/>
      <c r="X250" s="206"/>
      <c r="Y250" s="205"/>
    </row>
    <row r="251" spans="1:25" x14ac:dyDescent="0.2">
      <c r="A251" s="280">
        <f>A247+1</f>
        <v>45108</v>
      </c>
      <c r="B251" s="369" t="str">
        <f>IF(WEEKDAY(A251)=1,"CN","T"&amp;WEEKDAY(A251))</f>
        <v>T7</v>
      </c>
      <c r="C251" s="180">
        <f t="shared" si="5"/>
        <v>8000</v>
      </c>
      <c r="D251" s="164"/>
      <c r="E251" s="173"/>
      <c r="F251" s="173"/>
      <c r="G251" s="166"/>
      <c r="H251" s="165"/>
      <c r="I251" s="194" t="s">
        <v>115</v>
      </c>
      <c r="J251" s="173" t="s">
        <v>202</v>
      </c>
      <c r="K251" s="196"/>
      <c r="L251" s="195">
        <v>8000</v>
      </c>
      <c r="M251" s="179"/>
      <c r="N251" s="173"/>
      <c r="O251" s="159"/>
      <c r="P251" s="155"/>
      <c r="Q251" s="212"/>
      <c r="R251" s="173"/>
      <c r="S251" s="213"/>
      <c r="T251" s="213"/>
      <c r="U251" s="214"/>
      <c r="V251" s="204"/>
      <c r="W251" s="173"/>
      <c r="X251" s="206"/>
      <c r="Y251" s="205"/>
    </row>
    <row r="252" spans="1:25" x14ac:dyDescent="0.2">
      <c r="A252" s="280"/>
      <c r="B252" s="369"/>
      <c r="C252" s="180">
        <f t="shared" si="5"/>
        <v>0</v>
      </c>
      <c r="D252" s="164"/>
      <c r="E252" s="173"/>
      <c r="F252" s="173"/>
      <c r="G252" s="166"/>
      <c r="H252" s="165"/>
      <c r="I252" s="194"/>
      <c r="J252" s="173"/>
      <c r="K252" s="196"/>
      <c r="L252" s="195"/>
      <c r="M252" s="179"/>
      <c r="N252" s="173"/>
      <c r="O252" s="159"/>
      <c r="P252" s="155"/>
      <c r="Q252" s="212"/>
      <c r="R252" s="173"/>
      <c r="S252" s="213"/>
      <c r="T252" s="213"/>
      <c r="U252" s="214"/>
      <c r="V252" s="204"/>
      <c r="W252" s="173"/>
      <c r="X252" s="206"/>
      <c r="Y252" s="205"/>
    </row>
    <row r="253" spans="1:25" x14ac:dyDescent="0.2">
      <c r="A253" s="280"/>
      <c r="B253" s="369"/>
      <c r="C253" s="180">
        <f t="shared" si="5"/>
        <v>0</v>
      </c>
      <c r="D253" s="164"/>
      <c r="E253" s="173"/>
      <c r="F253" s="173"/>
      <c r="G253" s="166"/>
      <c r="H253" s="165"/>
      <c r="I253" s="194"/>
      <c r="J253" s="173"/>
      <c r="K253" s="196"/>
      <c r="L253" s="195"/>
      <c r="M253" s="179"/>
      <c r="N253" s="173"/>
      <c r="O253" s="159"/>
      <c r="P253" s="155"/>
      <c r="Q253" s="212"/>
      <c r="R253" s="173"/>
      <c r="S253" s="213"/>
      <c r="T253" s="213"/>
      <c r="U253" s="214"/>
      <c r="V253" s="204"/>
      <c r="W253" s="173"/>
      <c r="X253" s="206"/>
      <c r="Y253" s="205"/>
    </row>
    <row r="254" spans="1:25" x14ac:dyDescent="0.2">
      <c r="A254" s="280"/>
      <c r="B254" s="369"/>
      <c r="C254" s="180">
        <f t="shared" si="5"/>
        <v>0</v>
      </c>
      <c r="D254" s="164"/>
      <c r="E254" s="173"/>
      <c r="F254" s="173"/>
      <c r="G254" s="166"/>
      <c r="H254" s="165"/>
      <c r="I254" s="194"/>
      <c r="J254" s="173"/>
      <c r="K254" s="196"/>
      <c r="L254" s="195"/>
      <c r="M254" s="179"/>
      <c r="N254" s="173"/>
      <c r="O254" s="159"/>
      <c r="P254" s="155"/>
      <c r="Q254" s="212"/>
      <c r="R254" s="173"/>
      <c r="S254" s="213"/>
      <c r="T254" s="213"/>
      <c r="U254" s="214"/>
      <c r="V254" s="204"/>
      <c r="W254" s="173"/>
      <c r="X254" s="206"/>
      <c r="Y254" s="205"/>
    </row>
    <row r="255" spans="1:25" x14ac:dyDescent="0.2">
      <c r="A255" s="280">
        <f>A251+1</f>
        <v>45109</v>
      </c>
      <c r="B255" s="369" t="str">
        <f>IF(WEEKDAY(A255)=1,"CN","T"&amp;WEEKDAY(A255))</f>
        <v>CN</v>
      </c>
      <c r="C255" s="180">
        <f t="shared" ref="C255:C266" si="6">SUM(D255:U255)</f>
        <v>0</v>
      </c>
      <c r="D255" s="164"/>
      <c r="E255" s="173"/>
      <c r="F255" s="173"/>
      <c r="G255" s="166"/>
      <c r="H255" s="165"/>
      <c r="I255" s="194"/>
      <c r="J255" s="173"/>
      <c r="K255" s="196"/>
      <c r="L255" s="195"/>
      <c r="M255" s="179"/>
      <c r="N255" s="173"/>
      <c r="O255" s="159"/>
      <c r="P255" s="155"/>
      <c r="Q255" s="212"/>
      <c r="R255" s="173"/>
      <c r="S255" s="213"/>
      <c r="T255" s="213"/>
      <c r="U255" s="214"/>
      <c r="V255" s="204"/>
      <c r="W255" s="173"/>
      <c r="X255" s="206"/>
      <c r="Y255" s="205"/>
    </row>
    <row r="256" spans="1:25" x14ac:dyDescent="0.2">
      <c r="A256" s="280"/>
      <c r="B256" s="369"/>
      <c r="C256" s="180">
        <f t="shared" si="6"/>
        <v>0</v>
      </c>
      <c r="D256" s="164"/>
      <c r="E256" s="173"/>
      <c r="F256" s="173"/>
      <c r="G256" s="166"/>
      <c r="H256" s="165"/>
      <c r="I256" s="194"/>
      <c r="J256" s="173"/>
      <c r="K256" s="196"/>
      <c r="L256" s="195"/>
      <c r="M256" s="179"/>
      <c r="N256" s="173"/>
      <c r="O256" s="159"/>
      <c r="P256" s="155"/>
      <c r="Q256" s="212"/>
      <c r="R256" s="173"/>
      <c r="S256" s="213"/>
      <c r="T256" s="213"/>
      <c r="U256" s="214"/>
      <c r="V256" s="204"/>
      <c r="W256" s="173"/>
      <c r="X256" s="206"/>
      <c r="Y256" s="205"/>
    </row>
    <row r="257" spans="1:25" x14ac:dyDescent="0.2">
      <c r="A257" s="280"/>
      <c r="B257" s="369"/>
      <c r="C257" s="180">
        <f t="shared" si="6"/>
        <v>0</v>
      </c>
      <c r="D257" s="164"/>
      <c r="E257" s="173"/>
      <c r="F257" s="173"/>
      <c r="G257" s="166"/>
      <c r="H257" s="165"/>
      <c r="I257" s="194"/>
      <c r="J257" s="173"/>
      <c r="K257" s="196"/>
      <c r="L257" s="195"/>
      <c r="M257" s="179"/>
      <c r="N257" s="173"/>
      <c r="O257" s="159"/>
      <c r="P257" s="155"/>
      <c r="Q257" s="212"/>
      <c r="R257" s="173"/>
      <c r="S257" s="213"/>
      <c r="T257" s="213"/>
      <c r="U257" s="214"/>
      <c r="V257" s="204"/>
      <c r="W257" s="173"/>
      <c r="X257" s="206"/>
      <c r="Y257" s="205"/>
    </row>
    <row r="258" spans="1:25" x14ac:dyDescent="0.2">
      <c r="A258" s="280"/>
      <c r="B258" s="369"/>
      <c r="C258" s="180">
        <f t="shared" si="6"/>
        <v>0</v>
      </c>
      <c r="D258" s="164"/>
      <c r="E258" s="173"/>
      <c r="F258" s="173"/>
      <c r="G258" s="166"/>
      <c r="H258" s="165"/>
      <c r="I258" s="194"/>
      <c r="J258" s="173"/>
      <c r="K258" s="196"/>
      <c r="L258" s="195"/>
      <c r="M258" s="179"/>
      <c r="N258" s="173"/>
      <c r="O258" s="159"/>
      <c r="P258" s="155"/>
      <c r="Q258" s="212"/>
      <c r="R258" s="173"/>
      <c r="S258" s="213"/>
      <c r="T258" s="213"/>
      <c r="U258" s="214"/>
      <c r="V258" s="204"/>
      <c r="W258" s="173"/>
      <c r="X258" s="206"/>
      <c r="Y258" s="205"/>
    </row>
    <row r="259" spans="1:25" x14ac:dyDescent="0.2">
      <c r="A259" s="280">
        <f>A255+1</f>
        <v>45110</v>
      </c>
      <c r="B259" s="369" t="str">
        <f>IF(WEEKDAY(A259)=1,"CN","T"&amp;WEEKDAY(A259))</f>
        <v>T2</v>
      </c>
      <c r="C259" s="180">
        <f t="shared" si="6"/>
        <v>0</v>
      </c>
      <c r="D259" s="164"/>
      <c r="E259" s="173"/>
      <c r="F259" s="173"/>
      <c r="G259" s="166"/>
      <c r="H259" s="165"/>
      <c r="I259" s="194"/>
      <c r="J259" s="173"/>
      <c r="K259" s="196"/>
      <c r="L259" s="195"/>
      <c r="M259" s="179"/>
      <c r="N259" s="173"/>
      <c r="O259" s="159"/>
      <c r="P259" s="155"/>
      <c r="Q259" s="212"/>
      <c r="R259" s="173"/>
      <c r="S259" s="213"/>
      <c r="T259" s="213"/>
      <c r="U259" s="214"/>
      <c r="V259" s="204"/>
      <c r="W259" s="173"/>
      <c r="X259" s="206"/>
      <c r="Y259" s="205"/>
    </row>
    <row r="260" spans="1:25" x14ac:dyDescent="0.2">
      <c r="A260" s="280"/>
      <c r="B260" s="369"/>
      <c r="C260" s="180">
        <f t="shared" si="6"/>
        <v>0</v>
      </c>
      <c r="D260" s="164"/>
      <c r="E260" s="173"/>
      <c r="F260" s="173"/>
      <c r="G260" s="166"/>
      <c r="H260" s="165"/>
      <c r="I260" s="194"/>
      <c r="J260" s="173"/>
      <c r="K260" s="196"/>
      <c r="L260" s="195"/>
      <c r="M260" s="179"/>
      <c r="N260" s="173"/>
      <c r="O260" s="159"/>
      <c r="P260" s="155"/>
      <c r="Q260" s="212"/>
      <c r="R260" s="173"/>
      <c r="S260" s="213"/>
      <c r="T260" s="213"/>
      <c r="U260" s="214"/>
      <c r="V260" s="204"/>
      <c r="W260" s="173"/>
      <c r="X260" s="206"/>
      <c r="Y260" s="205"/>
    </row>
    <row r="261" spans="1:25" x14ac:dyDescent="0.2">
      <c r="A261" s="280"/>
      <c r="B261" s="369"/>
      <c r="C261" s="180">
        <f t="shared" si="6"/>
        <v>0</v>
      </c>
      <c r="D261" s="164"/>
      <c r="E261" s="173"/>
      <c r="F261" s="173"/>
      <c r="G261" s="166"/>
      <c r="H261" s="165"/>
      <c r="I261" s="194"/>
      <c r="J261" s="173"/>
      <c r="K261" s="196"/>
      <c r="L261" s="195"/>
      <c r="M261" s="179"/>
      <c r="N261" s="173"/>
      <c r="O261" s="159"/>
      <c r="P261" s="155"/>
      <c r="Q261" s="212"/>
      <c r="R261" s="173"/>
      <c r="S261" s="213"/>
      <c r="T261" s="213"/>
      <c r="U261" s="214"/>
      <c r="V261" s="204"/>
      <c r="W261" s="173"/>
      <c r="X261" s="206"/>
      <c r="Y261" s="205"/>
    </row>
    <row r="262" spans="1:25" x14ac:dyDescent="0.2">
      <c r="A262" s="280"/>
      <c r="B262" s="369"/>
      <c r="C262" s="180">
        <f t="shared" si="6"/>
        <v>0</v>
      </c>
      <c r="D262" s="164"/>
      <c r="E262" s="173"/>
      <c r="F262" s="173"/>
      <c r="G262" s="166"/>
      <c r="H262" s="165"/>
      <c r="I262" s="194"/>
      <c r="J262" s="173"/>
      <c r="K262" s="196"/>
      <c r="L262" s="195"/>
      <c r="M262" s="179"/>
      <c r="N262" s="173"/>
      <c r="O262" s="159"/>
      <c r="P262" s="155"/>
      <c r="Q262" s="212"/>
      <c r="R262" s="173"/>
      <c r="S262" s="213"/>
      <c r="T262" s="213"/>
      <c r="U262" s="214"/>
      <c r="V262" s="204"/>
      <c r="W262" s="173"/>
      <c r="X262" s="206"/>
      <c r="Y262" s="205"/>
    </row>
    <row r="263" spans="1:25" x14ac:dyDescent="0.2">
      <c r="A263" s="280">
        <f>A259+1</f>
        <v>45111</v>
      </c>
      <c r="B263" s="369" t="str">
        <f>IF(WEEKDAY(A263)=1,"CN","T"&amp;WEEKDAY(A263))</f>
        <v>T3</v>
      </c>
      <c r="C263" s="180">
        <f t="shared" si="6"/>
        <v>0</v>
      </c>
      <c r="D263" s="164"/>
      <c r="E263" s="173"/>
      <c r="F263" s="173"/>
      <c r="G263" s="166"/>
      <c r="H263" s="165"/>
      <c r="I263" s="194"/>
      <c r="J263" s="173"/>
      <c r="K263" s="196"/>
      <c r="L263" s="195"/>
      <c r="M263" s="179"/>
      <c r="N263" s="173"/>
      <c r="O263" s="159"/>
      <c r="P263" s="155"/>
      <c r="Q263" s="212"/>
      <c r="R263" s="173"/>
      <c r="S263" s="213"/>
      <c r="T263" s="213"/>
      <c r="U263" s="214"/>
      <c r="V263" s="204"/>
      <c r="W263" s="173"/>
      <c r="X263" s="206"/>
      <c r="Y263" s="205"/>
    </row>
    <row r="264" spans="1:25" x14ac:dyDescent="0.2">
      <c r="A264" s="280"/>
      <c r="B264" s="369"/>
      <c r="C264" s="180">
        <f t="shared" si="6"/>
        <v>0</v>
      </c>
      <c r="D264" s="164"/>
      <c r="E264" s="173"/>
      <c r="F264" s="173"/>
      <c r="G264" s="166"/>
      <c r="H264" s="165"/>
      <c r="I264" s="194"/>
      <c r="J264" s="173"/>
      <c r="K264" s="196"/>
      <c r="L264" s="195"/>
      <c r="M264" s="179"/>
      <c r="N264" s="173"/>
      <c r="O264" s="159"/>
      <c r="P264" s="155"/>
      <c r="Q264" s="212"/>
      <c r="R264" s="173"/>
      <c r="S264" s="213"/>
      <c r="T264" s="213"/>
      <c r="U264" s="214"/>
      <c r="V264" s="204"/>
      <c r="W264" s="173"/>
      <c r="X264" s="206"/>
      <c r="Y264" s="205"/>
    </row>
    <row r="265" spans="1:25" x14ac:dyDescent="0.2">
      <c r="A265" s="280"/>
      <c r="B265" s="369"/>
      <c r="C265" s="180">
        <f t="shared" si="6"/>
        <v>0</v>
      </c>
      <c r="D265" s="164"/>
      <c r="E265" s="173"/>
      <c r="F265" s="173"/>
      <c r="G265" s="166"/>
      <c r="H265" s="165"/>
      <c r="I265" s="194"/>
      <c r="J265" s="173"/>
      <c r="K265" s="196"/>
      <c r="L265" s="195"/>
      <c r="M265" s="179"/>
      <c r="N265" s="173"/>
      <c r="O265" s="159"/>
      <c r="P265" s="155"/>
      <c r="Q265" s="212"/>
      <c r="R265" s="173"/>
      <c r="S265" s="213"/>
      <c r="T265" s="213"/>
      <c r="U265" s="214"/>
      <c r="V265" s="204"/>
      <c r="W265" s="173"/>
      <c r="X265" s="206"/>
      <c r="Y265" s="205"/>
    </row>
    <row r="266" spans="1:25" x14ac:dyDescent="0.2">
      <c r="A266" s="280"/>
      <c r="B266" s="369"/>
      <c r="C266" s="180">
        <f t="shared" si="6"/>
        <v>0</v>
      </c>
      <c r="D266" s="164"/>
      <c r="E266" s="173"/>
      <c r="F266" s="173"/>
      <c r="G266" s="166"/>
      <c r="H266" s="165"/>
      <c r="I266" s="194"/>
      <c r="J266" s="173"/>
      <c r="K266" s="196"/>
      <c r="L266" s="195"/>
      <c r="M266" s="179"/>
      <c r="N266" s="173"/>
      <c r="O266" s="159"/>
      <c r="P266" s="155"/>
      <c r="Q266" s="212"/>
      <c r="R266" s="173"/>
      <c r="S266" s="213"/>
      <c r="T266" s="213"/>
      <c r="U266" s="214"/>
      <c r="V266" s="204"/>
      <c r="W266" s="173"/>
      <c r="X266" s="206"/>
      <c r="Y266" s="205"/>
    </row>
    <row r="267" spans="1:25" x14ac:dyDescent="0.2">
      <c r="A267" s="280"/>
      <c r="B267" s="280"/>
      <c r="C267" s="251"/>
      <c r="D267" s="281"/>
      <c r="E267" s="251"/>
      <c r="F267" s="251"/>
      <c r="G267" s="282"/>
      <c r="H267" s="253"/>
      <c r="I267" s="250"/>
      <c r="J267" s="251"/>
      <c r="K267" s="252"/>
      <c r="L267" s="253"/>
      <c r="M267" s="250"/>
      <c r="N267" s="251"/>
      <c r="O267" s="252"/>
      <c r="P267" s="253"/>
      <c r="Q267" s="250"/>
      <c r="R267" s="251"/>
      <c r="S267" s="283"/>
      <c r="T267" s="283"/>
      <c r="U267" s="253"/>
      <c r="V267" s="250"/>
      <c r="W267" s="251"/>
      <c r="X267" s="283"/>
      <c r="Y267" s="253"/>
    </row>
    <row r="268" spans="1:25" x14ac:dyDescent="0.2">
      <c r="A268" s="280"/>
      <c r="B268" s="280"/>
      <c r="C268" s="251"/>
      <c r="D268" s="281"/>
      <c r="E268" s="251"/>
      <c r="F268" s="251"/>
      <c r="G268" s="282"/>
      <c r="H268" s="253"/>
      <c r="I268" s="250"/>
      <c r="J268" s="251"/>
      <c r="K268" s="252"/>
      <c r="L268" s="253"/>
      <c r="M268" s="250"/>
      <c r="N268" s="251"/>
      <c r="O268" s="252"/>
      <c r="P268" s="253"/>
      <c r="Q268" s="250"/>
      <c r="R268" s="251"/>
      <c r="S268" s="283"/>
      <c r="T268" s="283"/>
      <c r="U268" s="253"/>
      <c r="V268" s="250"/>
      <c r="W268" s="251"/>
      <c r="X268" s="283"/>
      <c r="Y268" s="253"/>
    </row>
    <row r="269" spans="1:25" x14ac:dyDescent="0.2">
      <c r="A269" s="280"/>
      <c r="B269" s="280"/>
      <c r="C269" s="251"/>
      <c r="D269" s="281"/>
      <c r="E269" s="251"/>
      <c r="F269" s="251"/>
      <c r="G269" s="282"/>
      <c r="H269" s="253"/>
      <c r="I269" s="250"/>
      <c r="J269" s="251"/>
      <c r="K269" s="252"/>
      <c r="L269" s="253"/>
      <c r="M269" s="250"/>
      <c r="N269" s="251"/>
      <c r="O269" s="252"/>
      <c r="P269" s="253"/>
      <c r="Q269" s="250"/>
      <c r="R269" s="251"/>
      <c r="S269" s="283"/>
      <c r="T269" s="283"/>
      <c r="U269" s="253"/>
      <c r="V269" s="250"/>
      <c r="W269" s="251"/>
      <c r="X269" s="283"/>
      <c r="Y269" s="253"/>
    </row>
    <row r="270" spans="1:25" x14ac:dyDescent="0.2">
      <c r="A270" s="280"/>
      <c r="B270" s="280"/>
      <c r="C270" s="251"/>
      <c r="D270" s="281"/>
      <c r="E270" s="251"/>
      <c r="F270" s="251"/>
      <c r="G270" s="282"/>
      <c r="H270" s="253"/>
      <c r="I270" s="250"/>
      <c r="J270" s="251"/>
      <c r="K270" s="252"/>
      <c r="L270" s="253"/>
      <c r="M270" s="250"/>
      <c r="N270" s="251"/>
      <c r="O270" s="252"/>
      <c r="P270" s="253"/>
      <c r="Q270" s="250"/>
      <c r="R270" s="251"/>
      <c r="S270" s="283"/>
      <c r="T270" s="283"/>
      <c r="U270" s="253"/>
      <c r="V270" s="250"/>
      <c r="W270" s="251"/>
      <c r="X270" s="283"/>
      <c r="Y270" s="253"/>
    </row>
    <row r="271" spans="1:25" x14ac:dyDescent="0.2">
      <c r="A271" s="280"/>
      <c r="B271" s="280"/>
      <c r="C271" s="251"/>
      <c r="D271" s="281"/>
      <c r="E271" s="251"/>
      <c r="F271" s="251"/>
      <c r="G271" s="282"/>
      <c r="H271" s="253"/>
      <c r="I271" s="250"/>
      <c r="J271" s="251"/>
      <c r="K271" s="252"/>
      <c r="L271" s="253"/>
      <c r="M271" s="250"/>
      <c r="N271" s="251"/>
      <c r="O271" s="252"/>
      <c r="P271" s="253"/>
      <c r="Q271" s="250"/>
      <c r="R271" s="251"/>
      <c r="S271" s="283"/>
      <c r="T271" s="283"/>
      <c r="U271" s="253"/>
      <c r="V271" s="250"/>
      <c r="W271" s="251"/>
      <c r="X271" s="283"/>
      <c r="Y271" s="253"/>
    </row>
    <row r="272" spans="1:25" x14ac:dyDescent="0.2">
      <c r="A272" s="280"/>
      <c r="B272" s="280"/>
      <c r="C272" s="251"/>
      <c r="D272" s="281"/>
      <c r="E272" s="251"/>
      <c r="F272" s="251"/>
      <c r="G272" s="282"/>
      <c r="H272" s="253"/>
      <c r="I272" s="250"/>
      <c r="J272" s="251"/>
      <c r="K272" s="252"/>
      <c r="L272" s="253"/>
      <c r="M272" s="250"/>
      <c r="N272" s="251"/>
      <c r="O272" s="252"/>
      <c r="P272" s="253"/>
      <c r="Q272" s="250"/>
      <c r="R272" s="251"/>
      <c r="S272" s="283"/>
      <c r="T272" s="283"/>
      <c r="U272" s="253"/>
      <c r="V272" s="250"/>
      <c r="W272" s="251"/>
      <c r="X272" s="283"/>
      <c r="Y272" s="253"/>
    </row>
    <row r="273" spans="1:25" x14ac:dyDescent="0.2">
      <c r="A273" s="280"/>
      <c r="B273" s="280"/>
      <c r="C273" s="251"/>
      <c r="D273" s="281"/>
      <c r="E273" s="251"/>
      <c r="F273" s="251"/>
      <c r="G273" s="282"/>
      <c r="H273" s="253"/>
      <c r="I273" s="250"/>
      <c r="J273" s="251"/>
      <c r="K273" s="252"/>
      <c r="L273" s="253"/>
      <c r="M273" s="250"/>
      <c r="N273" s="251"/>
      <c r="O273" s="252"/>
      <c r="P273" s="253"/>
      <c r="Q273" s="250"/>
      <c r="R273" s="251"/>
      <c r="S273" s="283"/>
      <c r="T273" s="283"/>
      <c r="U273" s="253"/>
      <c r="V273" s="250"/>
      <c r="W273" s="251"/>
      <c r="X273" s="283"/>
      <c r="Y273" s="253"/>
    </row>
    <row r="274" spans="1:25" x14ac:dyDescent="0.2">
      <c r="A274" s="280"/>
      <c r="B274" s="280"/>
      <c r="C274" s="251"/>
      <c r="D274" s="281"/>
      <c r="E274" s="251"/>
      <c r="F274" s="251"/>
      <c r="G274" s="282"/>
      <c r="H274" s="253"/>
      <c r="I274" s="250"/>
      <c r="J274" s="251"/>
      <c r="K274" s="252"/>
      <c r="L274" s="253"/>
      <c r="M274" s="250"/>
      <c r="N274" s="251"/>
      <c r="O274" s="252"/>
      <c r="P274" s="253"/>
      <c r="Q274" s="250"/>
      <c r="R274" s="251"/>
      <c r="S274" s="283"/>
      <c r="T274" s="283"/>
      <c r="U274" s="253"/>
      <c r="V274" s="250"/>
      <c r="W274" s="251"/>
      <c r="X274" s="283"/>
      <c r="Y274" s="253"/>
    </row>
    <row r="275" spans="1:25" x14ac:dyDescent="0.2">
      <c r="A275" s="280"/>
      <c r="B275" s="280"/>
      <c r="C275" s="251"/>
      <c r="D275" s="281"/>
      <c r="E275" s="251"/>
      <c r="F275" s="251"/>
      <c r="G275" s="282"/>
      <c r="H275" s="253"/>
      <c r="I275" s="250"/>
      <c r="J275" s="251"/>
      <c r="K275" s="252"/>
      <c r="L275" s="253"/>
      <c r="M275" s="250"/>
      <c r="N275" s="251"/>
      <c r="O275" s="252"/>
      <c r="P275" s="253"/>
      <c r="Q275" s="250"/>
      <c r="R275" s="251"/>
      <c r="S275" s="283"/>
      <c r="T275" s="283"/>
      <c r="U275" s="253"/>
      <c r="V275" s="250"/>
      <c r="W275" s="251"/>
      <c r="X275" s="283"/>
      <c r="Y275" s="253"/>
    </row>
    <row r="276" spans="1:25" x14ac:dyDescent="0.2">
      <c r="A276" s="280"/>
      <c r="B276" s="280"/>
      <c r="C276" s="251"/>
      <c r="D276" s="281"/>
      <c r="E276" s="251"/>
      <c r="F276" s="251"/>
      <c r="G276" s="282"/>
      <c r="H276" s="253"/>
      <c r="I276" s="250"/>
      <c r="J276" s="251"/>
      <c r="K276" s="252"/>
      <c r="L276" s="253"/>
      <c r="M276" s="250"/>
      <c r="N276" s="251"/>
      <c r="O276" s="252"/>
      <c r="P276" s="253"/>
      <c r="Q276" s="250"/>
      <c r="R276" s="251"/>
      <c r="S276" s="283"/>
      <c r="T276" s="283"/>
      <c r="U276" s="253"/>
      <c r="V276" s="250"/>
      <c r="W276" s="251"/>
      <c r="X276" s="283"/>
      <c r="Y276" s="253"/>
    </row>
    <row r="277" spans="1:25" x14ac:dyDescent="0.2">
      <c r="A277" s="280"/>
      <c r="B277" s="280"/>
      <c r="C277" s="251"/>
      <c r="D277" s="281"/>
      <c r="E277" s="251"/>
      <c r="F277" s="251"/>
      <c r="G277" s="282"/>
      <c r="H277" s="253"/>
      <c r="I277" s="250"/>
      <c r="J277" s="251"/>
      <c r="K277" s="252"/>
      <c r="L277" s="253"/>
      <c r="M277" s="250"/>
      <c r="N277" s="251"/>
      <c r="O277" s="252"/>
      <c r="P277" s="253"/>
      <c r="Q277" s="250"/>
      <c r="R277" s="251"/>
      <c r="S277" s="283"/>
      <c r="T277" s="283"/>
      <c r="U277" s="253"/>
      <c r="V277" s="250"/>
      <c r="W277" s="251"/>
      <c r="X277" s="283"/>
      <c r="Y277" s="253"/>
    </row>
    <row r="278" spans="1:25" x14ac:dyDescent="0.2">
      <c r="A278" s="280"/>
      <c r="B278" s="280"/>
      <c r="C278" s="251"/>
      <c r="D278" s="281"/>
      <c r="E278" s="251"/>
      <c r="F278" s="251"/>
      <c r="G278" s="282"/>
      <c r="H278" s="253"/>
      <c r="I278" s="250"/>
      <c r="J278" s="251"/>
      <c r="K278" s="252"/>
      <c r="L278" s="253"/>
      <c r="M278" s="250"/>
      <c r="N278" s="251"/>
      <c r="O278" s="252"/>
      <c r="P278" s="253"/>
      <c r="Q278" s="250"/>
      <c r="R278" s="251"/>
      <c r="S278" s="283"/>
      <c r="T278" s="283"/>
      <c r="U278" s="253"/>
      <c r="V278" s="250"/>
      <c r="W278" s="251"/>
      <c r="X278" s="283"/>
      <c r="Y278" s="253"/>
    </row>
    <row r="279" spans="1:25" x14ac:dyDescent="0.2">
      <c r="A279" s="280"/>
      <c r="B279" s="280"/>
      <c r="C279" s="251"/>
      <c r="D279" s="281"/>
      <c r="E279" s="251"/>
      <c r="F279" s="251"/>
      <c r="G279" s="282"/>
      <c r="H279" s="253"/>
      <c r="I279" s="250"/>
      <c r="J279" s="251"/>
      <c r="K279" s="252"/>
      <c r="L279" s="253"/>
      <c r="M279" s="250"/>
      <c r="N279" s="251"/>
      <c r="O279" s="252"/>
      <c r="P279" s="253"/>
      <c r="Q279" s="250"/>
      <c r="R279" s="251"/>
      <c r="S279" s="283"/>
      <c r="T279" s="283"/>
      <c r="U279" s="253"/>
      <c r="V279" s="250"/>
      <c r="W279" s="251"/>
      <c r="X279" s="283"/>
      <c r="Y279" s="253"/>
    </row>
    <row r="280" spans="1:25" x14ac:dyDescent="0.2">
      <c r="A280" s="280"/>
      <c r="B280" s="280"/>
      <c r="C280" s="251"/>
      <c r="D280" s="281"/>
      <c r="E280" s="251"/>
      <c r="F280" s="251"/>
      <c r="G280" s="282"/>
      <c r="H280" s="253"/>
      <c r="I280" s="250"/>
      <c r="J280" s="251"/>
      <c r="K280" s="252"/>
      <c r="L280" s="253"/>
      <c r="M280" s="250"/>
      <c r="N280" s="251"/>
      <c r="O280" s="252"/>
      <c r="P280" s="253"/>
      <c r="Q280" s="250"/>
      <c r="R280" s="251"/>
      <c r="S280" s="283"/>
      <c r="T280" s="283"/>
      <c r="U280" s="253"/>
      <c r="V280" s="250"/>
      <c r="W280" s="251"/>
      <c r="X280" s="283"/>
      <c r="Y280" s="253"/>
    </row>
    <row r="281" spans="1:25" x14ac:dyDescent="0.2">
      <c r="A281" s="280"/>
      <c r="B281" s="280"/>
      <c r="C281" s="251"/>
      <c r="D281" s="281"/>
      <c r="E281" s="251"/>
      <c r="F281" s="251"/>
      <c r="G281" s="282"/>
      <c r="H281" s="253"/>
      <c r="I281" s="250"/>
      <c r="J281" s="251"/>
      <c r="K281" s="252"/>
      <c r="L281" s="253"/>
      <c r="M281" s="250"/>
      <c r="N281" s="251"/>
      <c r="O281" s="252"/>
      <c r="P281" s="253"/>
      <c r="Q281" s="250"/>
      <c r="R281" s="251"/>
      <c r="S281" s="283"/>
      <c r="T281" s="283"/>
      <c r="U281" s="253"/>
      <c r="V281" s="250"/>
      <c r="W281" s="251"/>
      <c r="X281" s="283"/>
      <c r="Y281" s="253"/>
    </row>
    <row r="282" spans="1:25" x14ac:dyDescent="0.2">
      <c r="A282" s="280"/>
      <c r="B282" s="280"/>
      <c r="C282" s="251"/>
      <c r="D282" s="281"/>
      <c r="E282" s="251"/>
      <c r="F282" s="251"/>
      <c r="G282" s="282"/>
      <c r="H282" s="253"/>
      <c r="I282" s="250"/>
      <c r="J282" s="251"/>
      <c r="K282" s="252"/>
      <c r="L282" s="253"/>
      <c r="M282" s="250"/>
      <c r="N282" s="251"/>
      <c r="O282" s="252"/>
      <c r="P282" s="253"/>
      <c r="Q282" s="250"/>
      <c r="R282" s="251"/>
      <c r="S282" s="283"/>
      <c r="T282" s="283"/>
      <c r="U282" s="253"/>
      <c r="V282" s="250"/>
      <c r="W282" s="251"/>
      <c r="X282" s="283"/>
      <c r="Y282" s="253"/>
    </row>
    <row r="283" spans="1:25" x14ac:dyDescent="0.2">
      <c r="A283" s="280"/>
      <c r="B283" s="280"/>
      <c r="C283" s="251"/>
      <c r="D283" s="281"/>
      <c r="E283" s="251"/>
      <c r="F283" s="251"/>
      <c r="G283" s="282"/>
      <c r="H283" s="253"/>
      <c r="I283" s="250"/>
      <c r="J283" s="251"/>
      <c r="K283" s="252"/>
      <c r="L283" s="253"/>
      <c r="M283" s="250"/>
      <c r="N283" s="251"/>
      <c r="O283" s="252"/>
      <c r="P283" s="253"/>
      <c r="Q283" s="250"/>
      <c r="R283" s="251"/>
      <c r="S283" s="283"/>
      <c r="T283" s="283"/>
      <c r="U283" s="253"/>
      <c r="V283" s="250"/>
      <c r="W283" s="251"/>
      <c r="X283" s="283"/>
      <c r="Y283" s="253"/>
    </row>
    <row r="284" spans="1:25" x14ac:dyDescent="0.2">
      <c r="A284" s="280"/>
      <c r="B284" s="280"/>
      <c r="C284" s="251"/>
      <c r="D284" s="281"/>
      <c r="E284" s="251"/>
      <c r="F284" s="251"/>
      <c r="G284" s="282"/>
      <c r="H284" s="253"/>
      <c r="I284" s="250"/>
      <c r="J284" s="251"/>
      <c r="K284" s="252"/>
      <c r="L284" s="253"/>
      <c r="M284" s="250"/>
      <c r="N284" s="251"/>
      <c r="O284" s="252"/>
      <c r="P284" s="253"/>
      <c r="Q284" s="250"/>
      <c r="R284" s="251"/>
      <c r="S284" s="283"/>
      <c r="T284" s="283"/>
      <c r="U284" s="253"/>
      <c r="V284" s="250"/>
      <c r="W284" s="251"/>
      <c r="X284" s="283"/>
      <c r="Y284" s="253"/>
    </row>
    <row r="285" spans="1:25" x14ac:dyDescent="0.2">
      <c r="A285" s="280"/>
      <c r="B285" s="280"/>
      <c r="C285" s="251"/>
      <c r="D285" s="281"/>
      <c r="E285" s="251"/>
      <c r="F285" s="251"/>
      <c r="G285" s="282"/>
      <c r="H285" s="253"/>
      <c r="I285" s="250"/>
      <c r="J285" s="251"/>
      <c r="K285" s="252"/>
      <c r="L285" s="253"/>
      <c r="M285" s="250"/>
      <c r="N285" s="251"/>
      <c r="O285" s="252"/>
      <c r="P285" s="253"/>
      <c r="Q285" s="250"/>
      <c r="R285" s="251"/>
      <c r="S285" s="283"/>
      <c r="T285" s="283"/>
      <c r="U285" s="253"/>
      <c r="V285" s="250"/>
      <c r="W285" s="251"/>
      <c r="X285" s="283"/>
      <c r="Y285" s="253"/>
    </row>
    <row r="286" spans="1:25" x14ac:dyDescent="0.2">
      <c r="A286" s="280"/>
      <c r="B286" s="280"/>
      <c r="C286" s="251"/>
      <c r="D286" s="281"/>
      <c r="E286" s="251"/>
      <c r="F286" s="251"/>
      <c r="G286" s="282"/>
      <c r="H286" s="253"/>
      <c r="I286" s="250"/>
      <c r="J286" s="251"/>
      <c r="K286" s="252"/>
      <c r="L286" s="253"/>
      <c r="M286" s="250"/>
      <c r="N286" s="251"/>
      <c r="O286" s="252"/>
      <c r="P286" s="253"/>
      <c r="Q286" s="250"/>
      <c r="R286" s="251"/>
      <c r="S286" s="283"/>
      <c r="T286" s="283"/>
      <c r="U286" s="253"/>
      <c r="V286" s="250"/>
      <c r="W286" s="251"/>
      <c r="X286" s="283"/>
      <c r="Y286" s="253"/>
    </row>
    <row r="287" spans="1:25" x14ac:dyDescent="0.2">
      <c r="A287" s="280"/>
      <c r="B287" s="280"/>
      <c r="C287" s="251"/>
      <c r="D287" s="281"/>
      <c r="E287" s="251"/>
      <c r="F287" s="251"/>
      <c r="G287" s="282"/>
      <c r="H287" s="253"/>
      <c r="I287" s="250"/>
      <c r="J287" s="251"/>
      <c r="K287" s="252"/>
      <c r="L287" s="253"/>
      <c r="M287" s="250"/>
      <c r="N287" s="251"/>
      <c r="O287" s="252"/>
      <c r="P287" s="253"/>
      <c r="Q287" s="250"/>
      <c r="R287" s="251"/>
      <c r="S287" s="283"/>
      <c r="T287" s="283"/>
      <c r="U287" s="253"/>
      <c r="V287" s="250"/>
      <c r="W287" s="251"/>
      <c r="X287" s="283"/>
      <c r="Y287" s="253"/>
    </row>
    <row r="288" spans="1:25" x14ac:dyDescent="0.2">
      <c r="A288" s="280"/>
      <c r="B288" s="280"/>
      <c r="C288" s="251"/>
      <c r="D288" s="281"/>
      <c r="E288" s="251"/>
      <c r="F288" s="251"/>
      <c r="G288" s="282"/>
      <c r="H288" s="253"/>
      <c r="I288" s="250"/>
      <c r="J288" s="251"/>
      <c r="K288" s="252"/>
      <c r="L288" s="253"/>
      <c r="M288" s="250"/>
      <c r="N288" s="251"/>
      <c r="O288" s="252"/>
      <c r="P288" s="253"/>
      <c r="Q288" s="250"/>
      <c r="R288" s="251"/>
      <c r="S288" s="283"/>
      <c r="T288" s="283"/>
      <c r="U288" s="253"/>
      <c r="V288" s="250"/>
      <c r="W288" s="251"/>
      <c r="X288" s="283"/>
      <c r="Y288" s="253"/>
    </row>
    <row r="289" spans="1:25" x14ac:dyDescent="0.2">
      <c r="A289" s="280"/>
      <c r="B289" s="280"/>
      <c r="C289" s="251"/>
      <c r="D289" s="281"/>
      <c r="E289" s="251"/>
      <c r="F289" s="251"/>
      <c r="G289" s="282"/>
      <c r="H289" s="253"/>
      <c r="I289" s="250"/>
      <c r="J289" s="251"/>
      <c r="K289" s="252"/>
      <c r="L289" s="253"/>
      <c r="M289" s="250"/>
      <c r="N289" s="251"/>
      <c r="O289" s="252"/>
      <c r="P289" s="253"/>
      <c r="Q289" s="250"/>
      <c r="R289" s="251"/>
      <c r="S289" s="283"/>
      <c r="T289" s="283"/>
      <c r="U289" s="253"/>
      <c r="V289" s="250"/>
      <c r="W289" s="251"/>
      <c r="X289" s="283"/>
      <c r="Y289" s="253"/>
    </row>
    <row r="290" spans="1:25" x14ac:dyDescent="0.2">
      <c r="A290" s="280"/>
      <c r="B290" s="280"/>
      <c r="C290" s="251"/>
      <c r="D290" s="281"/>
      <c r="E290" s="251"/>
      <c r="F290" s="251"/>
      <c r="G290" s="282"/>
      <c r="H290" s="253"/>
      <c r="I290" s="250"/>
      <c r="J290" s="251"/>
      <c r="K290" s="252"/>
      <c r="L290" s="253"/>
      <c r="M290" s="250"/>
      <c r="N290" s="251"/>
      <c r="O290" s="252"/>
      <c r="P290" s="253"/>
      <c r="Q290" s="250"/>
      <c r="R290" s="251"/>
      <c r="S290" s="283"/>
      <c r="T290" s="283"/>
      <c r="U290" s="253"/>
      <c r="V290" s="250"/>
      <c r="W290" s="251"/>
      <c r="X290" s="283"/>
      <c r="Y290" s="253"/>
    </row>
    <row r="291" spans="1:25" x14ac:dyDescent="0.2">
      <c r="A291" s="280"/>
      <c r="B291" s="280"/>
      <c r="C291" s="251"/>
      <c r="D291" s="281"/>
      <c r="E291" s="251"/>
      <c r="F291" s="251"/>
      <c r="G291" s="282"/>
      <c r="H291" s="253"/>
      <c r="I291" s="250"/>
      <c r="J291" s="251"/>
      <c r="K291" s="252"/>
      <c r="L291" s="253"/>
      <c r="M291" s="250"/>
      <c r="N291" s="251"/>
      <c r="O291" s="252"/>
      <c r="P291" s="253"/>
      <c r="Q291" s="250"/>
      <c r="R291" s="251"/>
      <c r="S291" s="283"/>
      <c r="T291" s="283"/>
      <c r="U291" s="253"/>
      <c r="V291" s="250"/>
      <c r="W291" s="251"/>
      <c r="X291" s="283"/>
      <c r="Y291" s="253"/>
    </row>
    <row r="292" spans="1:25" x14ac:dyDescent="0.2">
      <c r="A292" s="280"/>
      <c r="B292" s="280"/>
      <c r="C292" s="251"/>
      <c r="D292" s="281"/>
      <c r="E292" s="251"/>
      <c r="F292" s="251"/>
      <c r="G292" s="282"/>
      <c r="H292" s="253"/>
      <c r="I292" s="250"/>
      <c r="J292" s="251"/>
      <c r="K292" s="252"/>
      <c r="L292" s="253"/>
      <c r="M292" s="250"/>
      <c r="N292" s="251"/>
      <c r="O292" s="252"/>
      <c r="P292" s="253"/>
      <c r="Q292" s="250"/>
      <c r="R292" s="251"/>
      <c r="S292" s="283"/>
      <c r="T292" s="283"/>
      <c r="U292" s="253"/>
      <c r="V292" s="250"/>
      <c r="W292" s="251"/>
      <c r="X292" s="283"/>
      <c r="Y292" s="253"/>
    </row>
    <row r="293" spans="1:25" x14ac:dyDescent="0.2">
      <c r="A293" s="280"/>
      <c r="B293" s="280"/>
      <c r="C293" s="251"/>
      <c r="D293" s="281"/>
      <c r="E293" s="251"/>
      <c r="F293" s="251"/>
      <c r="G293" s="282"/>
      <c r="H293" s="253"/>
      <c r="I293" s="250"/>
      <c r="J293" s="251"/>
      <c r="K293" s="252"/>
      <c r="L293" s="253"/>
      <c r="M293" s="250"/>
      <c r="N293" s="251"/>
      <c r="O293" s="252"/>
      <c r="P293" s="253"/>
      <c r="Q293" s="250"/>
      <c r="R293" s="251"/>
      <c r="S293" s="283"/>
      <c r="T293" s="283"/>
      <c r="U293" s="253"/>
      <c r="V293" s="250"/>
      <c r="W293" s="251"/>
      <c r="X293" s="283"/>
      <c r="Y293" s="253"/>
    </row>
    <row r="294" spans="1:25" x14ac:dyDescent="0.2">
      <c r="A294" s="280"/>
      <c r="B294" s="280"/>
      <c r="C294" s="251"/>
      <c r="D294" s="281"/>
      <c r="E294" s="251"/>
      <c r="F294" s="251"/>
      <c r="G294" s="282"/>
      <c r="H294" s="253"/>
      <c r="I294" s="250"/>
      <c r="J294" s="251"/>
      <c r="K294" s="252"/>
      <c r="L294" s="253"/>
      <c r="M294" s="250"/>
      <c r="N294" s="251"/>
      <c r="O294" s="252"/>
      <c r="P294" s="253"/>
      <c r="Q294" s="250"/>
      <c r="R294" s="251"/>
      <c r="S294" s="283"/>
      <c r="T294" s="283"/>
      <c r="U294" s="253"/>
      <c r="V294" s="250"/>
      <c r="W294" s="251"/>
      <c r="X294" s="283"/>
      <c r="Y294" s="253"/>
    </row>
    <row r="295" spans="1:25" x14ac:dyDescent="0.2">
      <c r="A295" s="280"/>
      <c r="B295" s="280"/>
      <c r="C295" s="251"/>
      <c r="D295" s="281"/>
      <c r="E295" s="251"/>
      <c r="F295" s="251"/>
      <c r="G295" s="282"/>
      <c r="H295" s="253"/>
      <c r="I295" s="250"/>
      <c r="J295" s="251"/>
      <c r="K295" s="252"/>
      <c r="L295" s="253"/>
      <c r="M295" s="250"/>
      <c r="N295" s="251"/>
      <c r="O295" s="252"/>
      <c r="P295" s="253"/>
      <c r="Q295" s="250"/>
      <c r="R295" s="251"/>
      <c r="S295" s="283"/>
      <c r="T295" s="283"/>
      <c r="U295" s="253"/>
      <c r="V295" s="250"/>
      <c r="W295" s="251"/>
      <c r="X295" s="283"/>
      <c r="Y295" s="253"/>
    </row>
    <row r="296" spans="1:25" x14ac:dyDescent="0.2">
      <c r="A296" s="280"/>
      <c r="B296" s="280"/>
      <c r="C296" s="251"/>
      <c r="D296" s="281"/>
      <c r="E296" s="251"/>
      <c r="F296" s="251"/>
      <c r="G296" s="282"/>
      <c r="H296" s="253"/>
      <c r="I296" s="250"/>
      <c r="J296" s="251"/>
      <c r="K296" s="252"/>
      <c r="L296" s="253"/>
      <c r="M296" s="250"/>
      <c r="N296" s="251"/>
      <c r="O296" s="252"/>
      <c r="P296" s="253"/>
      <c r="Q296" s="250"/>
      <c r="R296" s="251"/>
      <c r="S296" s="283"/>
      <c r="T296" s="283"/>
      <c r="U296" s="253"/>
      <c r="V296" s="250"/>
      <c r="W296" s="251"/>
      <c r="X296" s="283"/>
      <c r="Y296" s="253"/>
    </row>
    <row r="297" spans="1:25" x14ac:dyDescent="0.2">
      <c r="A297" s="280"/>
      <c r="B297" s="280"/>
      <c r="C297" s="251"/>
      <c r="D297" s="281"/>
      <c r="E297" s="251"/>
      <c r="F297" s="251"/>
      <c r="G297" s="282"/>
      <c r="H297" s="253"/>
      <c r="I297" s="250"/>
      <c r="J297" s="251"/>
      <c r="K297" s="252"/>
      <c r="L297" s="253"/>
      <c r="M297" s="250"/>
      <c r="N297" s="251"/>
      <c r="O297" s="252"/>
      <c r="P297" s="253"/>
      <c r="Q297" s="250"/>
      <c r="R297" s="251"/>
      <c r="S297" s="283"/>
      <c r="T297" s="283"/>
      <c r="U297" s="253"/>
      <c r="V297" s="250"/>
      <c r="W297" s="251"/>
      <c r="X297" s="283"/>
      <c r="Y297" s="253"/>
    </row>
    <row r="298" spans="1:25" x14ac:dyDescent="0.2">
      <c r="A298" s="280"/>
      <c r="B298" s="280"/>
      <c r="C298" s="251"/>
      <c r="D298" s="281"/>
      <c r="E298" s="251"/>
      <c r="F298" s="251"/>
      <c r="G298" s="282"/>
      <c r="H298" s="253"/>
      <c r="I298" s="250"/>
      <c r="J298" s="251"/>
      <c r="K298" s="252"/>
      <c r="L298" s="253"/>
      <c r="M298" s="250"/>
      <c r="N298" s="251"/>
      <c r="O298" s="252"/>
      <c r="P298" s="253"/>
      <c r="Q298" s="250"/>
      <c r="R298" s="251"/>
      <c r="S298" s="283"/>
      <c r="T298" s="283"/>
      <c r="U298" s="253"/>
      <c r="V298" s="250"/>
      <c r="W298" s="251"/>
      <c r="X298" s="283"/>
      <c r="Y298" s="253"/>
    </row>
    <row r="299" spans="1:25" x14ac:dyDescent="0.2">
      <c r="A299" s="280"/>
      <c r="B299" s="280"/>
      <c r="C299" s="251"/>
      <c r="D299" s="281"/>
      <c r="E299" s="251"/>
      <c r="F299" s="251"/>
      <c r="G299" s="282"/>
      <c r="H299" s="253"/>
      <c r="I299" s="250"/>
      <c r="J299" s="251"/>
      <c r="K299" s="252"/>
      <c r="L299" s="253"/>
      <c r="M299" s="250"/>
      <c r="N299" s="251"/>
      <c r="O299" s="252"/>
      <c r="P299" s="253"/>
      <c r="Q299" s="250"/>
      <c r="R299" s="251"/>
      <c r="S299" s="283"/>
      <c r="T299" s="283"/>
      <c r="U299" s="253"/>
      <c r="V299" s="250"/>
      <c r="W299" s="251"/>
      <c r="X299" s="283"/>
      <c r="Y299" s="253"/>
    </row>
    <row r="300" spans="1:25" x14ac:dyDescent="0.2">
      <c r="A300" s="280"/>
      <c r="B300" s="280"/>
      <c r="C300" s="251"/>
      <c r="D300" s="281"/>
      <c r="E300" s="251"/>
      <c r="F300" s="251"/>
      <c r="G300" s="282"/>
      <c r="H300" s="253"/>
      <c r="I300" s="250"/>
      <c r="J300" s="251"/>
      <c r="K300" s="252"/>
      <c r="L300" s="253"/>
      <c r="M300" s="250"/>
      <c r="N300" s="251"/>
      <c r="O300" s="252"/>
      <c r="P300" s="253"/>
      <c r="Q300" s="250"/>
      <c r="R300" s="251"/>
      <c r="S300" s="283"/>
      <c r="T300" s="283"/>
      <c r="U300" s="253"/>
      <c r="V300" s="250"/>
      <c r="W300" s="251"/>
      <c r="X300" s="283"/>
      <c r="Y300" s="253"/>
    </row>
    <row r="301" spans="1:25" x14ac:dyDescent="0.2">
      <c r="A301" s="280"/>
      <c r="B301" s="280"/>
      <c r="C301" s="251"/>
      <c r="D301" s="281"/>
      <c r="E301" s="251"/>
      <c r="F301" s="251"/>
      <c r="G301" s="282"/>
      <c r="H301" s="253"/>
      <c r="I301" s="250"/>
      <c r="J301" s="251"/>
      <c r="K301" s="252"/>
      <c r="L301" s="253"/>
      <c r="M301" s="250"/>
      <c r="N301" s="251"/>
      <c r="O301" s="252"/>
      <c r="P301" s="253"/>
      <c r="Q301" s="250"/>
      <c r="R301" s="251"/>
      <c r="S301" s="283"/>
      <c r="T301" s="283"/>
      <c r="U301" s="253"/>
      <c r="V301" s="250"/>
      <c r="W301" s="251"/>
      <c r="X301" s="283"/>
      <c r="Y301" s="253"/>
    </row>
    <row r="302" spans="1:25" x14ac:dyDescent="0.2">
      <c r="A302" s="280"/>
      <c r="B302" s="280"/>
      <c r="C302" s="251"/>
      <c r="D302" s="281"/>
      <c r="E302" s="251"/>
      <c r="F302" s="251"/>
      <c r="G302" s="282"/>
      <c r="H302" s="253"/>
      <c r="I302" s="250"/>
      <c r="J302" s="251"/>
      <c r="K302" s="252"/>
      <c r="L302" s="253"/>
      <c r="M302" s="250"/>
      <c r="N302" s="251"/>
      <c r="O302" s="252"/>
      <c r="P302" s="253"/>
      <c r="Q302" s="250"/>
      <c r="R302" s="251"/>
      <c r="S302" s="283"/>
      <c r="T302" s="283"/>
      <c r="U302" s="253"/>
      <c r="V302" s="250"/>
      <c r="W302" s="251"/>
      <c r="X302" s="283"/>
      <c r="Y302" s="253"/>
    </row>
    <row r="303" spans="1:25" x14ac:dyDescent="0.2">
      <c r="A303" s="280"/>
      <c r="B303" s="280"/>
      <c r="C303" s="251"/>
      <c r="D303" s="281"/>
      <c r="E303" s="251"/>
      <c r="F303" s="251"/>
      <c r="G303" s="282"/>
      <c r="H303" s="253"/>
      <c r="I303" s="250"/>
      <c r="J303" s="251"/>
      <c r="K303" s="252"/>
      <c r="L303" s="253"/>
      <c r="M303" s="250"/>
      <c r="N303" s="251"/>
      <c r="O303" s="252"/>
      <c r="P303" s="253"/>
      <c r="Q303" s="250"/>
      <c r="R303" s="251"/>
      <c r="S303" s="283"/>
      <c r="T303" s="283"/>
      <c r="U303" s="253"/>
      <c r="V303" s="250"/>
      <c r="W303" s="251"/>
      <c r="X303" s="283"/>
      <c r="Y303" s="253"/>
    </row>
    <row r="304" spans="1:25" x14ac:dyDescent="0.2">
      <c r="A304" s="280"/>
      <c r="B304" s="280"/>
      <c r="C304" s="251"/>
      <c r="D304" s="281"/>
      <c r="E304" s="251"/>
      <c r="F304" s="251"/>
      <c r="G304" s="282"/>
      <c r="H304" s="253"/>
      <c r="I304" s="250"/>
      <c r="J304" s="251"/>
      <c r="K304" s="252"/>
      <c r="L304" s="253"/>
      <c r="M304" s="250"/>
      <c r="N304" s="251"/>
      <c r="O304" s="252"/>
      <c r="P304" s="253"/>
      <c r="Q304" s="250"/>
      <c r="R304" s="251"/>
      <c r="S304" s="283"/>
      <c r="T304" s="283"/>
      <c r="U304" s="253"/>
      <c r="V304" s="250"/>
      <c r="W304" s="251"/>
      <c r="X304" s="283"/>
      <c r="Y304" s="253"/>
    </row>
    <row r="305" spans="1:25" x14ac:dyDescent="0.2">
      <c r="A305" s="280"/>
      <c r="B305" s="280"/>
      <c r="C305" s="251"/>
      <c r="D305" s="281"/>
      <c r="E305" s="251"/>
      <c r="F305" s="251"/>
      <c r="G305" s="282"/>
      <c r="H305" s="253"/>
      <c r="I305" s="250"/>
      <c r="J305" s="251"/>
      <c r="K305" s="252"/>
      <c r="L305" s="253"/>
      <c r="M305" s="250"/>
      <c r="N305" s="251"/>
      <c r="O305" s="252"/>
      <c r="P305" s="253"/>
      <c r="Q305" s="250"/>
      <c r="R305" s="251"/>
      <c r="S305" s="283"/>
      <c r="T305" s="283"/>
      <c r="U305" s="253"/>
      <c r="V305" s="250"/>
      <c r="W305" s="251"/>
      <c r="X305" s="283"/>
      <c r="Y305" s="253"/>
    </row>
    <row r="306" spans="1:25" x14ac:dyDescent="0.2">
      <c r="A306" s="280"/>
      <c r="B306" s="280"/>
      <c r="C306" s="251"/>
      <c r="D306" s="281"/>
      <c r="E306" s="251"/>
      <c r="F306" s="251"/>
      <c r="G306" s="282"/>
      <c r="H306" s="253"/>
      <c r="I306" s="250"/>
      <c r="J306" s="251"/>
      <c r="K306" s="252"/>
      <c r="L306" s="253"/>
      <c r="M306" s="250"/>
      <c r="N306" s="251"/>
      <c r="O306" s="252"/>
      <c r="P306" s="253"/>
      <c r="Q306" s="250"/>
      <c r="R306" s="251"/>
      <c r="S306" s="283"/>
      <c r="T306" s="283"/>
      <c r="U306" s="253"/>
      <c r="V306" s="250"/>
      <c r="W306" s="251"/>
      <c r="X306" s="283"/>
      <c r="Y306" s="253"/>
    </row>
    <row r="307" spans="1:25" x14ac:dyDescent="0.2">
      <c r="A307" s="280"/>
      <c r="B307" s="280"/>
      <c r="C307" s="251"/>
      <c r="D307" s="281"/>
      <c r="E307" s="251"/>
      <c r="F307" s="251"/>
      <c r="G307" s="282"/>
      <c r="H307" s="253"/>
      <c r="I307" s="250"/>
      <c r="J307" s="251"/>
      <c r="K307" s="252"/>
      <c r="L307" s="253"/>
      <c r="M307" s="250"/>
      <c r="N307" s="251"/>
      <c r="O307" s="252"/>
      <c r="P307" s="253"/>
      <c r="Q307" s="250"/>
      <c r="R307" s="251"/>
      <c r="S307" s="283"/>
      <c r="T307" s="283"/>
      <c r="U307" s="253"/>
      <c r="V307" s="250"/>
      <c r="W307" s="251"/>
      <c r="X307" s="283"/>
      <c r="Y307" s="253"/>
    </row>
    <row r="308" spans="1:25" x14ac:dyDescent="0.2">
      <c r="A308" s="280"/>
      <c r="B308" s="280"/>
      <c r="C308" s="251"/>
      <c r="D308" s="281"/>
      <c r="E308" s="251"/>
      <c r="F308" s="251"/>
      <c r="G308" s="282"/>
      <c r="H308" s="253"/>
      <c r="I308" s="250"/>
      <c r="J308" s="251"/>
      <c r="K308" s="252"/>
      <c r="L308" s="253"/>
      <c r="M308" s="250"/>
      <c r="N308" s="251"/>
      <c r="O308" s="252"/>
      <c r="P308" s="253"/>
      <c r="Q308" s="250"/>
      <c r="R308" s="251"/>
      <c r="S308" s="283"/>
      <c r="T308" s="283"/>
      <c r="U308" s="253"/>
      <c r="V308" s="250"/>
      <c r="W308" s="251"/>
      <c r="X308" s="283"/>
      <c r="Y308" s="253"/>
    </row>
    <row r="309" spans="1:25" x14ac:dyDescent="0.2">
      <c r="A309" s="280"/>
      <c r="B309" s="280"/>
      <c r="C309" s="251"/>
      <c r="D309" s="281"/>
      <c r="E309" s="251"/>
      <c r="F309" s="251"/>
      <c r="G309" s="282"/>
      <c r="H309" s="253"/>
      <c r="I309" s="250"/>
      <c r="J309" s="251"/>
      <c r="K309" s="252"/>
      <c r="L309" s="253"/>
      <c r="M309" s="250"/>
      <c r="N309" s="251"/>
      <c r="O309" s="252"/>
      <c r="P309" s="253"/>
      <c r="Q309" s="250"/>
      <c r="R309" s="251"/>
      <c r="S309" s="283"/>
      <c r="T309" s="283"/>
      <c r="U309" s="253"/>
      <c r="V309" s="250"/>
      <c r="W309" s="251"/>
      <c r="X309" s="283"/>
      <c r="Y309" s="253"/>
    </row>
    <row r="310" spans="1:25" x14ac:dyDescent="0.2">
      <c r="A310" s="280"/>
      <c r="B310" s="280"/>
      <c r="C310" s="251"/>
      <c r="D310" s="281"/>
      <c r="E310" s="251"/>
      <c r="F310" s="251"/>
      <c r="G310" s="282"/>
      <c r="H310" s="253"/>
      <c r="I310" s="250"/>
      <c r="J310" s="251"/>
      <c r="K310" s="252"/>
      <c r="L310" s="253"/>
      <c r="M310" s="250"/>
      <c r="N310" s="251"/>
      <c r="O310" s="252"/>
      <c r="P310" s="253"/>
      <c r="Q310" s="250"/>
      <c r="R310" s="251"/>
      <c r="S310" s="283"/>
      <c r="T310" s="283"/>
      <c r="U310" s="253"/>
      <c r="V310" s="250"/>
      <c r="W310" s="251"/>
      <c r="X310" s="283"/>
      <c r="Y310" s="253"/>
    </row>
    <row r="311" spans="1:25" x14ac:dyDescent="0.2">
      <c r="A311" s="280"/>
      <c r="B311" s="280"/>
      <c r="C311" s="251"/>
      <c r="D311" s="281"/>
      <c r="E311" s="251"/>
      <c r="F311" s="251"/>
      <c r="G311" s="282"/>
      <c r="H311" s="253"/>
      <c r="I311" s="250"/>
      <c r="J311" s="251"/>
      <c r="K311" s="252"/>
      <c r="L311" s="253"/>
      <c r="M311" s="250"/>
      <c r="N311" s="251"/>
      <c r="O311" s="252"/>
      <c r="P311" s="253"/>
      <c r="Q311" s="250"/>
      <c r="R311" s="251"/>
      <c r="S311" s="283"/>
      <c r="T311" s="283"/>
      <c r="U311" s="253"/>
      <c r="V311" s="250"/>
      <c r="W311" s="251"/>
      <c r="X311" s="283"/>
      <c r="Y311" s="253"/>
    </row>
    <row r="312" spans="1:25" x14ac:dyDescent="0.2">
      <c r="A312" s="280"/>
      <c r="B312" s="280"/>
      <c r="C312" s="251"/>
      <c r="D312" s="281"/>
      <c r="E312" s="251"/>
      <c r="F312" s="251"/>
      <c r="G312" s="282"/>
      <c r="H312" s="253"/>
      <c r="I312" s="250"/>
      <c r="J312" s="251"/>
      <c r="K312" s="252"/>
      <c r="L312" s="253"/>
      <c r="M312" s="250"/>
      <c r="N312" s="251"/>
      <c r="O312" s="252"/>
      <c r="P312" s="253"/>
      <c r="Q312" s="250"/>
      <c r="R312" s="251"/>
      <c r="S312" s="283"/>
      <c r="T312" s="283"/>
      <c r="U312" s="253"/>
      <c r="V312" s="250"/>
      <c r="W312" s="251"/>
      <c r="X312" s="283"/>
      <c r="Y312" s="253"/>
    </row>
    <row r="313" spans="1:25" x14ac:dyDescent="0.2">
      <c r="A313" s="280"/>
      <c r="B313" s="280"/>
      <c r="C313" s="251"/>
      <c r="D313" s="281"/>
      <c r="E313" s="251"/>
      <c r="F313" s="251"/>
      <c r="G313" s="282"/>
      <c r="H313" s="253"/>
      <c r="I313" s="250"/>
      <c r="J313" s="251"/>
      <c r="K313" s="252"/>
      <c r="L313" s="253"/>
      <c r="M313" s="250"/>
      <c r="N313" s="251"/>
      <c r="O313" s="252"/>
      <c r="P313" s="253"/>
      <c r="Q313" s="250"/>
      <c r="R313" s="251"/>
      <c r="S313" s="283"/>
      <c r="T313" s="283"/>
      <c r="U313" s="253"/>
      <c r="V313" s="250"/>
      <c r="W313" s="251"/>
      <c r="X313" s="283"/>
      <c r="Y313" s="253"/>
    </row>
    <row r="314" spans="1:25" x14ac:dyDescent="0.2">
      <c r="A314" s="280"/>
      <c r="B314" s="280"/>
      <c r="C314" s="251"/>
      <c r="D314" s="281"/>
      <c r="E314" s="251"/>
      <c r="F314" s="251"/>
      <c r="G314" s="282"/>
      <c r="H314" s="253"/>
      <c r="I314" s="250"/>
      <c r="J314" s="251"/>
      <c r="K314" s="252"/>
      <c r="L314" s="253"/>
      <c r="M314" s="250"/>
      <c r="N314" s="251"/>
      <c r="O314" s="252"/>
      <c r="P314" s="253"/>
      <c r="Q314" s="250"/>
      <c r="R314" s="251"/>
      <c r="S314" s="283"/>
      <c r="T314" s="283"/>
      <c r="U314" s="253"/>
      <c r="V314" s="250"/>
      <c r="W314" s="251"/>
      <c r="X314" s="283"/>
      <c r="Y314" s="253"/>
    </row>
    <row r="315" spans="1:25" x14ac:dyDescent="0.2">
      <c r="A315" s="280"/>
      <c r="B315" s="280"/>
      <c r="C315" s="251"/>
      <c r="D315" s="281"/>
      <c r="E315" s="251"/>
      <c r="F315" s="251"/>
      <c r="G315" s="282"/>
      <c r="H315" s="253"/>
      <c r="I315" s="250"/>
      <c r="J315" s="251"/>
      <c r="K315" s="252"/>
      <c r="L315" s="253"/>
      <c r="M315" s="250"/>
      <c r="N315" s="251"/>
      <c r="O315" s="252"/>
      <c r="P315" s="253"/>
      <c r="Q315" s="250"/>
      <c r="R315" s="251"/>
      <c r="S315" s="283"/>
      <c r="T315" s="283"/>
      <c r="U315" s="253"/>
      <c r="V315" s="250"/>
      <c r="W315" s="251"/>
      <c r="X315" s="283"/>
      <c r="Y315" s="253"/>
    </row>
    <row r="316" spans="1:25" x14ac:dyDescent="0.2">
      <c r="A316" s="280"/>
      <c r="B316" s="280"/>
      <c r="C316" s="251"/>
      <c r="D316" s="281"/>
      <c r="E316" s="251"/>
      <c r="F316" s="251"/>
      <c r="G316" s="282"/>
      <c r="H316" s="253"/>
      <c r="I316" s="250"/>
      <c r="J316" s="251"/>
      <c r="K316" s="252"/>
      <c r="L316" s="253"/>
      <c r="M316" s="250"/>
      <c r="N316" s="251"/>
      <c r="O316" s="252"/>
      <c r="P316" s="253"/>
      <c r="Q316" s="250"/>
      <c r="R316" s="251"/>
      <c r="S316" s="283"/>
      <c r="T316" s="283"/>
      <c r="U316" s="253"/>
      <c r="V316" s="250"/>
      <c r="W316" s="251"/>
      <c r="X316" s="283"/>
      <c r="Y316" s="253"/>
    </row>
    <row r="317" spans="1:25" x14ac:dyDescent="0.2">
      <c r="A317" s="280"/>
      <c r="B317" s="280"/>
      <c r="C317" s="251"/>
      <c r="D317" s="281"/>
      <c r="E317" s="251"/>
      <c r="F317" s="251"/>
      <c r="G317" s="282"/>
      <c r="H317" s="253"/>
      <c r="I317" s="250"/>
      <c r="J317" s="251"/>
      <c r="K317" s="252"/>
      <c r="L317" s="253"/>
      <c r="M317" s="250"/>
      <c r="N317" s="251"/>
      <c r="O317" s="252"/>
      <c r="P317" s="253"/>
      <c r="Q317" s="250"/>
      <c r="R317" s="251"/>
      <c r="S317" s="283"/>
      <c r="T317" s="283"/>
      <c r="U317" s="253"/>
      <c r="V317" s="250"/>
      <c r="W317" s="251"/>
      <c r="X317" s="283"/>
      <c r="Y317" s="253"/>
    </row>
    <row r="318" spans="1:25" x14ac:dyDescent="0.2">
      <c r="A318" s="280"/>
      <c r="B318" s="280"/>
      <c r="C318" s="251"/>
      <c r="D318" s="281"/>
      <c r="E318" s="251"/>
      <c r="F318" s="251"/>
      <c r="G318" s="282"/>
      <c r="H318" s="253"/>
      <c r="I318" s="250"/>
      <c r="J318" s="251"/>
      <c r="K318" s="252"/>
      <c r="L318" s="253"/>
      <c r="M318" s="250"/>
      <c r="N318" s="251"/>
      <c r="O318" s="252"/>
      <c r="P318" s="253"/>
      <c r="Q318" s="250"/>
      <c r="R318" s="251"/>
      <c r="S318" s="283"/>
      <c r="T318" s="283"/>
      <c r="U318" s="253"/>
      <c r="V318" s="250"/>
      <c r="W318" s="251"/>
      <c r="X318" s="283"/>
      <c r="Y318" s="253"/>
    </row>
    <row r="319" spans="1:25" x14ac:dyDescent="0.2">
      <c r="A319" s="280"/>
      <c r="B319" s="280"/>
      <c r="C319" s="251"/>
      <c r="D319" s="281"/>
      <c r="E319" s="251"/>
      <c r="F319" s="251"/>
      <c r="G319" s="282"/>
      <c r="H319" s="253"/>
      <c r="I319" s="250"/>
      <c r="J319" s="251"/>
      <c r="K319" s="252"/>
      <c r="L319" s="253"/>
      <c r="M319" s="250"/>
      <c r="N319" s="251"/>
      <c r="O319" s="252"/>
      <c r="P319" s="253"/>
      <c r="Q319" s="250"/>
      <c r="R319" s="251"/>
      <c r="S319" s="283"/>
      <c r="T319" s="283"/>
      <c r="U319" s="253"/>
      <c r="V319" s="250"/>
      <c r="W319" s="251"/>
      <c r="X319" s="283"/>
      <c r="Y319" s="253"/>
    </row>
    <row r="320" spans="1:25" x14ac:dyDescent="0.2">
      <c r="A320" s="280"/>
      <c r="B320" s="280"/>
      <c r="C320" s="251"/>
      <c r="D320" s="281"/>
      <c r="E320" s="251"/>
      <c r="F320" s="251"/>
      <c r="G320" s="282"/>
      <c r="H320" s="253"/>
      <c r="I320" s="250"/>
      <c r="J320" s="251"/>
      <c r="K320" s="252"/>
      <c r="L320" s="253"/>
      <c r="M320" s="250"/>
      <c r="N320" s="251"/>
      <c r="O320" s="252"/>
      <c r="P320" s="253"/>
      <c r="Q320" s="250"/>
      <c r="R320" s="251"/>
      <c r="S320" s="283"/>
      <c r="T320" s="283"/>
      <c r="U320" s="253"/>
      <c r="V320" s="250"/>
      <c r="W320" s="251"/>
      <c r="X320" s="283"/>
      <c r="Y320" s="253"/>
    </row>
    <row r="321" spans="1:25" x14ac:dyDescent="0.2">
      <c r="A321" s="280"/>
      <c r="B321" s="280"/>
      <c r="C321" s="251"/>
      <c r="D321" s="281"/>
      <c r="E321" s="251"/>
      <c r="F321" s="251"/>
      <c r="G321" s="282"/>
      <c r="H321" s="253"/>
      <c r="I321" s="250"/>
      <c r="J321" s="251"/>
      <c r="K321" s="252"/>
      <c r="L321" s="253"/>
      <c r="M321" s="250"/>
      <c r="N321" s="251"/>
      <c r="O321" s="252"/>
      <c r="P321" s="253"/>
      <c r="Q321" s="250"/>
      <c r="R321" s="251"/>
      <c r="S321" s="283"/>
      <c r="T321" s="283"/>
      <c r="U321" s="253"/>
      <c r="V321" s="250"/>
      <c r="W321" s="251"/>
      <c r="X321" s="283"/>
      <c r="Y321" s="253"/>
    </row>
    <row r="322" spans="1:25" x14ac:dyDescent="0.2">
      <c r="A322" s="280"/>
      <c r="B322" s="280"/>
      <c r="C322" s="251"/>
      <c r="D322" s="281"/>
      <c r="E322" s="251"/>
      <c r="F322" s="251"/>
      <c r="G322" s="282"/>
      <c r="H322" s="253"/>
      <c r="I322" s="250"/>
      <c r="J322" s="251"/>
      <c r="K322" s="252"/>
      <c r="L322" s="253"/>
      <c r="M322" s="250"/>
      <c r="N322" s="251"/>
      <c r="O322" s="252"/>
      <c r="P322" s="253"/>
      <c r="Q322" s="250"/>
      <c r="R322" s="251"/>
      <c r="S322" s="283"/>
      <c r="T322" s="283"/>
      <c r="U322" s="253"/>
      <c r="V322" s="250"/>
      <c r="W322" s="251"/>
      <c r="X322" s="283"/>
      <c r="Y322" s="253"/>
    </row>
    <row r="323" spans="1:25" x14ac:dyDescent="0.2">
      <c r="A323" s="280"/>
      <c r="B323" s="280"/>
      <c r="C323" s="251"/>
      <c r="D323" s="281"/>
      <c r="E323" s="251"/>
      <c r="F323" s="251"/>
      <c r="G323" s="282"/>
      <c r="H323" s="253"/>
      <c r="I323" s="250"/>
      <c r="J323" s="251"/>
      <c r="K323" s="252"/>
      <c r="L323" s="253"/>
      <c r="M323" s="250"/>
      <c r="N323" s="251"/>
      <c r="O323" s="252"/>
      <c r="P323" s="253"/>
      <c r="Q323" s="250"/>
      <c r="R323" s="251"/>
      <c r="S323" s="283"/>
      <c r="T323" s="283"/>
      <c r="U323" s="253"/>
      <c r="V323" s="250"/>
      <c r="W323" s="251"/>
      <c r="X323" s="283"/>
      <c r="Y323" s="253"/>
    </row>
    <row r="324" spans="1:25" x14ac:dyDescent="0.2">
      <c r="A324" s="280"/>
      <c r="B324" s="280"/>
      <c r="C324" s="251"/>
      <c r="D324" s="281"/>
      <c r="E324" s="251"/>
      <c r="F324" s="251"/>
      <c r="G324" s="282"/>
      <c r="H324" s="253"/>
      <c r="I324" s="250"/>
      <c r="J324" s="251"/>
      <c r="K324" s="252"/>
      <c r="L324" s="253"/>
      <c r="M324" s="250"/>
      <c r="N324" s="251"/>
      <c r="O324" s="252"/>
      <c r="P324" s="253"/>
      <c r="Q324" s="250"/>
      <c r="R324" s="251"/>
      <c r="S324" s="283"/>
      <c r="T324" s="283"/>
      <c r="U324" s="253"/>
      <c r="V324" s="250"/>
      <c r="W324" s="251"/>
      <c r="X324" s="283"/>
      <c r="Y324" s="253"/>
    </row>
    <row r="325" spans="1:25" x14ac:dyDescent="0.2">
      <c r="A325" s="280"/>
      <c r="B325" s="280"/>
      <c r="C325" s="251"/>
      <c r="D325" s="281"/>
      <c r="E325" s="251"/>
      <c r="F325" s="251"/>
      <c r="G325" s="282"/>
      <c r="H325" s="253"/>
      <c r="I325" s="250"/>
      <c r="J325" s="251"/>
      <c r="K325" s="252"/>
      <c r="L325" s="253"/>
      <c r="M325" s="250"/>
      <c r="N325" s="251"/>
      <c r="O325" s="252"/>
      <c r="P325" s="253"/>
      <c r="Q325" s="250"/>
      <c r="R325" s="251"/>
      <c r="S325" s="283"/>
      <c r="T325" s="283"/>
      <c r="U325" s="253"/>
      <c r="V325" s="250"/>
      <c r="W325" s="251"/>
      <c r="X325" s="283"/>
      <c r="Y325" s="253"/>
    </row>
    <row r="326" spans="1:25" x14ac:dyDescent="0.2">
      <c r="A326" s="280"/>
      <c r="B326" s="280"/>
      <c r="C326" s="251"/>
      <c r="D326" s="281"/>
      <c r="E326" s="251"/>
      <c r="F326" s="251"/>
      <c r="G326" s="282"/>
      <c r="H326" s="253"/>
      <c r="I326" s="250"/>
      <c r="J326" s="251"/>
      <c r="K326" s="252"/>
      <c r="L326" s="253"/>
      <c r="M326" s="250"/>
      <c r="N326" s="251"/>
      <c r="O326" s="252"/>
      <c r="P326" s="253"/>
      <c r="Q326" s="250"/>
      <c r="R326" s="251"/>
      <c r="S326" s="283"/>
      <c r="T326" s="283"/>
      <c r="U326" s="253"/>
      <c r="V326" s="250"/>
      <c r="W326" s="251"/>
      <c r="X326" s="283"/>
      <c r="Y326" s="253"/>
    </row>
    <row r="327" spans="1:25" x14ac:dyDescent="0.2">
      <c r="A327" s="280"/>
      <c r="B327" s="280"/>
      <c r="C327" s="251"/>
      <c r="D327" s="281"/>
      <c r="E327" s="251"/>
      <c r="F327" s="251"/>
      <c r="G327" s="282"/>
      <c r="H327" s="253"/>
      <c r="I327" s="250"/>
      <c r="J327" s="251"/>
      <c r="K327" s="252"/>
      <c r="L327" s="253"/>
      <c r="M327" s="250"/>
      <c r="N327" s="251"/>
      <c r="O327" s="252"/>
      <c r="P327" s="253"/>
      <c r="Q327" s="250"/>
      <c r="R327" s="251"/>
      <c r="S327" s="283"/>
      <c r="T327" s="283"/>
      <c r="U327" s="253"/>
      <c r="V327" s="250"/>
      <c r="W327" s="251"/>
      <c r="X327" s="283"/>
      <c r="Y327" s="253"/>
    </row>
    <row r="328" spans="1:25" x14ac:dyDescent="0.2">
      <c r="A328" s="280"/>
      <c r="B328" s="280"/>
      <c r="C328" s="251"/>
      <c r="D328" s="281"/>
      <c r="E328" s="251"/>
      <c r="F328" s="251"/>
      <c r="G328" s="282"/>
      <c r="H328" s="253"/>
      <c r="I328" s="250"/>
      <c r="J328" s="251"/>
      <c r="K328" s="252"/>
      <c r="L328" s="253"/>
      <c r="M328" s="250"/>
      <c r="N328" s="251"/>
      <c r="O328" s="252"/>
      <c r="P328" s="253"/>
      <c r="Q328" s="250"/>
      <c r="R328" s="251"/>
      <c r="S328" s="283"/>
      <c r="T328" s="283"/>
      <c r="U328" s="253"/>
      <c r="V328" s="250"/>
      <c r="W328" s="251"/>
      <c r="X328" s="283"/>
      <c r="Y328" s="253"/>
    </row>
    <row r="329" spans="1:25" x14ac:dyDescent="0.2">
      <c r="A329" s="280"/>
      <c r="B329" s="280"/>
      <c r="C329" s="251"/>
      <c r="D329" s="281"/>
      <c r="E329" s="251"/>
      <c r="F329" s="251"/>
      <c r="G329" s="282"/>
      <c r="H329" s="253"/>
      <c r="I329" s="250"/>
      <c r="J329" s="251"/>
      <c r="K329" s="252"/>
      <c r="L329" s="253"/>
      <c r="M329" s="250"/>
      <c r="N329" s="251"/>
      <c r="O329" s="252"/>
      <c r="P329" s="253"/>
      <c r="Q329" s="250"/>
      <c r="R329" s="251"/>
      <c r="S329" s="283"/>
      <c r="T329" s="283"/>
      <c r="U329" s="253"/>
      <c r="V329" s="250"/>
      <c r="W329" s="251"/>
      <c r="X329" s="283"/>
      <c r="Y329" s="253"/>
    </row>
    <row r="330" spans="1:25" x14ac:dyDescent="0.2">
      <c r="A330" s="280"/>
      <c r="B330" s="280"/>
      <c r="C330" s="251"/>
      <c r="D330" s="281"/>
      <c r="E330" s="251"/>
      <c r="F330" s="251"/>
      <c r="G330" s="282"/>
      <c r="H330" s="253"/>
      <c r="I330" s="250"/>
      <c r="J330" s="251"/>
      <c r="K330" s="252"/>
      <c r="L330" s="253"/>
      <c r="M330" s="250"/>
      <c r="N330" s="251"/>
      <c r="O330" s="252"/>
      <c r="P330" s="253"/>
      <c r="Q330" s="250"/>
      <c r="R330" s="251"/>
      <c r="S330" s="283"/>
      <c r="T330" s="283"/>
      <c r="U330" s="253"/>
      <c r="V330" s="250"/>
      <c r="W330" s="251"/>
      <c r="X330" s="283"/>
      <c r="Y330" s="253"/>
    </row>
    <row r="331" spans="1:25" x14ac:dyDescent="0.2">
      <c r="A331" s="280"/>
      <c r="B331" s="280"/>
      <c r="C331" s="251"/>
      <c r="D331" s="281"/>
      <c r="E331" s="251"/>
      <c r="F331" s="251"/>
      <c r="G331" s="282"/>
      <c r="H331" s="253"/>
      <c r="I331" s="250"/>
      <c r="J331" s="251"/>
      <c r="K331" s="252"/>
      <c r="L331" s="253"/>
      <c r="M331" s="250"/>
      <c r="N331" s="251"/>
      <c r="O331" s="252"/>
      <c r="P331" s="253"/>
      <c r="Q331" s="250"/>
      <c r="R331" s="251"/>
      <c r="S331" s="283"/>
      <c r="T331" s="283"/>
      <c r="U331" s="253"/>
      <c r="V331" s="250"/>
      <c r="W331" s="251"/>
      <c r="X331" s="283"/>
      <c r="Y331" s="253"/>
    </row>
    <row r="332" spans="1:25" x14ac:dyDescent="0.2">
      <c r="A332" s="280"/>
      <c r="B332" s="280"/>
      <c r="C332" s="251"/>
      <c r="D332" s="281"/>
      <c r="E332" s="251"/>
      <c r="F332" s="251"/>
      <c r="G332" s="282"/>
      <c r="H332" s="253"/>
      <c r="I332" s="250"/>
      <c r="J332" s="251"/>
      <c r="K332" s="252"/>
      <c r="L332" s="253"/>
      <c r="M332" s="250"/>
      <c r="N332" s="251"/>
      <c r="O332" s="252"/>
      <c r="P332" s="253"/>
      <c r="Q332" s="250"/>
      <c r="R332" s="251"/>
      <c r="S332" s="283"/>
      <c r="T332" s="283"/>
      <c r="U332" s="253"/>
      <c r="V332" s="250"/>
      <c r="W332" s="251"/>
      <c r="X332" s="283"/>
      <c r="Y332" s="253"/>
    </row>
    <row r="333" spans="1:25" x14ac:dyDescent="0.2">
      <c r="A333" s="280"/>
      <c r="B333" s="280"/>
      <c r="C333" s="251"/>
      <c r="D333" s="281"/>
      <c r="E333" s="251"/>
      <c r="F333" s="251"/>
      <c r="G333" s="282"/>
      <c r="H333" s="253"/>
      <c r="I333" s="250"/>
      <c r="J333" s="251"/>
      <c r="K333" s="252"/>
      <c r="L333" s="253"/>
      <c r="M333" s="250"/>
      <c r="N333" s="251"/>
      <c r="O333" s="252"/>
      <c r="P333" s="253"/>
      <c r="Q333" s="250"/>
      <c r="R333" s="251"/>
      <c r="S333" s="283"/>
      <c r="T333" s="283"/>
      <c r="U333" s="253"/>
      <c r="V333" s="250"/>
      <c r="W333" s="251"/>
      <c r="X333" s="283"/>
      <c r="Y333" s="253"/>
    </row>
    <row r="334" spans="1:25" x14ac:dyDescent="0.2">
      <c r="A334" s="280"/>
      <c r="B334" s="280"/>
      <c r="C334" s="251"/>
      <c r="D334" s="281"/>
      <c r="E334" s="251"/>
      <c r="F334" s="251"/>
      <c r="G334" s="282"/>
      <c r="H334" s="253"/>
      <c r="I334" s="250"/>
      <c r="J334" s="251"/>
      <c r="K334" s="252"/>
      <c r="L334" s="253"/>
      <c r="M334" s="250"/>
      <c r="N334" s="251"/>
      <c r="O334" s="252"/>
      <c r="P334" s="253"/>
      <c r="Q334" s="250"/>
      <c r="R334" s="251"/>
      <c r="S334" s="283"/>
      <c r="T334" s="283"/>
      <c r="U334" s="253"/>
      <c r="V334" s="250"/>
      <c r="W334" s="251"/>
      <c r="X334" s="283"/>
      <c r="Y334" s="253"/>
    </row>
    <row r="335" spans="1:25" x14ac:dyDescent="0.2">
      <c r="A335" s="280"/>
      <c r="B335" s="280"/>
      <c r="C335" s="251"/>
      <c r="D335" s="281"/>
      <c r="E335" s="251"/>
      <c r="F335" s="251"/>
      <c r="G335" s="282"/>
      <c r="H335" s="253"/>
      <c r="I335" s="250"/>
      <c r="J335" s="251"/>
      <c r="K335" s="252"/>
      <c r="L335" s="253"/>
      <c r="M335" s="250"/>
      <c r="N335" s="251"/>
      <c r="O335" s="252"/>
      <c r="P335" s="253"/>
      <c r="Q335" s="250"/>
      <c r="R335" s="251"/>
      <c r="S335" s="283"/>
      <c r="T335" s="283"/>
      <c r="U335" s="253"/>
      <c r="V335" s="250"/>
      <c r="W335" s="251"/>
      <c r="X335" s="283"/>
      <c r="Y335" s="253"/>
    </row>
    <row r="336" spans="1:25" x14ac:dyDescent="0.2">
      <c r="A336" s="280"/>
      <c r="B336" s="280"/>
      <c r="C336" s="251"/>
      <c r="D336" s="281"/>
      <c r="E336" s="251"/>
      <c r="F336" s="251"/>
      <c r="G336" s="282"/>
      <c r="H336" s="253"/>
      <c r="I336" s="250"/>
      <c r="J336" s="251"/>
      <c r="K336" s="252"/>
      <c r="L336" s="253"/>
      <c r="M336" s="250"/>
      <c r="N336" s="251"/>
      <c r="O336" s="252"/>
      <c r="P336" s="253"/>
      <c r="Q336" s="250"/>
      <c r="R336" s="251"/>
      <c r="S336" s="283"/>
      <c r="T336" s="283"/>
      <c r="U336" s="253"/>
      <c r="V336" s="250"/>
      <c r="W336" s="251"/>
      <c r="X336" s="283"/>
      <c r="Y336" s="253"/>
    </row>
    <row r="337" spans="1:25" x14ac:dyDescent="0.2">
      <c r="A337" s="280"/>
      <c r="B337" s="280"/>
      <c r="C337" s="251"/>
      <c r="D337" s="281"/>
      <c r="E337" s="251"/>
      <c r="F337" s="251"/>
      <c r="G337" s="282"/>
      <c r="H337" s="253"/>
      <c r="I337" s="250"/>
      <c r="J337" s="251"/>
      <c r="K337" s="252"/>
      <c r="L337" s="253"/>
      <c r="M337" s="250"/>
      <c r="N337" s="251"/>
      <c r="O337" s="252"/>
      <c r="P337" s="253"/>
      <c r="Q337" s="250"/>
      <c r="R337" s="251"/>
      <c r="S337" s="283"/>
      <c r="T337" s="283"/>
      <c r="U337" s="253"/>
      <c r="V337" s="250"/>
      <c r="W337" s="251"/>
      <c r="X337" s="283"/>
      <c r="Y337" s="253"/>
    </row>
    <row r="338" spans="1:25" x14ac:dyDescent="0.2">
      <c r="A338" s="280"/>
      <c r="B338" s="280"/>
      <c r="C338" s="251"/>
      <c r="D338" s="281"/>
      <c r="E338" s="251"/>
      <c r="F338" s="251"/>
      <c r="G338" s="282"/>
      <c r="H338" s="253"/>
      <c r="I338" s="250"/>
      <c r="J338" s="251"/>
      <c r="K338" s="252"/>
      <c r="L338" s="253"/>
      <c r="M338" s="250"/>
      <c r="N338" s="251"/>
      <c r="O338" s="252"/>
      <c r="P338" s="253"/>
      <c r="Q338" s="250"/>
      <c r="R338" s="251"/>
      <c r="S338" s="283"/>
      <c r="T338" s="283"/>
      <c r="U338" s="253"/>
      <c r="V338" s="250"/>
      <c r="W338" s="251"/>
      <c r="X338" s="283"/>
      <c r="Y338" s="253"/>
    </row>
    <row r="339" spans="1:25" x14ac:dyDescent="0.2">
      <c r="A339" s="280"/>
      <c r="B339" s="280"/>
      <c r="C339" s="251"/>
      <c r="D339" s="281"/>
      <c r="E339" s="251"/>
      <c r="F339" s="251"/>
      <c r="G339" s="282"/>
      <c r="H339" s="253"/>
      <c r="I339" s="250"/>
      <c r="J339" s="251"/>
      <c r="K339" s="252"/>
      <c r="L339" s="253"/>
      <c r="M339" s="250"/>
      <c r="N339" s="251"/>
      <c r="O339" s="252"/>
      <c r="P339" s="253"/>
      <c r="Q339" s="250"/>
      <c r="R339" s="251"/>
      <c r="S339" s="283"/>
      <c r="T339" s="283"/>
      <c r="U339" s="253"/>
      <c r="V339" s="250"/>
      <c r="W339" s="251"/>
      <c r="X339" s="283"/>
      <c r="Y339" s="253"/>
    </row>
    <row r="340" spans="1:25" x14ac:dyDescent="0.2">
      <c r="A340" s="280"/>
      <c r="B340" s="280"/>
      <c r="C340" s="251"/>
      <c r="D340" s="281"/>
      <c r="E340" s="251"/>
      <c r="F340" s="251"/>
      <c r="G340" s="282"/>
      <c r="H340" s="253"/>
      <c r="I340" s="250"/>
      <c r="J340" s="251"/>
      <c r="K340" s="252"/>
      <c r="L340" s="253"/>
      <c r="M340" s="250"/>
      <c r="N340" s="251"/>
      <c r="O340" s="252"/>
      <c r="P340" s="253"/>
      <c r="Q340" s="250"/>
      <c r="R340" s="251"/>
      <c r="S340" s="283"/>
      <c r="T340" s="283"/>
      <c r="U340" s="253"/>
      <c r="V340" s="250"/>
      <c r="W340" s="251"/>
      <c r="X340" s="283"/>
      <c r="Y340" s="253"/>
    </row>
    <row r="341" spans="1:25" x14ac:dyDescent="0.2">
      <c r="A341" s="280"/>
      <c r="B341" s="280"/>
      <c r="C341" s="251"/>
      <c r="D341" s="281"/>
      <c r="E341" s="251"/>
      <c r="F341" s="251"/>
      <c r="G341" s="282"/>
      <c r="H341" s="253"/>
      <c r="I341" s="250"/>
      <c r="J341" s="251"/>
      <c r="K341" s="252"/>
      <c r="L341" s="253"/>
      <c r="M341" s="250"/>
      <c r="N341" s="251"/>
      <c r="O341" s="252"/>
      <c r="P341" s="253"/>
      <c r="Q341" s="250"/>
      <c r="R341" s="251"/>
      <c r="S341" s="283"/>
      <c r="T341" s="283"/>
      <c r="U341" s="253"/>
      <c r="V341" s="250"/>
      <c r="W341" s="251"/>
      <c r="X341" s="283"/>
      <c r="Y341" s="253"/>
    </row>
    <row r="342" spans="1:25" x14ac:dyDescent="0.2">
      <c r="A342" s="280"/>
      <c r="B342" s="280"/>
      <c r="C342" s="251"/>
      <c r="D342" s="281"/>
      <c r="E342" s="251"/>
      <c r="F342" s="251"/>
      <c r="G342" s="282"/>
      <c r="H342" s="253"/>
      <c r="I342" s="250"/>
      <c r="J342" s="251"/>
      <c r="K342" s="252"/>
      <c r="L342" s="253"/>
      <c r="M342" s="250"/>
      <c r="N342" s="251"/>
      <c r="O342" s="252"/>
      <c r="P342" s="253"/>
      <c r="Q342" s="250"/>
      <c r="R342" s="251"/>
      <c r="S342" s="283"/>
      <c r="T342" s="283"/>
      <c r="U342" s="253"/>
      <c r="V342" s="250"/>
      <c r="W342" s="251"/>
      <c r="X342" s="283"/>
      <c r="Y342" s="253"/>
    </row>
    <row r="343" spans="1:25" x14ac:dyDescent="0.2">
      <c r="A343" s="280"/>
      <c r="B343" s="280"/>
      <c r="C343" s="251"/>
      <c r="D343" s="281"/>
      <c r="E343" s="251"/>
      <c r="F343" s="251"/>
      <c r="G343" s="282"/>
      <c r="H343" s="253"/>
      <c r="I343" s="250"/>
      <c r="J343" s="251"/>
      <c r="K343" s="252"/>
      <c r="L343" s="253"/>
      <c r="M343" s="250"/>
      <c r="N343" s="251"/>
      <c r="O343" s="252"/>
      <c r="P343" s="253"/>
      <c r="Q343" s="250"/>
      <c r="R343" s="251"/>
      <c r="S343" s="283"/>
      <c r="T343" s="283"/>
      <c r="U343" s="253"/>
      <c r="V343" s="250"/>
      <c r="W343" s="251"/>
      <c r="X343" s="283"/>
      <c r="Y343" s="253"/>
    </row>
    <row r="344" spans="1:25" x14ac:dyDescent="0.2">
      <c r="A344" s="280"/>
      <c r="B344" s="280"/>
      <c r="C344" s="251"/>
      <c r="D344" s="281"/>
      <c r="E344" s="251"/>
      <c r="F344" s="251"/>
      <c r="G344" s="282"/>
      <c r="H344" s="253"/>
      <c r="I344" s="250"/>
      <c r="J344" s="251"/>
      <c r="K344" s="252"/>
      <c r="L344" s="253"/>
      <c r="M344" s="250"/>
      <c r="N344" s="251"/>
      <c r="O344" s="252"/>
      <c r="P344" s="253"/>
      <c r="Q344" s="250"/>
      <c r="R344" s="251"/>
      <c r="S344" s="283"/>
      <c r="T344" s="283"/>
      <c r="U344" s="253"/>
      <c r="V344" s="250"/>
      <c r="W344" s="251"/>
      <c r="X344" s="283"/>
      <c r="Y344" s="253"/>
    </row>
    <row r="345" spans="1:25" x14ac:dyDescent="0.2">
      <c r="A345" s="280"/>
      <c r="B345" s="280"/>
      <c r="C345" s="251"/>
      <c r="D345" s="281"/>
      <c r="E345" s="251"/>
      <c r="F345" s="251"/>
      <c r="G345" s="282"/>
      <c r="H345" s="253"/>
      <c r="I345" s="250"/>
      <c r="J345" s="251"/>
      <c r="K345" s="252"/>
      <c r="L345" s="253"/>
      <c r="M345" s="250"/>
      <c r="N345" s="251"/>
      <c r="O345" s="252"/>
      <c r="P345" s="253"/>
      <c r="Q345" s="250"/>
      <c r="R345" s="251"/>
      <c r="S345" s="283"/>
      <c r="T345" s="283"/>
      <c r="U345" s="253"/>
      <c r="V345" s="250"/>
      <c r="W345" s="251"/>
      <c r="X345" s="283"/>
      <c r="Y345" s="253"/>
    </row>
    <row r="346" spans="1:25" x14ac:dyDescent="0.2">
      <c r="A346" s="280"/>
      <c r="B346" s="280"/>
      <c r="C346" s="251"/>
      <c r="D346" s="281"/>
      <c r="E346" s="251"/>
      <c r="F346" s="251"/>
      <c r="G346" s="282"/>
      <c r="H346" s="253"/>
      <c r="I346" s="250"/>
      <c r="J346" s="251"/>
      <c r="K346" s="252"/>
      <c r="L346" s="253"/>
      <c r="M346" s="250"/>
      <c r="N346" s="251"/>
      <c r="O346" s="252"/>
      <c r="P346" s="253"/>
      <c r="Q346" s="250"/>
      <c r="R346" s="251"/>
      <c r="S346" s="283"/>
      <c r="T346" s="283"/>
      <c r="U346" s="253"/>
      <c r="V346" s="250"/>
      <c r="W346" s="251"/>
      <c r="X346" s="283"/>
      <c r="Y346" s="253"/>
    </row>
    <row r="347" spans="1:25" x14ac:dyDescent="0.2">
      <c r="A347" s="280"/>
      <c r="B347" s="280"/>
      <c r="C347" s="251"/>
      <c r="D347" s="281"/>
      <c r="E347" s="251"/>
      <c r="F347" s="251"/>
      <c r="G347" s="282"/>
      <c r="H347" s="253"/>
      <c r="I347" s="250"/>
      <c r="J347" s="251"/>
      <c r="K347" s="252"/>
      <c r="L347" s="253"/>
      <c r="M347" s="250"/>
      <c r="N347" s="251"/>
      <c r="O347" s="252"/>
      <c r="P347" s="253"/>
      <c r="Q347" s="250"/>
      <c r="R347" s="251"/>
      <c r="S347" s="283"/>
      <c r="T347" s="283"/>
      <c r="U347" s="253"/>
      <c r="V347" s="250"/>
      <c r="W347" s="251"/>
      <c r="X347" s="283"/>
      <c r="Y347" s="253"/>
    </row>
    <row r="348" spans="1:25" x14ac:dyDescent="0.2">
      <c r="A348" s="280"/>
      <c r="B348" s="280"/>
      <c r="C348" s="251"/>
      <c r="D348" s="281"/>
      <c r="E348" s="251"/>
      <c r="F348" s="251"/>
      <c r="G348" s="282"/>
      <c r="H348" s="253"/>
      <c r="I348" s="250"/>
      <c r="J348" s="251"/>
      <c r="K348" s="252"/>
      <c r="L348" s="253"/>
      <c r="M348" s="250"/>
      <c r="N348" s="251"/>
      <c r="O348" s="252"/>
      <c r="P348" s="253"/>
      <c r="Q348" s="250"/>
      <c r="R348" s="251"/>
      <c r="S348" s="283"/>
      <c r="T348" s="283"/>
      <c r="U348" s="253"/>
      <c r="V348" s="250"/>
      <c r="W348" s="251"/>
      <c r="X348" s="283"/>
      <c r="Y348" s="253"/>
    </row>
    <row r="349" spans="1:25" x14ac:dyDescent="0.2">
      <c r="A349" s="280"/>
      <c r="B349" s="280"/>
      <c r="C349" s="251"/>
      <c r="D349" s="281"/>
      <c r="E349" s="251"/>
      <c r="F349" s="251"/>
      <c r="G349" s="282"/>
      <c r="H349" s="253"/>
      <c r="I349" s="250"/>
      <c r="J349" s="251"/>
      <c r="K349" s="252"/>
      <c r="L349" s="253"/>
      <c r="M349" s="250"/>
      <c r="N349" s="251"/>
      <c r="O349" s="252"/>
      <c r="P349" s="253"/>
      <c r="Q349" s="250"/>
      <c r="R349" s="251"/>
      <c r="S349" s="283"/>
      <c r="T349" s="283"/>
      <c r="U349" s="253"/>
      <c r="V349" s="250"/>
      <c r="W349" s="251"/>
      <c r="X349" s="283"/>
      <c r="Y349" s="253"/>
    </row>
    <row r="350" spans="1:25" x14ac:dyDescent="0.2">
      <c r="A350" s="280"/>
      <c r="B350" s="280"/>
      <c r="C350" s="251"/>
      <c r="D350" s="281"/>
      <c r="E350" s="251"/>
      <c r="F350" s="251"/>
      <c r="G350" s="282"/>
      <c r="H350" s="253"/>
      <c r="I350" s="250"/>
      <c r="J350" s="251"/>
      <c r="K350" s="252"/>
      <c r="L350" s="253"/>
      <c r="M350" s="250"/>
      <c r="N350" s="251"/>
      <c r="O350" s="252"/>
      <c r="P350" s="253"/>
      <c r="Q350" s="250"/>
      <c r="R350" s="251"/>
      <c r="S350" s="283"/>
      <c r="T350" s="283"/>
      <c r="U350" s="253"/>
      <c r="V350" s="250"/>
      <c r="W350" s="251"/>
      <c r="X350" s="283"/>
      <c r="Y350" s="253"/>
    </row>
    <row r="351" spans="1:25" x14ac:dyDescent="0.2">
      <c r="A351" s="280"/>
      <c r="B351" s="280"/>
      <c r="C351" s="251"/>
      <c r="D351" s="281"/>
      <c r="E351" s="251"/>
      <c r="F351" s="251"/>
      <c r="G351" s="282"/>
      <c r="H351" s="253"/>
      <c r="I351" s="250"/>
      <c r="J351" s="251"/>
      <c r="K351" s="252"/>
      <c r="L351" s="253"/>
      <c r="M351" s="250"/>
      <c r="N351" s="251"/>
      <c r="O351" s="252"/>
      <c r="P351" s="253"/>
      <c r="Q351" s="250"/>
      <c r="R351" s="251"/>
      <c r="S351" s="283"/>
      <c r="T351" s="283"/>
      <c r="U351" s="253"/>
      <c r="V351" s="250"/>
      <c r="W351" s="251"/>
      <c r="X351" s="283"/>
      <c r="Y351" s="253"/>
    </row>
    <row r="352" spans="1:25" x14ac:dyDescent="0.2">
      <c r="A352" s="280"/>
      <c r="B352" s="280"/>
      <c r="C352" s="251"/>
      <c r="D352" s="281"/>
      <c r="E352" s="251"/>
      <c r="F352" s="251"/>
      <c r="G352" s="282"/>
      <c r="H352" s="253"/>
      <c r="I352" s="250"/>
      <c r="J352" s="251"/>
      <c r="K352" s="252"/>
      <c r="L352" s="253"/>
      <c r="M352" s="250"/>
      <c r="N352" s="251"/>
      <c r="O352" s="252"/>
      <c r="P352" s="253"/>
      <c r="Q352" s="250"/>
      <c r="R352" s="251"/>
      <c r="S352" s="283"/>
      <c r="T352" s="283"/>
      <c r="U352" s="253"/>
      <c r="V352" s="250"/>
      <c r="W352" s="251"/>
      <c r="X352" s="283"/>
      <c r="Y352" s="253"/>
    </row>
    <row r="353" spans="1:25" x14ac:dyDescent="0.2">
      <c r="A353" s="280"/>
      <c r="B353" s="280"/>
      <c r="C353" s="251"/>
      <c r="D353" s="281"/>
      <c r="E353" s="251"/>
      <c r="F353" s="251"/>
      <c r="G353" s="282"/>
      <c r="H353" s="253"/>
      <c r="I353" s="250"/>
      <c r="J353" s="251"/>
      <c r="K353" s="252"/>
      <c r="L353" s="253"/>
      <c r="M353" s="250"/>
      <c r="N353" s="251"/>
      <c r="O353" s="252"/>
      <c r="P353" s="253"/>
      <c r="Q353" s="250"/>
      <c r="R353" s="251"/>
      <c r="S353" s="283"/>
      <c r="T353" s="283"/>
      <c r="U353" s="253"/>
      <c r="V353" s="250"/>
      <c r="W353" s="251"/>
      <c r="X353" s="283"/>
      <c r="Y353" s="253"/>
    </row>
    <row r="354" spans="1:25" x14ac:dyDescent="0.2">
      <c r="A354" s="280"/>
      <c r="B354" s="280"/>
      <c r="C354" s="251"/>
      <c r="D354" s="281"/>
      <c r="E354" s="251"/>
      <c r="F354" s="251"/>
      <c r="G354" s="282"/>
      <c r="H354" s="253"/>
      <c r="I354" s="250"/>
      <c r="J354" s="251"/>
      <c r="K354" s="252"/>
      <c r="L354" s="253"/>
      <c r="M354" s="250"/>
      <c r="N354" s="251"/>
      <c r="O354" s="252"/>
      <c r="P354" s="253"/>
      <c r="Q354" s="250"/>
      <c r="R354" s="251"/>
      <c r="S354" s="283"/>
      <c r="T354" s="283"/>
      <c r="U354" s="253"/>
      <c r="V354" s="250"/>
      <c r="W354" s="251"/>
      <c r="X354" s="283"/>
      <c r="Y354" s="253"/>
    </row>
    <row r="355" spans="1:25" x14ac:dyDescent="0.2">
      <c r="A355" s="280"/>
      <c r="B355" s="280"/>
      <c r="C355" s="251"/>
      <c r="D355" s="281"/>
      <c r="E355" s="251"/>
      <c r="F355" s="251"/>
      <c r="G355" s="282"/>
      <c r="H355" s="253"/>
      <c r="I355" s="250"/>
      <c r="J355" s="251"/>
      <c r="K355" s="252"/>
      <c r="L355" s="253"/>
      <c r="M355" s="250"/>
      <c r="N355" s="251"/>
      <c r="O355" s="252"/>
      <c r="P355" s="253"/>
      <c r="Q355" s="250"/>
      <c r="R355" s="251"/>
      <c r="S355" s="283"/>
      <c r="T355" s="283"/>
      <c r="U355" s="253"/>
      <c r="V355" s="250"/>
      <c r="W355" s="251"/>
      <c r="X355" s="283"/>
      <c r="Y355" s="253"/>
    </row>
    <row r="356" spans="1:25" x14ac:dyDescent="0.2">
      <c r="A356" s="280"/>
      <c r="B356" s="280"/>
      <c r="C356" s="251"/>
      <c r="D356" s="281"/>
      <c r="E356" s="251"/>
      <c r="F356" s="251"/>
      <c r="G356" s="282"/>
      <c r="H356" s="253"/>
      <c r="I356" s="250"/>
      <c r="J356" s="251"/>
      <c r="K356" s="252"/>
      <c r="L356" s="253"/>
      <c r="M356" s="250"/>
      <c r="N356" s="251"/>
      <c r="O356" s="252"/>
      <c r="P356" s="253"/>
      <c r="Q356" s="250"/>
      <c r="R356" s="251"/>
      <c r="S356" s="283"/>
      <c r="T356" s="283"/>
      <c r="U356" s="253"/>
      <c r="V356" s="250"/>
      <c r="W356" s="251"/>
      <c r="X356" s="283"/>
      <c r="Y356" s="253"/>
    </row>
    <row r="357" spans="1:25" x14ac:dyDescent="0.2">
      <c r="A357" s="280"/>
      <c r="B357" s="280"/>
      <c r="C357" s="251"/>
      <c r="D357" s="281"/>
      <c r="E357" s="251"/>
      <c r="F357" s="251"/>
      <c r="G357" s="282"/>
      <c r="H357" s="253"/>
      <c r="I357" s="250"/>
      <c r="J357" s="251"/>
      <c r="K357" s="252"/>
      <c r="L357" s="253"/>
      <c r="M357" s="250"/>
      <c r="N357" s="251"/>
      <c r="O357" s="252"/>
      <c r="P357" s="253"/>
      <c r="Q357" s="250"/>
      <c r="R357" s="251"/>
      <c r="S357" s="283"/>
      <c r="T357" s="283"/>
      <c r="U357" s="253"/>
      <c r="V357" s="250"/>
      <c r="W357" s="251"/>
      <c r="X357" s="283"/>
      <c r="Y357" s="253"/>
    </row>
    <row r="358" spans="1:25" x14ac:dyDescent="0.2">
      <c r="A358" s="280"/>
      <c r="B358" s="280"/>
      <c r="C358" s="251"/>
      <c r="D358" s="281"/>
      <c r="E358" s="251"/>
      <c r="F358" s="251"/>
      <c r="G358" s="282"/>
      <c r="H358" s="253"/>
      <c r="I358" s="250"/>
      <c r="J358" s="251"/>
      <c r="K358" s="252"/>
      <c r="L358" s="253"/>
      <c r="M358" s="250"/>
      <c r="N358" s="251"/>
      <c r="O358" s="252"/>
      <c r="P358" s="253"/>
      <c r="Q358" s="250"/>
      <c r="R358" s="251"/>
      <c r="S358" s="283"/>
      <c r="T358" s="283"/>
      <c r="U358" s="253"/>
      <c r="V358" s="250"/>
      <c r="W358" s="251"/>
      <c r="X358" s="283"/>
      <c r="Y358" s="253"/>
    </row>
    <row r="359" spans="1:25" x14ac:dyDescent="0.2">
      <c r="A359" s="280"/>
      <c r="B359" s="280"/>
      <c r="C359" s="251"/>
      <c r="D359" s="281"/>
      <c r="E359" s="251"/>
      <c r="F359" s="251"/>
      <c r="G359" s="282"/>
      <c r="H359" s="253"/>
      <c r="I359" s="250"/>
      <c r="J359" s="251"/>
      <c r="K359" s="252"/>
      <c r="L359" s="253"/>
      <c r="M359" s="250"/>
      <c r="N359" s="251"/>
      <c r="O359" s="252"/>
      <c r="P359" s="253"/>
      <c r="Q359" s="250"/>
      <c r="R359" s="251"/>
      <c r="S359" s="283"/>
      <c r="T359" s="283"/>
      <c r="U359" s="253"/>
      <c r="V359" s="250"/>
      <c r="W359" s="251"/>
      <c r="X359" s="283"/>
      <c r="Y359" s="253"/>
    </row>
    <row r="360" spans="1:25" x14ac:dyDescent="0.2">
      <c r="A360" s="280"/>
      <c r="B360" s="280"/>
      <c r="C360" s="251"/>
      <c r="D360" s="281"/>
      <c r="E360" s="251"/>
      <c r="F360" s="251"/>
      <c r="G360" s="282"/>
      <c r="H360" s="253"/>
      <c r="I360" s="250"/>
      <c r="J360" s="251"/>
      <c r="K360" s="252"/>
      <c r="L360" s="253"/>
      <c r="M360" s="250"/>
      <c r="N360" s="251"/>
      <c r="O360" s="252"/>
      <c r="P360" s="253"/>
      <c r="Q360" s="250"/>
      <c r="R360" s="251"/>
      <c r="S360" s="283"/>
      <c r="T360" s="283"/>
      <c r="U360" s="253"/>
      <c r="V360" s="250"/>
      <c r="W360" s="251"/>
      <c r="X360" s="283"/>
      <c r="Y360" s="253"/>
    </row>
    <row r="361" spans="1:25" x14ac:dyDescent="0.2">
      <c r="A361" s="280"/>
      <c r="B361" s="280"/>
      <c r="C361" s="251"/>
      <c r="D361" s="281"/>
      <c r="E361" s="251"/>
      <c r="F361" s="251"/>
      <c r="G361" s="282"/>
      <c r="H361" s="253"/>
      <c r="I361" s="250"/>
      <c r="J361" s="251"/>
      <c r="K361" s="252"/>
      <c r="L361" s="253"/>
      <c r="M361" s="250"/>
      <c r="N361" s="251"/>
      <c r="O361" s="252"/>
      <c r="P361" s="253"/>
      <c r="Q361" s="250"/>
      <c r="R361" s="251"/>
      <c r="S361" s="283"/>
      <c r="T361" s="283"/>
      <c r="U361" s="253"/>
      <c r="V361" s="250"/>
      <c r="W361" s="251"/>
      <c r="X361" s="283"/>
      <c r="Y361" s="253"/>
    </row>
    <row r="362" spans="1:25" x14ac:dyDescent="0.2">
      <c r="A362" s="280"/>
      <c r="B362" s="280"/>
      <c r="C362" s="251"/>
      <c r="D362" s="281"/>
      <c r="E362" s="251"/>
      <c r="F362" s="251"/>
      <c r="G362" s="282"/>
      <c r="H362" s="253"/>
      <c r="I362" s="250"/>
      <c r="J362" s="251"/>
      <c r="K362" s="252"/>
      <c r="L362" s="253"/>
      <c r="M362" s="250"/>
      <c r="N362" s="251"/>
      <c r="O362" s="252"/>
      <c r="P362" s="253"/>
      <c r="Q362" s="250"/>
      <c r="R362" s="251"/>
      <c r="S362" s="283"/>
      <c r="T362" s="283"/>
      <c r="U362" s="253"/>
      <c r="V362" s="250"/>
      <c r="W362" s="251"/>
      <c r="X362" s="283"/>
      <c r="Y362" s="253"/>
    </row>
    <row r="363" spans="1:25" x14ac:dyDescent="0.2">
      <c r="A363" s="280"/>
      <c r="B363" s="280"/>
      <c r="C363" s="251"/>
      <c r="D363" s="281"/>
      <c r="E363" s="251"/>
      <c r="F363" s="251"/>
      <c r="G363" s="282"/>
      <c r="H363" s="253"/>
      <c r="I363" s="250"/>
      <c r="J363" s="251"/>
      <c r="K363" s="252"/>
      <c r="L363" s="253"/>
      <c r="M363" s="250"/>
      <c r="N363" s="251"/>
      <c r="O363" s="252"/>
      <c r="P363" s="253"/>
      <c r="Q363" s="250"/>
      <c r="R363" s="251"/>
      <c r="S363" s="283"/>
      <c r="T363" s="283"/>
      <c r="U363" s="253"/>
      <c r="V363" s="250"/>
      <c r="W363" s="251"/>
      <c r="X363" s="283"/>
      <c r="Y363" s="253"/>
    </row>
    <row r="364" spans="1:25" x14ac:dyDescent="0.2">
      <c r="A364" s="280"/>
      <c r="B364" s="280"/>
      <c r="C364" s="251"/>
      <c r="D364" s="281"/>
      <c r="E364" s="251"/>
      <c r="F364" s="251"/>
      <c r="G364" s="282"/>
      <c r="H364" s="253"/>
      <c r="I364" s="250"/>
      <c r="J364" s="251"/>
      <c r="K364" s="252"/>
      <c r="L364" s="253"/>
      <c r="M364" s="250"/>
      <c r="N364" s="251"/>
      <c r="O364" s="252"/>
      <c r="P364" s="253"/>
      <c r="Q364" s="250"/>
      <c r="R364" s="251"/>
      <c r="S364" s="283"/>
      <c r="T364" s="283"/>
      <c r="U364" s="253"/>
      <c r="V364" s="250"/>
      <c r="W364" s="251"/>
      <c r="X364" s="283"/>
      <c r="Y364" s="253"/>
    </row>
    <row r="365" spans="1:25" x14ac:dyDescent="0.2">
      <c r="A365" s="280"/>
      <c r="B365" s="280"/>
      <c r="C365" s="251"/>
      <c r="D365" s="281"/>
      <c r="E365" s="251"/>
      <c r="F365" s="251"/>
      <c r="G365" s="282"/>
      <c r="H365" s="253"/>
      <c r="I365" s="250"/>
      <c r="J365" s="251"/>
      <c r="K365" s="252"/>
      <c r="L365" s="253"/>
      <c r="M365" s="250"/>
      <c r="N365" s="251"/>
      <c r="O365" s="252"/>
      <c r="P365" s="253"/>
      <c r="Q365" s="250"/>
      <c r="R365" s="251"/>
      <c r="S365" s="283"/>
      <c r="T365" s="283"/>
      <c r="U365" s="253"/>
      <c r="V365" s="250"/>
      <c r="W365" s="251"/>
      <c r="X365" s="283"/>
      <c r="Y365" s="253"/>
    </row>
    <row r="366" spans="1:25" x14ac:dyDescent="0.2">
      <c r="A366" s="280"/>
      <c r="B366" s="280"/>
      <c r="C366" s="251"/>
      <c r="D366" s="281"/>
      <c r="E366" s="251"/>
      <c r="F366" s="251"/>
      <c r="G366" s="282"/>
      <c r="H366" s="253"/>
      <c r="I366" s="250"/>
      <c r="J366" s="251"/>
      <c r="K366" s="252"/>
      <c r="L366" s="253"/>
      <c r="M366" s="250"/>
      <c r="N366" s="251"/>
      <c r="O366" s="252"/>
      <c r="P366" s="253"/>
      <c r="Q366" s="250"/>
      <c r="R366" s="251"/>
      <c r="S366" s="283"/>
      <c r="T366" s="283"/>
      <c r="U366" s="253"/>
      <c r="V366" s="250"/>
      <c r="W366" s="251"/>
      <c r="X366" s="283"/>
      <c r="Y366" s="253"/>
    </row>
    <row r="367" spans="1:25" x14ac:dyDescent="0.2">
      <c r="A367" s="280"/>
      <c r="B367" s="280"/>
      <c r="C367" s="251"/>
      <c r="D367" s="281"/>
      <c r="E367" s="251"/>
      <c r="F367" s="251"/>
      <c r="G367" s="282"/>
      <c r="H367" s="253"/>
      <c r="I367" s="250"/>
      <c r="J367" s="251"/>
      <c r="K367" s="252"/>
      <c r="L367" s="253"/>
      <c r="M367" s="250"/>
      <c r="N367" s="251"/>
      <c r="O367" s="252"/>
      <c r="P367" s="253"/>
      <c r="Q367" s="250"/>
      <c r="R367" s="251"/>
      <c r="S367" s="283"/>
      <c r="T367" s="283"/>
      <c r="U367" s="253"/>
      <c r="V367" s="250"/>
      <c r="W367" s="251"/>
      <c r="X367" s="283"/>
      <c r="Y367" s="253"/>
    </row>
    <row r="368" spans="1:25" x14ac:dyDescent="0.2">
      <c r="A368" s="280"/>
      <c r="B368" s="280"/>
      <c r="C368" s="251"/>
      <c r="D368" s="281"/>
      <c r="E368" s="251"/>
      <c r="F368" s="251"/>
      <c r="G368" s="282"/>
      <c r="H368" s="253"/>
      <c r="I368" s="250"/>
      <c r="J368" s="251"/>
      <c r="K368" s="252"/>
      <c r="L368" s="253"/>
      <c r="M368" s="250"/>
      <c r="N368" s="251"/>
      <c r="O368" s="252"/>
      <c r="P368" s="253"/>
      <c r="Q368" s="250"/>
      <c r="R368" s="251"/>
      <c r="S368" s="283"/>
      <c r="T368" s="283"/>
      <c r="U368" s="253"/>
      <c r="V368" s="250"/>
      <c r="W368" s="251"/>
      <c r="X368" s="283"/>
      <c r="Y368" s="253"/>
    </row>
    <row r="369" spans="1:25" x14ac:dyDescent="0.2">
      <c r="A369" s="280"/>
      <c r="B369" s="280"/>
      <c r="C369" s="251"/>
      <c r="D369" s="281"/>
      <c r="E369" s="251"/>
      <c r="F369" s="251"/>
      <c r="G369" s="282"/>
      <c r="H369" s="253"/>
      <c r="I369" s="250"/>
      <c r="J369" s="251"/>
      <c r="K369" s="252"/>
      <c r="L369" s="253"/>
      <c r="M369" s="250"/>
      <c r="N369" s="251"/>
      <c r="O369" s="252"/>
      <c r="P369" s="253"/>
      <c r="Q369" s="250"/>
      <c r="R369" s="251"/>
      <c r="S369" s="283"/>
      <c r="T369" s="283"/>
      <c r="U369" s="253"/>
      <c r="V369" s="250"/>
      <c r="W369" s="251"/>
      <c r="X369" s="283"/>
      <c r="Y369" s="253"/>
    </row>
    <row r="370" spans="1:25" x14ac:dyDescent="0.2">
      <c r="A370" s="280"/>
      <c r="B370" s="280"/>
      <c r="C370" s="251"/>
      <c r="D370" s="281"/>
      <c r="E370" s="251"/>
      <c r="F370" s="251"/>
      <c r="G370" s="282"/>
      <c r="H370" s="253"/>
      <c r="I370" s="250"/>
      <c r="J370" s="251"/>
      <c r="K370" s="252"/>
      <c r="L370" s="253"/>
      <c r="M370" s="250"/>
      <c r="N370" s="251"/>
      <c r="O370" s="252"/>
      <c r="P370" s="253"/>
      <c r="Q370" s="250"/>
      <c r="R370" s="251"/>
      <c r="S370" s="283"/>
      <c r="T370" s="283"/>
      <c r="U370" s="253"/>
      <c r="V370" s="250"/>
      <c r="W370" s="251"/>
      <c r="X370" s="283"/>
      <c r="Y370" s="253"/>
    </row>
    <row r="371" spans="1:25" x14ac:dyDescent="0.2">
      <c r="A371" s="280"/>
      <c r="B371" s="280"/>
      <c r="C371" s="251"/>
      <c r="D371" s="281"/>
      <c r="E371" s="251"/>
      <c r="F371" s="251"/>
      <c r="G371" s="282"/>
      <c r="H371" s="253"/>
      <c r="I371" s="250"/>
      <c r="J371" s="251"/>
      <c r="K371" s="252"/>
      <c r="L371" s="253"/>
      <c r="M371" s="250"/>
      <c r="N371" s="251"/>
      <c r="O371" s="252"/>
      <c r="P371" s="253"/>
      <c r="Q371" s="250"/>
      <c r="R371" s="251"/>
      <c r="S371" s="283"/>
      <c r="T371" s="283"/>
      <c r="U371" s="253"/>
      <c r="V371" s="250"/>
      <c r="W371" s="251"/>
      <c r="X371" s="283"/>
      <c r="Y371" s="253"/>
    </row>
    <row r="372" spans="1:25" x14ac:dyDescent="0.2">
      <c r="A372" s="280"/>
      <c r="B372" s="280"/>
      <c r="C372" s="251"/>
      <c r="D372" s="281"/>
      <c r="E372" s="251"/>
      <c r="F372" s="251"/>
      <c r="G372" s="282"/>
      <c r="H372" s="253"/>
      <c r="I372" s="250"/>
      <c r="J372" s="251"/>
      <c r="K372" s="252"/>
      <c r="L372" s="253"/>
      <c r="M372" s="250"/>
      <c r="N372" s="251"/>
      <c r="O372" s="252"/>
      <c r="P372" s="253"/>
      <c r="Q372" s="250"/>
      <c r="R372" s="251"/>
      <c r="S372" s="283"/>
      <c r="T372" s="283"/>
      <c r="U372" s="253"/>
      <c r="V372" s="250"/>
      <c r="W372" s="251"/>
      <c r="X372" s="283"/>
      <c r="Y372" s="253"/>
    </row>
    <row r="373" spans="1:25" x14ac:dyDescent="0.2">
      <c r="A373" s="280"/>
      <c r="B373" s="280"/>
      <c r="C373" s="251"/>
      <c r="D373" s="281"/>
      <c r="E373" s="251"/>
      <c r="F373" s="251"/>
      <c r="G373" s="282"/>
      <c r="H373" s="253"/>
      <c r="I373" s="250"/>
      <c r="J373" s="251"/>
      <c r="K373" s="252"/>
      <c r="L373" s="253"/>
      <c r="M373" s="250"/>
      <c r="N373" s="251"/>
      <c r="O373" s="252"/>
      <c r="P373" s="253"/>
      <c r="Q373" s="250"/>
      <c r="R373" s="251"/>
      <c r="S373" s="283"/>
      <c r="T373" s="283"/>
      <c r="U373" s="253"/>
      <c r="V373" s="250"/>
      <c r="W373" s="251"/>
      <c r="X373" s="283"/>
      <c r="Y373" s="253"/>
    </row>
    <row r="374" spans="1:25" x14ac:dyDescent="0.2">
      <c r="A374" s="280"/>
      <c r="B374" s="280"/>
      <c r="C374" s="251"/>
      <c r="D374" s="281"/>
      <c r="E374" s="251"/>
      <c r="F374" s="251"/>
      <c r="G374" s="282"/>
      <c r="H374" s="253"/>
      <c r="I374" s="250"/>
      <c r="J374" s="251"/>
      <c r="K374" s="252"/>
      <c r="L374" s="253"/>
      <c r="M374" s="250"/>
      <c r="N374" s="251"/>
      <c r="O374" s="252"/>
      <c r="P374" s="253"/>
      <c r="Q374" s="250"/>
      <c r="R374" s="251"/>
      <c r="S374" s="283"/>
      <c r="T374" s="283"/>
      <c r="U374" s="253"/>
      <c r="V374" s="250"/>
      <c r="W374" s="251"/>
      <c r="X374" s="283"/>
      <c r="Y374" s="253"/>
    </row>
    <row r="375" spans="1:25" x14ac:dyDescent="0.2">
      <c r="A375" s="280"/>
      <c r="B375" s="280"/>
      <c r="C375" s="251"/>
      <c r="D375" s="281"/>
      <c r="E375" s="251"/>
      <c r="F375" s="251"/>
      <c r="G375" s="282"/>
      <c r="H375" s="253"/>
      <c r="I375" s="250"/>
      <c r="J375" s="251"/>
      <c r="K375" s="252"/>
      <c r="L375" s="253"/>
      <c r="M375" s="250"/>
      <c r="N375" s="251"/>
      <c r="O375" s="252"/>
      <c r="P375" s="253"/>
      <c r="Q375" s="250"/>
      <c r="R375" s="251"/>
      <c r="S375" s="283"/>
      <c r="T375" s="283"/>
      <c r="U375" s="253"/>
      <c r="V375" s="250"/>
      <c r="W375" s="251"/>
      <c r="X375" s="283"/>
      <c r="Y375" s="253"/>
    </row>
    <row r="376" spans="1:25" x14ac:dyDescent="0.2">
      <c r="A376" s="280"/>
      <c r="B376" s="280"/>
      <c r="C376" s="251"/>
      <c r="D376" s="281"/>
      <c r="E376" s="251"/>
      <c r="F376" s="251"/>
      <c r="G376" s="282"/>
      <c r="H376" s="253"/>
      <c r="I376" s="250"/>
      <c r="J376" s="251"/>
      <c r="K376" s="252"/>
      <c r="L376" s="253"/>
      <c r="M376" s="250"/>
      <c r="N376" s="251"/>
      <c r="O376" s="252"/>
      <c r="P376" s="253"/>
      <c r="Q376" s="250"/>
      <c r="R376" s="251"/>
      <c r="S376" s="283"/>
      <c r="T376" s="283"/>
      <c r="U376" s="253"/>
      <c r="V376" s="250"/>
      <c r="W376" s="251"/>
      <c r="X376" s="283"/>
      <c r="Y376" s="253"/>
    </row>
    <row r="377" spans="1:25" x14ac:dyDescent="0.2">
      <c r="A377" s="280"/>
      <c r="B377" s="280"/>
      <c r="C377" s="251"/>
      <c r="D377" s="281"/>
      <c r="E377" s="251"/>
      <c r="F377" s="251"/>
      <c r="G377" s="282"/>
      <c r="H377" s="253"/>
      <c r="I377" s="250"/>
      <c r="J377" s="251"/>
      <c r="K377" s="252"/>
      <c r="L377" s="253"/>
      <c r="M377" s="250"/>
      <c r="N377" s="251"/>
      <c r="O377" s="252"/>
      <c r="P377" s="253"/>
      <c r="Q377" s="250"/>
      <c r="R377" s="251"/>
      <c r="S377" s="283"/>
      <c r="T377" s="283"/>
      <c r="U377" s="253"/>
      <c r="V377" s="250"/>
      <c r="W377" s="251"/>
      <c r="X377" s="283"/>
      <c r="Y377" s="253"/>
    </row>
    <row r="378" spans="1:25" x14ac:dyDescent="0.2">
      <c r="A378" s="280"/>
      <c r="B378" s="280"/>
      <c r="C378" s="251"/>
      <c r="D378" s="281"/>
      <c r="E378" s="251"/>
      <c r="F378" s="251"/>
      <c r="G378" s="282"/>
      <c r="H378" s="253"/>
      <c r="I378" s="250"/>
      <c r="J378" s="251"/>
      <c r="K378" s="252"/>
      <c r="L378" s="253"/>
      <c r="M378" s="250"/>
      <c r="N378" s="251"/>
      <c r="O378" s="252"/>
      <c r="P378" s="253"/>
      <c r="Q378" s="250"/>
      <c r="R378" s="251"/>
      <c r="S378" s="283"/>
      <c r="T378" s="283"/>
      <c r="U378" s="253"/>
      <c r="V378" s="250"/>
      <c r="W378" s="251"/>
      <c r="X378" s="283"/>
      <c r="Y378" s="253"/>
    </row>
    <row r="379" spans="1:25" x14ac:dyDescent="0.2">
      <c r="A379" s="280"/>
      <c r="B379" s="280"/>
      <c r="C379" s="251"/>
      <c r="D379" s="281"/>
      <c r="E379" s="251"/>
      <c r="F379" s="251"/>
      <c r="G379" s="282"/>
      <c r="H379" s="253"/>
      <c r="I379" s="250"/>
      <c r="J379" s="251"/>
      <c r="K379" s="252"/>
      <c r="L379" s="253"/>
      <c r="M379" s="250"/>
      <c r="N379" s="251"/>
      <c r="O379" s="252"/>
      <c r="P379" s="253"/>
      <c r="Q379" s="250"/>
      <c r="R379" s="251"/>
      <c r="S379" s="283"/>
      <c r="T379" s="283"/>
      <c r="U379" s="253"/>
      <c r="V379" s="250"/>
      <c r="W379" s="251"/>
      <c r="X379" s="283"/>
      <c r="Y379" s="253"/>
    </row>
    <row r="380" spans="1:25" x14ac:dyDescent="0.2">
      <c r="A380" s="280"/>
      <c r="B380" s="280"/>
      <c r="C380" s="251"/>
      <c r="D380" s="281"/>
      <c r="E380" s="251"/>
      <c r="F380" s="251"/>
      <c r="G380" s="282"/>
      <c r="H380" s="253"/>
      <c r="I380" s="250"/>
      <c r="J380" s="251"/>
      <c r="K380" s="252"/>
      <c r="L380" s="253"/>
      <c r="M380" s="250"/>
      <c r="N380" s="251"/>
      <c r="O380" s="252"/>
      <c r="P380" s="253"/>
      <c r="Q380" s="250"/>
      <c r="R380" s="251"/>
      <c r="S380" s="283"/>
      <c r="T380" s="283"/>
      <c r="U380" s="253"/>
      <c r="V380" s="250"/>
      <c r="W380" s="251"/>
      <c r="X380" s="283"/>
      <c r="Y380" s="253"/>
    </row>
    <row r="381" spans="1:25" x14ac:dyDescent="0.2">
      <c r="A381" s="280"/>
      <c r="B381" s="280"/>
      <c r="C381" s="251"/>
      <c r="D381" s="281"/>
      <c r="E381" s="251"/>
      <c r="F381" s="251"/>
      <c r="G381" s="282"/>
      <c r="H381" s="253"/>
      <c r="I381" s="250"/>
      <c r="J381" s="251"/>
      <c r="K381" s="252"/>
      <c r="L381" s="253"/>
      <c r="M381" s="250"/>
      <c r="N381" s="251"/>
      <c r="O381" s="252"/>
      <c r="P381" s="253"/>
      <c r="Q381" s="250"/>
      <c r="R381" s="251"/>
      <c r="S381" s="283"/>
      <c r="T381" s="283"/>
      <c r="U381" s="253"/>
      <c r="V381" s="250"/>
      <c r="W381" s="251"/>
      <c r="X381" s="283"/>
      <c r="Y381" s="253"/>
    </row>
    <row r="382" spans="1:25" x14ac:dyDescent="0.2">
      <c r="A382" s="280"/>
      <c r="B382" s="280"/>
      <c r="C382" s="251"/>
      <c r="D382" s="281"/>
      <c r="E382" s="251"/>
      <c r="F382" s="251"/>
      <c r="G382" s="282"/>
      <c r="H382" s="253"/>
      <c r="I382" s="250"/>
      <c r="J382" s="251"/>
      <c r="K382" s="252"/>
      <c r="L382" s="253"/>
      <c r="M382" s="250"/>
      <c r="N382" s="251"/>
      <c r="O382" s="252"/>
      <c r="P382" s="253"/>
      <c r="Q382" s="250"/>
      <c r="R382" s="251"/>
      <c r="S382" s="283"/>
      <c r="T382" s="283"/>
      <c r="U382" s="253"/>
      <c r="V382" s="250"/>
      <c r="W382" s="251"/>
      <c r="X382" s="283"/>
      <c r="Y382" s="253"/>
    </row>
    <row r="383" spans="1:25" x14ac:dyDescent="0.2">
      <c r="A383" s="280"/>
      <c r="B383" s="280"/>
      <c r="C383" s="251"/>
      <c r="D383" s="281"/>
      <c r="E383" s="251"/>
      <c r="F383" s="251"/>
      <c r="G383" s="282"/>
      <c r="H383" s="253"/>
      <c r="I383" s="250"/>
      <c r="J383" s="251"/>
      <c r="K383" s="252"/>
      <c r="L383" s="253"/>
      <c r="M383" s="250"/>
      <c r="N383" s="251"/>
      <c r="O383" s="252"/>
      <c r="P383" s="253"/>
      <c r="Q383" s="250"/>
      <c r="R383" s="251"/>
      <c r="S383" s="283"/>
      <c r="T383" s="283"/>
      <c r="U383" s="253"/>
      <c r="V383" s="250"/>
      <c r="W383" s="251"/>
      <c r="X383" s="283"/>
      <c r="Y383" s="253"/>
    </row>
    <row r="384" spans="1:25" x14ac:dyDescent="0.2">
      <c r="A384" s="280"/>
      <c r="B384" s="280"/>
      <c r="C384" s="251"/>
      <c r="D384" s="281"/>
      <c r="E384" s="251"/>
      <c r="F384" s="251"/>
      <c r="G384" s="282"/>
      <c r="H384" s="253"/>
      <c r="I384" s="250"/>
      <c r="J384" s="251"/>
      <c r="K384" s="252"/>
      <c r="L384" s="253"/>
      <c r="M384" s="250"/>
      <c r="N384" s="251"/>
      <c r="O384" s="252"/>
      <c r="P384" s="253"/>
      <c r="Q384" s="250"/>
      <c r="R384" s="251"/>
      <c r="S384" s="283"/>
      <c r="T384" s="283"/>
      <c r="U384" s="253"/>
      <c r="V384" s="250"/>
      <c r="W384" s="251"/>
      <c r="X384" s="283"/>
      <c r="Y384" s="253"/>
    </row>
    <row r="385" spans="1:25" x14ac:dyDescent="0.2">
      <c r="A385" s="280"/>
      <c r="B385" s="280"/>
      <c r="C385" s="251"/>
      <c r="D385" s="281"/>
      <c r="E385" s="251"/>
      <c r="F385" s="251"/>
      <c r="G385" s="282"/>
      <c r="H385" s="253"/>
      <c r="I385" s="250"/>
      <c r="J385" s="251"/>
      <c r="K385" s="252"/>
      <c r="L385" s="253"/>
      <c r="M385" s="250"/>
      <c r="N385" s="251"/>
      <c r="O385" s="252"/>
      <c r="P385" s="253"/>
      <c r="Q385" s="250"/>
      <c r="R385" s="251"/>
      <c r="S385" s="283"/>
      <c r="T385" s="283"/>
      <c r="U385" s="253"/>
      <c r="V385" s="250"/>
      <c r="W385" s="251"/>
      <c r="X385" s="283"/>
      <c r="Y385" s="253"/>
    </row>
    <row r="386" spans="1:25" x14ac:dyDescent="0.2">
      <c r="A386" s="280"/>
      <c r="B386" s="280"/>
      <c r="C386" s="251"/>
      <c r="D386" s="281"/>
      <c r="E386" s="251"/>
      <c r="F386" s="251"/>
      <c r="G386" s="282"/>
      <c r="H386" s="253"/>
      <c r="I386" s="250"/>
      <c r="J386" s="251"/>
      <c r="K386" s="252"/>
      <c r="L386" s="253"/>
      <c r="M386" s="250"/>
      <c r="N386" s="251"/>
      <c r="O386" s="252"/>
      <c r="P386" s="253"/>
      <c r="Q386" s="250"/>
      <c r="R386" s="251"/>
      <c r="S386" s="283"/>
      <c r="T386" s="283"/>
      <c r="U386" s="253"/>
      <c r="V386" s="250"/>
      <c r="W386" s="251"/>
      <c r="X386" s="283"/>
      <c r="Y386" s="253"/>
    </row>
    <row r="387" spans="1:25" x14ac:dyDescent="0.2">
      <c r="A387" s="280"/>
      <c r="B387" s="280"/>
      <c r="C387" s="251"/>
      <c r="D387" s="281"/>
      <c r="E387" s="251"/>
      <c r="F387" s="251"/>
      <c r="G387" s="282"/>
      <c r="H387" s="253"/>
      <c r="I387" s="250"/>
      <c r="J387" s="251"/>
      <c r="K387" s="252"/>
      <c r="L387" s="253"/>
      <c r="M387" s="250"/>
      <c r="N387" s="251"/>
      <c r="O387" s="252"/>
      <c r="P387" s="253"/>
      <c r="Q387" s="250"/>
      <c r="R387" s="251"/>
      <c r="S387" s="283"/>
      <c r="T387" s="283"/>
      <c r="U387" s="253"/>
      <c r="V387" s="250"/>
      <c r="W387" s="251"/>
      <c r="X387" s="283"/>
      <c r="Y387" s="253"/>
    </row>
    <row r="388" spans="1:25" x14ac:dyDescent="0.2">
      <c r="A388" s="280"/>
      <c r="B388" s="280"/>
      <c r="C388" s="251"/>
      <c r="D388" s="281"/>
      <c r="E388" s="251"/>
      <c r="F388" s="251"/>
      <c r="G388" s="282"/>
      <c r="H388" s="253"/>
      <c r="I388" s="250"/>
      <c r="J388" s="251"/>
      <c r="K388" s="252"/>
      <c r="L388" s="253"/>
      <c r="M388" s="250"/>
      <c r="N388" s="251"/>
      <c r="O388" s="252"/>
      <c r="P388" s="253"/>
      <c r="Q388" s="250"/>
      <c r="R388" s="251"/>
      <c r="S388" s="283"/>
      <c r="T388" s="283"/>
      <c r="U388" s="253"/>
      <c r="V388" s="250"/>
      <c r="W388" s="251"/>
      <c r="X388" s="283"/>
      <c r="Y388" s="253"/>
    </row>
    <row r="389" spans="1:25" x14ac:dyDescent="0.2">
      <c r="A389" s="280"/>
      <c r="B389" s="280"/>
      <c r="C389" s="251"/>
      <c r="D389" s="281"/>
      <c r="E389" s="251"/>
      <c r="F389" s="251"/>
      <c r="G389" s="282"/>
      <c r="H389" s="253"/>
      <c r="I389" s="250"/>
      <c r="J389" s="251"/>
      <c r="K389" s="252"/>
      <c r="L389" s="253"/>
      <c r="M389" s="250"/>
      <c r="N389" s="251"/>
      <c r="O389" s="252"/>
      <c r="P389" s="253"/>
      <c r="Q389" s="250"/>
      <c r="R389" s="251"/>
      <c r="S389" s="283"/>
      <c r="T389" s="283"/>
      <c r="U389" s="253"/>
      <c r="V389" s="250"/>
      <c r="W389" s="251"/>
      <c r="X389" s="283"/>
      <c r="Y389" s="253"/>
    </row>
    <row r="390" spans="1:25" x14ac:dyDescent="0.2">
      <c r="A390" s="280"/>
      <c r="B390" s="280"/>
      <c r="C390" s="251"/>
      <c r="D390" s="281"/>
      <c r="E390" s="251"/>
      <c r="F390" s="251"/>
      <c r="G390" s="282"/>
      <c r="H390" s="253"/>
      <c r="I390" s="250"/>
      <c r="J390" s="251"/>
      <c r="K390" s="252"/>
      <c r="L390" s="253"/>
      <c r="M390" s="250"/>
      <c r="N390" s="251"/>
      <c r="O390" s="252"/>
      <c r="P390" s="253"/>
      <c r="Q390" s="250"/>
      <c r="R390" s="251"/>
      <c r="S390" s="283"/>
      <c r="T390" s="283"/>
      <c r="U390" s="253"/>
      <c r="V390" s="250"/>
      <c r="W390" s="251"/>
      <c r="X390" s="283"/>
      <c r="Y390" s="253"/>
    </row>
    <row r="391" spans="1:25" x14ac:dyDescent="0.2">
      <c r="A391" s="280"/>
      <c r="B391" s="280"/>
      <c r="C391" s="251"/>
      <c r="D391" s="281"/>
      <c r="E391" s="251"/>
      <c r="F391" s="251"/>
      <c r="G391" s="282"/>
      <c r="H391" s="253"/>
      <c r="I391" s="250"/>
      <c r="J391" s="251"/>
      <c r="K391" s="252"/>
      <c r="L391" s="253"/>
      <c r="M391" s="250"/>
      <c r="N391" s="251"/>
      <c r="O391" s="252"/>
      <c r="P391" s="253"/>
      <c r="Q391" s="250"/>
      <c r="R391" s="251"/>
      <c r="S391" s="283"/>
      <c r="T391" s="283"/>
      <c r="U391" s="253"/>
      <c r="V391" s="250"/>
      <c r="W391" s="251"/>
      <c r="X391" s="283"/>
      <c r="Y391" s="253"/>
    </row>
    <row r="392" spans="1:25" x14ac:dyDescent="0.2">
      <c r="A392" s="280"/>
      <c r="B392" s="280"/>
      <c r="C392" s="251"/>
      <c r="D392" s="281"/>
      <c r="E392" s="251"/>
      <c r="F392" s="251"/>
      <c r="G392" s="282"/>
      <c r="H392" s="253"/>
      <c r="I392" s="250"/>
      <c r="J392" s="251"/>
      <c r="K392" s="252"/>
      <c r="L392" s="253"/>
      <c r="M392" s="250"/>
      <c r="N392" s="251"/>
      <c r="O392" s="252"/>
      <c r="P392" s="253"/>
      <c r="Q392" s="250"/>
      <c r="R392" s="251"/>
      <c r="S392" s="283"/>
      <c r="T392" s="283"/>
      <c r="U392" s="253"/>
      <c r="V392" s="250"/>
      <c r="W392" s="251"/>
      <c r="X392" s="283"/>
      <c r="Y392" s="253"/>
    </row>
    <row r="393" spans="1:25" x14ac:dyDescent="0.2">
      <c r="A393" s="280"/>
      <c r="B393" s="280"/>
      <c r="C393" s="251"/>
      <c r="D393" s="281"/>
      <c r="E393" s="251"/>
      <c r="F393" s="251"/>
      <c r="G393" s="282"/>
      <c r="H393" s="253"/>
      <c r="I393" s="250"/>
      <c r="J393" s="251"/>
      <c r="K393" s="252"/>
      <c r="L393" s="253"/>
      <c r="M393" s="250"/>
      <c r="N393" s="251"/>
      <c r="O393" s="252"/>
      <c r="P393" s="253"/>
      <c r="Q393" s="250"/>
      <c r="R393" s="251"/>
      <c r="S393" s="283"/>
      <c r="T393" s="283"/>
      <c r="U393" s="253"/>
      <c r="V393" s="250"/>
      <c r="W393" s="251"/>
      <c r="X393" s="283"/>
      <c r="Y393" s="253"/>
    </row>
    <row r="394" spans="1:25" x14ac:dyDescent="0.2">
      <c r="A394" s="280"/>
      <c r="B394" s="280"/>
      <c r="C394" s="251"/>
      <c r="D394" s="281"/>
      <c r="E394" s="251"/>
      <c r="F394" s="251"/>
      <c r="G394" s="282"/>
      <c r="H394" s="253"/>
      <c r="I394" s="250"/>
      <c r="J394" s="251"/>
      <c r="K394" s="252"/>
      <c r="L394" s="253"/>
      <c r="M394" s="250"/>
      <c r="N394" s="251"/>
      <c r="O394" s="252"/>
      <c r="P394" s="253"/>
      <c r="Q394" s="250"/>
      <c r="R394" s="251"/>
      <c r="S394" s="283"/>
      <c r="T394" s="283"/>
      <c r="U394" s="253"/>
      <c r="V394" s="250"/>
      <c r="W394" s="251"/>
      <c r="X394" s="283"/>
      <c r="Y394" s="253"/>
    </row>
    <row r="395" spans="1:25" x14ac:dyDescent="0.2">
      <c r="A395" s="280"/>
      <c r="B395" s="280"/>
      <c r="C395" s="251"/>
      <c r="D395" s="281"/>
      <c r="E395" s="251"/>
      <c r="F395" s="251"/>
      <c r="G395" s="282"/>
      <c r="H395" s="253"/>
      <c r="I395" s="250"/>
      <c r="J395" s="251"/>
      <c r="K395" s="252"/>
      <c r="L395" s="253"/>
      <c r="M395" s="250"/>
      <c r="N395" s="251"/>
      <c r="O395" s="252"/>
      <c r="P395" s="253"/>
      <c r="Q395" s="250"/>
      <c r="R395" s="251"/>
      <c r="S395" s="283"/>
      <c r="T395" s="283"/>
      <c r="U395" s="253"/>
      <c r="V395" s="250"/>
      <c r="W395" s="251"/>
      <c r="X395" s="283"/>
      <c r="Y395" s="253"/>
    </row>
    <row r="396" spans="1:25" x14ac:dyDescent="0.2">
      <c r="A396" s="280"/>
      <c r="B396" s="280"/>
      <c r="C396" s="251"/>
      <c r="D396" s="281"/>
      <c r="E396" s="251"/>
      <c r="F396" s="251"/>
      <c r="G396" s="282"/>
      <c r="H396" s="253"/>
      <c r="I396" s="250"/>
      <c r="J396" s="251"/>
      <c r="K396" s="252"/>
      <c r="L396" s="253"/>
      <c r="M396" s="250"/>
      <c r="N396" s="251"/>
      <c r="O396" s="252"/>
      <c r="P396" s="253"/>
      <c r="Q396" s="250"/>
      <c r="R396" s="251"/>
      <c r="S396" s="283"/>
      <c r="T396" s="283"/>
      <c r="U396" s="253"/>
      <c r="V396" s="250"/>
      <c r="W396" s="251"/>
      <c r="X396" s="283"/>
      <c r="Y396" s="253"/>
    </row>
    <row r="397" spans="1:25" x14ac:dyDescent="0.2">
      <c r="A397" s="280"/>
      <c r="B397" s="280"/>
      <c r="C397" s="251"/>
      <c r="D397" s="281"/>
      <c r="E397" s="251"/>
      <c r="F397" s="251"/>
      <c r="G397" s="282"/>
      <c r="H397" s="253"/>
      <c r="I397" s="250"/>
      <c r="J397" s="251"/>
      <c r="K397" s="252"/>
      <c r="L397" s="253"/>
      <c r="M397" s="250"/>
      <c r="N397" s="251"/>
      <c r="O397" s="252"/>
      <c r="P397" s="253"/>
      <c r="Q397" s="250"/>
      <c r="R397" s="251"/>
      <c r="S397" s="283"/>
      <c r="T397" s="283"/>
      <c r="U397" s="253"/>
      <c r="V397" s="250"/>
      <c r="W397" s="251"/>
      <c r="X397" s="283"/>
      <c r="Y397" s="253"/>
    </row>
    <row r="398" spans="1:25" x14ac:dyDescent="0.2">
      <c r="A398" s="280"/>
      <c r="B398" s="280"/>
      <c r="C398" s="251"/>
      <c r="D398" s="281"/>
      <c r="E398" s="251"/>
      <c r="F398" s="251"/>
      <c r="G398" s="282"/>
      <c r="H398" s="253"/>
      <c r="I398" s="250"/>
      <c r="J398" s="251"/>
      <c r="K398" s="252"/>
      <c r="L398" s="253"/>
      <c r="M398" s="250"/>
      <c r="N398" s="251"/>
      <c r="O398" s="252"/>
      <c r="P398" s="253"/>
      <c r="Q398" s="250"/>
      <c r="R398" s="251"/>
      <c r="S398" s="283"/>
      <c r="T398" s="283"/>
      <c r="U398" s="253"/>
      <c r="V398" s="250"/>
      <c r="W398" s="251"/>
      <c r="X398" s="283"/>
      <c r="Y398" s="253"/>
    </row>
    <row r="399" spans="1:25" x14ac:dyDescent="0.2">
      <c r="A399" s="280"/>
      <c r="B399" s="280"/>
      <c r="C399" s="251"/>
      <c r="D399" s="281"/>
      <c r="E399" s="251"/>
      <c r="F399" s="251"/>
      <c r="G399" s="282"/>
      <c r="H399" s="253"/>
      <c r="I399" s="250"/>
      <c r="J399" s="251"/>
      <c r="K399" s="252"/>
      <c r="L399" s="253"/>
      <c r="M399" s="250"/>
      <c r="N399" s="251"/>
      <c r="O399" s="252"/>
      <c r="P399" s="253"/>
      <c r="Q399" s="250"/>
      <c r="R399" s="251"/>
      <c r="S399" s="283"/>
      <c r="T399" s="283"/>
      <c r="U399" s="253"/>
      <c r="V399" s="250"/>
      <c r="W399" s="251"/>
      <c r="X399" s="283"/>
      <c r="Y399" s="253"/>
    </row>
    <row r="400" spans="1:25" x14ac:dyDescent="0.2">
      <c r="A400" s="280"/>
      <c r="B400" s="280"/>
      <c r="C400" s="251"/>
      <c r="D400" s="281"/>
      <c r="E400" s="251"/>
      <c r="F400" s="251"/>
      <c r="G400" s="282"/>
      <c r="H400" s="253"/>
      <c r="I400" s="250"/>
      <c r="J400" s="251"/>
      <c r="K400" s="252"/>
      <c r="L400" s="253"/>
      <c r="M400" s="250"/>
      <c r="N400" s="251"/>
      <c r="O400" s="252"/>
      <c r="P400" s="253"/>
      <c r="Q400" s="250"/>
      <c r="R400" s="251"/>
      <c r="S400" s="283"/>
      <c r="T400" s="283"/>
      <c r="U400" s="253"/>
      <c r="V400" s="250"/>
      <c r="W400" s="251"/>
      <c r="X400" s="283"/>
      <c r="Y400" s="253"/>
    </row>
    <row r="401" spans="1:25" x14ac:dyDescent="0.2">
      <c r="A401" s="280"/>
      <c r="B401" s="280"/>
      <c r="C401" s="251"/>
      <c r="D401" s="281"/>
      <c r="E401" s="251"/>
      <c r="F401" s="251"/>
      <c r="G401" s="282"/>
      <c r="H401" s="253"/>
      <c r="I401" s="250"/>
      <c r="J401" s="251"/>
      <c r="K401" s="252"/>
      <c r="L401" s="253"/>
      <c r="M401" s="250"/>
      <c r="N401" s="251"/>
      <c r="O401" s="252"/>
      <c r="P401" s="253"/>
      <c r="Q401" s="250"/>
      <c r="R401" s="251"/>
      <c r="S401" s="283"/>
      <c r="T401" s="283"/>
      <c r="U401" s="253"/>
      <c r="V401" s="250"/>
      <c r="W401" s="251"/>
      <c r="X401" s="283"/>
      <c r="Y401" s="253"/>
    </row>
    <row r="402" spans="1:25" x14ac:dyDescent="0.2">
      <c r="A402" s="280"/>
      <c r="B402" s="280"/>
      <c r="C402" s="251"/>
      <c r="D402" s="281"/>
      <c r="E402" s="251"/>
      <c r="F402" s="251"/>
      <c r="G402" s="282"/>
      <c r="H402" s="253"/>
      <c r="I402" s="250"/>
      <c r="J402" s="251"/>
      <c r="K402" s="252"/>
      <c r="L402" s="253"/>
      <c r="M402" s="250"/>
      <c r="N402" s="251"/>
      <c r="O402" s="252"/>
      <c r="P402" s="253"/>
      <c r="Q402" s="250"/>
      <c r="R402" s="251"/>
      <c r="S402" s="283"/>
      <c r="T402" s="283"/>
      <c r="U402" s="253"/>
      <c r="V402" s="250"/>
      <c r="W402" s="251"/>
      <c r="X402" s="283"/>
      <c r="Y402" s="253"/>
    </row>
    <row r="403" spans="1:25" x14ac:dyDescent="0.2">
      <c r="A403" s="280"/>
      <c r="B403" s="280"/>
      <c r="C403" s="251"/>
      <c r="D403" s="281"/>
      <c r="E403" s="251"/>
      <c r="F403" s="251"/>
      <c r="G403" s="282"/>
      <c r="H403" s="253"/>
      <c r="I403" s="250"/>
      <c r="J403" s="251"/>
      <c r="K403" s="252"/>
      <c r="L403" s="253"/>
      <c r="M403" s="250"/>
      <c r="N403" s="251"/>
      <c r="O403" s="252"/>
      <c r="P403" s="253"/>
      <c r="Q403" s="250"/>
      <c r="R403" s="251"/>
      <c r="S403" s="283"/>
      <c r="T403" s="283"/>
      <c r="U403" s="253"/>
      <c r="V403" s="250"/>
      <c r="W403" s="251"/>
      <c r="X403" s="283"/>
      <c r="Y403" s="253"/>
    </row>
    <row r="404" spans="1:25" x14ac:dyDescent="0.2">
      <c r="A404" s="280"/>
      <c r="B404" s="280"/>
      <c r="C404" s="251"/>
      <c r="D404" s="281"/>
      <c r="E404" s="251"/>
      <c r="F404" s="251"/>
      <c r="G404" s="282"/>
      <c r="H404" s="253"/>
      <c r="I404" s="250"/>
      <c r="J404" s="251"/>
      <c r="K404" s="252"/>
      <c r="L404" s="253"/>
      <c r="M404" s="250"/>
      <c r="N404" s="251"/>
      <c r="O404" s="252"/>
      <c r="P404" s="253"/>
      <c r="Q404" s="250"/>
      <c r="R404" s="251"/>
      <c r="S404" s="283"/>
      <c r="T404" s="283"/>
      <c r="U404" s="253"/>
      <c r="V404" s="250"/>
      <c r="W404" s="251"/>
      <c r="X404" s="283"/>
      <c r="Y404" s="253"/>
    </row>
    <row r="405" spans="1:25" x14ac:dyDescent="0.2">
      <c r="A405" s="280"/>
      <c r="B405" s="280"/>
      <c r="C405" s="251"/>
      <c r="D405" s="281"/>
      <c r="E405" s="251"/>
      <c r="F405" s="251"/>
      <c r="G405" s="282"/>
      <c r="H405" s="253"/>
      <c r="I405" s="250"/>
      <c r="J405" s="251"/>
      <c r="K405" s="252"/>
      <c r="L405" s="253"/>
      <c r="M405" s="250"/>
      <c r="N405" s="251"/>
      <c r="O405" s="252"/>
      <c r="P405" s="253"/>
      <c r="Q405" s="250"/>
      <c r="R405" s="251"/>
      <c r="S405" s="283"/>
      <c r="T405" s="283"/>
      <c r="U405" s="253"/>
      <c r="V405" s="250"/>
      <c r="W405" s="251"/>
      <c r="X405" s="283"/>
      <c r="Y405" s="253"/>
    </row>
    <row r="406" spans="1:25" x14ac:dyDescent="0.2">
      <c r="A406" s="280"/>
      <c r="B406" s="280"/>
      <c r="C406" s="251"/>
      <c r="D406" s="281"/>
      <c r="E406" s="251"/>
      <c r="F406" s="251"/>
      <c r="G406" s="282"/>
      <c r="H406" s="253"/>
      <c r="I406" s="250"/>
      <c r="J406" s="251"/>
      <c r="K406" s="252"/>
      <c r="L406" s="253"/>
      <c r="M406" s="250"/>
      <c r="N406" s="251"/>
      <c r="O406" s="252"/>
      <c r="P406" s="253"/>
      <c r="Q406" s="250"/>
      <c r="R406" s="251"/>
      <c r="S406" s="283"/>
      <c r="T406" s="283"/>
      <c r="U406" s="253"/>
      <c r="V406" s="250"/>
      <c r="W406" s="251"/>
      <c r="X406" s="283"/>
      <c r="Y406" s="253"/>
    </row>
    <row r="407" spans="1:25" x14ac:dyDescent="0.2">
      <c r="A407" s="280"/>
      <c r="B407" s="280"/>
      <c r="C407" s="251"/>
      <c r="D407" s="281"/>
      <c r="E407" s="251"/>
      <c r="F407" s="251"/>
      <c r="G407" s="282"/>
      <c r="H407" s="253"/>
      <c r="I407" s="250"/>
      <c r="J407" s="251"/>
      <c r="K407" s="252"/>
      <c r="L407" s="253"/>
      <c r="M407" s="250"/>
      <c r="N407" s="251"/>
      <c r="O407" s="252"/>
      <c r="P407" s="253"/>
      <c r="Q407" s="250"/>
      <c r="R407" s="251"/>
      <c r="S407" s="283"/>
      <c r="T407" s="283"/>
      <c r="U407" s="253"/>
      <c r="V407" s="250"/>
      <c r="W407" s="251"/>
      <c r="X407" s="283"/>
      <c r="Y407" s="253"/>
    </row>
    <row r="408" spans="1:25" x14ac:dyDescent="0.2">
      <c r="A408" s="280"/>
      <c r="B408" s="280"/>
      <c r="C408" s="251"/>
      <c r="D408" s="281"/>
      <c r="E408" s="251"/>
      <c r="F408" s="251"/>
      <c r="G408" s="282"/>
      <c r="H408" s="253"/>
      <c r="I408" s="250"/>
      <c r="J408" s="251"/>
      <c r="K408" s="252"/>
      <c r="L408" s="253"/>
      <c r="M408" s="250"/>
      <c r="N408" s="251"/>
      <c r="O408" s="252"/>
      <c r="P408" s="253"/>
      <c r="Q408" s="250"/>
      <c r="R408" s="251"/>
      <c r="S408" s="283"/>
      <c r="T408" s="283"/>
      <c r="U408" s="253"/>
      <c r="V408" s="250"/>
      <c r="W408" s="251"/>
      <c r="X408" s="283"/>
      <c r="Y408" s="253"/>
    </row>
    <row r="409" spans="1:25" x14ac:dyDescent="0.2">
      <c r="A409" s="280"/>
      <c r="B409" s="280"/>
      <c r="C409" s="251"/>
      <c r="D409" s="281"/>
      <c r="E409" s="251"/>
      <c r="F409" s="251"/>
      <c r="G409" s="282"/>
      <c r="H409" s="253"/>
      <c r="I409" s="250"/>
      <c r="J409" s="251"/>
      <c r="K409" s="252"/>
      <c r="L409" s="253"/>
      <c r="M409" s="250"/>
      <c r="N409" s="251"/>
      <c r="O409" s="252"/>
      <c r="P409" s="253"/>
      <c r="Q409" s="250"/>
      <c r="R409" s="251"/>
      <c r="S409" s="283"/>
      <c r="T409" s="283"/>
      <c r="U409" s="253"/>
      <c r="V409" s="250"/>
      <c r="W409" s="251"/>
      <c r="X409" s="283"/>
      <c r="Y409" s="253"/>
    </row>
    <row r="410" spans="1:25" x14ac:dyDescent="0.2">
      <c r="A410" s="280"/>
      <c r="B410" s="280"/>
      <c r="C410" s="251"/>
      <c r="D410" s="281"/>
      <c r="E410" s="251"/>
      <c r="F410" s="251"/>
      <c r="G410" s="282"/>
      <c r="H410" s="253"/>
      <c r="I410" s="250"/>
      <c r="J410" s="251"/>
      <c r="K410" s="252"/>
      <c r="L410" s="253"/>
      <c r="M410" s="250"/>
      <c r="N410" s="251"/>
      <c r="O410" s="252"/>
      <c r="P410" s="253"/>
      <c r="Q410" s="250"/>
      <c r="R410" s="251"/>
      <c r="S410" s="283"/>
      <c r="T410" s="283"/>
      <c r="U410" s="253"/>
      <c r="V410" s="250"/>
      <c r="W410" s="251"/>
      <c r="X410" s="283"/>
      <c r="Y410" s="253"/>
    </row>
    <row r="411" spans="1:25" x14ac:dyDescent="0.2">
      <c r="A411" s="280"/>
      <c r="B411" s="280"/>
      <c r="C411" s="251"/>
      <c r="D411" s="281"/>
      <c r="E411" s="251"/>
      <c r="F411" s="251"/>
      <c r="G411" s="282"/>
      <c r="H411" s="253"/>
      <c r="I411" s="250"/>
      <c r="J411" s="251"/>
      <c r="K411" s="252"/>
      <c r="L411" s="253"/>
      <c r="M411" s="250"/>
      <c r="N411" s="251"/>
      <c r="O411" s="252"/>
      <c r="P411" s="253"/>
      <c r="Q411" s="250"/>
      <c r="R411" s="251"/>
      <c r="S411" s="283"/>
      <c r="T411" s="283"/>
      <c r="U411" s="253"/>
      <c r="V411" s="250"/>
      <c r="W411" s="251"/>
      <c r="X411" s="283"/>
      <c r="Y411" s="253"/>
    </row>
    <row r="412" spans="1:25" x14ac:dyDescent="0.2">
      <c r="A412" s="280"/>
      <c r="B412" s="280"/>
      <c r="C412" s="251"/>
      <c r="D412" s="281"/>
      <c r="E412" s="251"/>
      <c r="F412" s="251"/>
      <c r="G412" s="282"/>
      <c r="H412" s="253"/>
      <c r="I412" s="250"/>
      <c r="J412" s="251"/>
      <c r="K412" s="252"/>
      <c r="L412" s="253"/>
      <c r="M412" s="250"/>
      <c r="N412" s="251"/>
      <c r="O412" s="252"/>
      <c r="P412" s="253"/>
      <c r="Q412" s="250"/>
      <c r="R412" s="251"/>
      <c r="S412" s="283"/>
      <c r="T412" s="283"/>
      <c r="U412" s="253"/>
      <c r="V412" s="250"/>
      <c r="W412" s="251"/>
      <c r="X412" s="283"/>
      <c r="Y412" s="253"/>
    </row>
    <row r="413" spans="1:25" x14ac:dyDescent="0.2">
      <c r="A413" s="280"/>
      <c r="B413" s="280"/>
      <c r="C413" s="251"/>
      <c r="D413" s="281"/>
      <c r="E413" s="251"/>
      <c r="F413" s="251"/>
      <c r="G413" s="282"/>
      <c r="H413" s="253"/>
      <c r="I413" s="250"/>
      <c r="J413" s="251"/>
      <c r="K413" s="252"/>
      <c r="L413" s="253"/>
      <c r="M413" s="250"/>
      <c r="N413" s="251"/>
      <c r="O413" s="252"/>
      <c r="P413" s="253"/>
      <c r="Q413" s="250"/>
      <c r="R413" s="251"/>
      <c r="S413" s="283"/>
      <c r="T413" s="283"/>
      <c r="U413" s="253"/>
      <c r="V413" s="250"/>
      <c r="W413" s="251"/>
      <c r="X413" s="283"/>
      <c r="Y413" s="253"/>
    </row>
    <row r="414" spans="1:25" x14ac:dyDescent="0.2">
      <c r="A414" s="280"/>
      <c r="B414" s="280"/>
      <c r="C414" s="251"/>
      <c r="D414" s="281"/>
      <c r="E414" s="251"/>
      <c r="F414" s="251"/>
      <c r="G414" s="282"/>
      <c r="H414" s="253"/>
      <c r="I414" s="250"/>
      <c r="J414" s="251"/>
      <c r="K414" s="252"/>
      <c r="L414" s="253"/>
      <c r="M414" s="250"/>
      <c r="N414" s="251"/>
      <c r="O414" s="252"/>
      <c r="P414" s="253"/>
      <c r="Q414" s="250"/>
      <c r="R414" s="251"/>
      <c r="S414" s="283"/>
      <c r="T414" s="283"/>
      <c r="U414" s="253"/>
      <c r="V414" s="250"/>
      <c r="W414" s="251"/>
      <c r="X414" s="283"/>
      <c r="Y414" s="253"/>
    </row>
    <row r="415" spans="1:25" x14ac:dyDescent="0.2">
      <c r="A415" s="280"/>
      <c r="B415" s="280"/>
      <c r="C415" s="251"/>
      <c r="D415" s="281"/>
      <c r="E415" s="251"/>
      <c r="F415" s="251"/>
      <c r="G415" s="282"/>
      <c r="H415" s="253"/>
      <c r="I415" s="250"/>
      <c r="J415" s="251"/>
      <c r="K415" s="252"/>
      <c r="L415" s="253"/>
      <c r="M415" s="250"/>
      <c r="N415" s="251"/>
      <c r="O415" s="252"/>
      <c r="P415" s="253"/>
      <c r="Q415" s="250"/>
      <c r="R415" s="251"/>
      <c r="S415" s="283"/>
      <c r="T415" s="283"/>
      <c r="U415" s="253"/>
      <c r="V415" s="250"/>
      <c r="W415" s="251"/>
      <c r="X415" s="283"/>
      <c r="Y415" s="253"/>
    </row>
    <row r="416" spans="1:25" x14ac:dyDescent="0.2">
      <c r="A416" s="280"/>
      <c r="B416" s="280"/>
      <c r="C416" s="251"/>
      <c r="D416" s="281"/>
      <c r="E416" s="251"/>
      <c r="F416" s="251"/>
      <c r="G416" s="282"/>
      <c r="H416" s="253"/>
      <c r="I416" s="250"/>
      <c r="J416" s="251"/>
      <c r="K416" s="252"/>
      <c r="L416" s="253"/>
      <c r="M416" s="250"/>
      <c r="N416" s="251"/>
      <c r="O416" s="252"/>
      <c r="P416" s="253"/>
      <c r="Q416" s="250"/>
      <c r="R416" s="251"/>
      <c r="S416" s="283"/>
      <c r="T416" s="283"/>
      <c r="U416" s="253"/>
      <c r="V416" s="250"/>
      <c r="W416" s="251"/>
      <c r="X416" s="283"/>
      <c r="Y416" s="253"/>
    </row>
    <row r="417" spans="1:25" x14ac:dyDescent="0.2">
      <c r="A417" s="280"/>
      <c r="B417" s="280"/>
      <c r="C417" s="251"/>
      <c r="D417" s="281"/>
      <c r="E417" s="251"/>
      <c r="F417" s="251"/>
      <c r="G417" s="282"/>
      <c r="H417" s="253"/>
      <c r="I417" s="250"/>
      <c r="J417" s="251"/>
      <c r="K417" s="252"/>
      <c r="L417" s="253"/>
      <c r="M417" s="250"/>
      <c r="N417" s="251"/>
      <c r="O417" s="252"/>
      <c r="P417" s="253"/>
      <c r="Q417" s="250"/>
      <c r="R417" s="251"/>
      <c r="S417" s="283"/>
      <c r="T417" s="283"/>
      <c r="U417" s="253"/>
      <c r="V417" s="250"/>
      <c r="W417" s="251"/>
      <c r="X417" s="283"/>
      <c r="Y417" s="253"/>
    </row>
    <row r="418" spans="1:25" x14ac:dyDescent="0.2">
      <c r="A418" s="280"/>
      <c r="B418" s="280"/>
      <c r="C418" s="251"/>
      <c r="D418" s="281"/>
      <c r="E418" s="251"/>
      <c r="F418" s="251"/>
      <c r="G418" s="282"/>
      <c r="H418" s="253"/>
      <c r="I418" s="250"/>
      <c r="J418" s="251"/>
      <c r="K418" s="252"/>
      <c r="L418" s="253"/>
      <c r="M418" s="250"/>
      <c r="N418" s="251"/>
      <c r="O418" s="252"/>
      <c r="P418" s="253"/>
      <c r="Q418" s="250"/>
      <c r="R418" s="251"/>
      <c r="S418" s="283"/>
      <c r="T418" s="283"/>
      <c r="U418" s="253"/>
      <c r="V418" s="250"/>
      <c r="W418" s="251"/>
      <c r="X418" s="283"/>
      <c r="Y418" s="253"/>
    </row>
    <row r="419" spans="1:25" x14ac:dyDescent="0.2">
      <c r="A419" s="280"/>
      <c r="B419" s="280"/>
      <c r="C419" s="251"/>
      <c r="D419" s="281"/>
      <c r="E419" s="251"/>
      <c r="F419" s="251"/>
      <c r="G419" s="282"/>
      <c r="H419" s="253"/>
      <c r="I419" s="250"/>
      <c r="J419" s="251"/>
      <c r="K419" s="252"/>
      <c r="L419" s="253"/>
      <c r="M419" s="250"/>
      <c r="N419" s="251"/>
      <c r="O419" s="252"/>
      <c r="P419" s="253"/>
      <c r="Q419" s="250"/>
      <c r="R419" s="251"/>
      <c r="S419" s="283"/>
      <c r="T419" s="283"/>
      <c r="U419" s="253"/>
      <c r="V419" s="250"/>
      <c r="W419" s="251"/>
      <c r="X419" s="283"/>
      <c r="Y419" s="253"/>
    </row>
    <row r="420" spans="1:25" x14ac:dyDescent="0.2">
      <c r="A420" s="280"/>
      <c r="B420" s="280"/>
      <c r="C420" s="251"/>
      <c r="D420" s="281"/>
      <c r="E420" s="251"/>
      <c r="F420" s="251"/>
      <c r="G420" s="282"/>
      <c r="H420" s="253"/>
      <c r="I420" s="250"/>
      <c r="J420" s="251"/>
      <c r="K420" s="252"/>
      <c r="L420" s="253"/>
      <c r="M420" s="250"/>
      <c r="N420" s="251"/>
      <c r="O420" s="252"/>
      <c r="P420" s="253"/>
      <c r="Q420" s="250"/>
      <c r="R420" s="251"/>
      <c r="S420" s="283"/>
      <c r="T420" s="283"/>
      <c r="U420" s="253"/>
      <c r="V420" s="250"/>
      <c r="W420" s="251"/>
      <c r="X420" s="283"/>
      <c r="Y420" s="253"/>
    </row>
    <row r="421" spans="1:25" x14ac:dyDescent="0.2">
      <c r="A421" s="280"/>
      <c r="B421" s="280"/>
      <c r="C421" s="251"/>
      <c r="D421" s="281"/>
      <c r="E421" s="251"/>
      <c r="F421" s="251"/>
      <c r="G421" s="282"/>
      <c r="H421" s="253"/>
      <c r="I421" s="250"/>
      <c r="J421" s="251"/>
      <c r="K421" s="252"/>
      <c r="L421" s="253"/>
      <c r="M421" s="250"/>
      <c r="N421" s="251"/>
      <c r="O421" s="252"/>
      <c r="P421" s="253"/>
      <c r="Q421" s="250"/>
      <c r="R421" s="251"/>
      <c r="S421" s="283"/>
      <c r="T421" s="283"/>
      <c r="U421" s="253"/>
      <c r="V421" s="250"/>
      <c r="W421" s="251"/>
      <c r="X421" s="283"/>
      <c r="Y421" s="253"/>
    </row>
    <row r="422" spans="1:25" x14ac:dyDescent="0.2">
      <c r="A422" s="280"/>
      <c r="B422" s="280"/>
      <c r="C422" s="251"/>
      <c r="D422" s="281"/>
      <c r="E422" s="251"/>
      <c r="F422" s="251"/>
      <c r="G422" s="282"/>
      <c r="H422" s="253"/>
      <c r="I422" s="250"/>
      <c r="J422" s="251"/>
      <c r="K422" s="252"/>
      <c r="L422" s="253"/>
      <c r="M422" s="250"/>
      <c r="N422" s="251"/>
      <c r="O422" s="252"/>
      <c r="P422" s="253"/>
      <c r="Q422" s="250"/>
      <c r="R422" s="251"/>
      <c r="S422" s="283"/>
      <c r="T422" s="283"/>
      <c r="U422" s="253"/>
      <c r="V422" s="250"/>
      <c r="W422" s="251"/>
      <c r="X422" s="283"/>
      <c r="Y422" s="253"/>
    </row>
    <row r="423" spans="1:25" x14ac:dyDescent="0.2">
      <c r="A423" s="280"/>
      <c r="B423" s="280"/>
      <c r="C423" s="251"/>
      <c r="D423" s="281"/>
      <c r="E423" s="251"/>
      <c r="F423" s="251"/>
      <c r="G423" s="282"/>
      <c r="H423" s="253"/>
      <c r="I423" s="250"/>
      <c r="J423" s="251"/>
      <c r="K423" s="252"/>
      <c r="L423" s="253"/>
      <c r="M423" s="250"/>
      <c r="N423" s="251"/>
      <c r="O423" s="252"/>
      <c r="P423" s="253"/>
      <c r="Q423" s="250"/>
      <c r="R423" s="251"/>
      <c r="S423" s="283"/>
      <c r="T423" s="283"/>
      <c r="U423" s="253"/>
      <c r="V423" s="250"/>
      <c r="W423" s="251"/>
      <c r="X423" s="283"/>
      <c r="Y423" s="253"/>
    </row>
    <row r="424" spans="1:25" x14ac:dyDescent="0.2">
      <c r="A424" s="280"/>
      <c r="B424" s="280"/>
      <c r="C424" s="251"/>
      <c r="D424" s="281"/>
      <c r="E424" s="251"/>
      <c r="F424" s="251"/>
      <c r="G424" s="282"/>
      <c r="H424" s="253"/>
      <c r="I424" s="250"/>
      <c r="J424" s="251"/>
      <c r="K424" s="252"/>
      <c r="L424" s="253"/>
      <c r="M424" s="250"/>
      <c r="N424" s="251"/>
      <c r="O424" s="252"/>
      <c r="P424" s="253"/>
      <c r="Q424" s="250"/>
      <c r="R424" s="251"/>
      <c r="S424" s="283"/>
      <c r="T424" s="283"/>
      <c r="U424" s="253"/>
      <c r="V424" s="250"/>
      <c r="W424" s="251"/>
      <c r="X424" s="283"/>
      <c r="Y424" s="253"/>
    </row>
    <row r="425" spans="1:25" x14ac:dyDescent="0.2">
      <c r="A425" s="280"/>
      <c r="B425" s="280"/>
      <c r="C425" s="251"/>
      <c r="D425" s="281"/>
      <c r="E425" s="251"/>
      <c r="F425" s="251"/>
      <c r="G425" s="282"/>
      <c r="H425" s="253"/>
      <c r="I425" s="250"/>
      <c r="J425" s="251"/>
      <c r="K425" s="252"/>
      <c r="L425" s="253"/>
      <c r="M425" s="250"/>
      <c r="N425" s="251"/>
      <c r="O425" s="252"/>
      <c r="P425" s="253"/>
      <c r="Q425" s="250"/>
      <c r="R425" s="251"/>
      <c r="S425" s="283"/>
      <c r="T425" s="283"/>
      <c r="U425" s="253"/>
      <c r="V425" s="250"/>
      <c r="W425" s="251"/>
      <c r="X425" s="283"/>
      <c r="Y425" s="253"/>
    </row>
    <row r="426" spans="1:25" x14ac:dyDescent="0.2">
      <c r="A426" s="280"/>
      <c r="B426" s="280"/>
      <c r="C426" s="251"/>
      <c r="D426" s="281"/>
      <c r="E426" s="251"/>
      <c r="F426" s="251"/>
      <c r="G426" s="282"/>
      <c r="H426" s="253"/>
      <c r="I426" s="250"/>
      <c r="J426" s="251"/>
      <c r="K426" s="252"/>
      <c r="L426" s="253"/>
      <c r="M426" s="250"/>
      <c r="N426" s="251"/>
      <c r="O426" s="252"/>
      <c r="P426" s="253"/>
      <c r="Q426" s="250"/>
      <c r="R426" s="251"/>
      <c r="S426" s="283"/>
      <c r="T426" s="283"/>
      <c r="U426" s="253"/>
      <c r="V426" s="250"/>
      <c r="W426" s="251"/>
      <c r="X426" s="283"/>
      <c r="Y426" s="253"/>
    </row>
    <row r="427" spans="1:25" x14ac:dyDescent="0.2">
      <c r="A427" s="280"/>
      <c r="B427" s="280"/>
      <c r="C427" s="251"/>
      <c r="D427" s="281"/>
      <c r="E427" s="251"/>
      <c r="F427" s="251"/>
      <c r="G427" s="282"/>
      <c r="H427" s="253"/>
      <c r="I427" s="250"/>
      <c r="J427" s="251"/>
      <c r="K427" s="252"/>
      <c r="L427" s="253"/>
      <c r="M427" s="250"/>
      <c r="N427" s="251"/>
      <c r="O427" s="252"/>
      <c r="P427" s="253"/>
      <c r="Q427" s="250"/>
      <c r="R427" s="251"/>
      <c r="S427" s="283"/>
      <c r="T427" s="283"/>
      <c r="U427" s="253"/>
      <c r="V427" s="250"/>
      <c r="W427" s="251"/>
      <c r="X427" s="283"/>
      <c r="Y427" s="253"/>
    </row>
    <row r="428" spans="1:25" x14ac:dyDescent="0.2">
      <c r="A428" s="280"/>
      <c r="B428" s="280"/>
      <c r="C428" s="251"/>
      <c r="D428" s="281"/>
      <c r="E428" s="251"/>
      <c r="F428" s="251"/>
      <c r="G428" s="282"/>
      <c r="H428" s="253"/>
      <c r="I428" s="250"/>
      <c r="J428" s="251"/>
      <c r="K428" s="252"/>
      <c r="L428" s="253"/>
      <c r="M428" s="250"/>
      <c r="N428" s="251"/>
      <c r="O428" s="252"/>
      <c r="P428" s="253"/>
      <c r="Q428" s="250"/>
      <c r="R428" s="251"/>
      <c r="S428" s="283"/>
      <c r="T428" s="283"/>
      <c r="U428" s="253"/>
      <c r="V428" s="250"/>
      <c r="W428" s="251"/>
      <c r="X428" s="283"/>
      <c r="Y428" s="253"/>
    </row>
    <row r="429" spans="1:25" x14ac:dyDescent="0.2">
      <c r="A429" s="280"/>
      <c r="B429" s="280"/>
      <c r="C429" s="251"/>
      <c r="D429" s="281"/>
      <c r="E429" s="251"/>
      <c r="F429" s="251"/>
      <c r="G429" s="282"/>
      <c r="H429" s="253"/>
      <c r="I429" s="250"/>
      <c r="J429" s="251"/>
      <c r="K429" s="252"/>
      <c r="L429" s="253"/>
      <c r="M429" s="250"/>
      <c r="N429" s="251"/>
      <c r="O429" s="252"/>
      <c r="P429" s="253"/>
      <c r="Q429" s="250"/>
      <c r="R429" s="251"/>
      <c r="S429" s="283"/>
      <c r="T429" s="283"/>
      <c r="U429" s="253"/>
      <c r="V429" s="250"/>
      <c r="W429" s="251"/>
      <c r="X429" s="283"/>
      <c r="Y429" s="253"/>
    </row>
    <row r="430" spans="1:25" x14ac:dyDescent="0.2">
      <c r="A430" s="280"/>
      <c r="B430" s="280"/>
      <c r="C430" s="251"/>
      <c r="D430" s="281"/>
      <c r="E430" s="251"/>
      <c r="F430" s="251"/>
      <c r="G430" s="282"/>
      <c r="H430" s="253"/>
      <c r="I430" s="250"/>
      <c r="J430" s="251"/>
      <c r="K430" s="252"/>
      <c r="L430" s="253"/>
      <c r="M430" s="250"/>
      <c r="N430" s="251"/>
      <c r="O430" s="252"/>
      <c r="P430" s="253"/>
      <c r="Q430" s="250"/>
      <c r="R430" s="251"/>
      <c r="S430" s="283"/>
      <c r="T430" s="283"/>
      <c r="U430" s="253"/>
      <c r="V430" s="250"/>
      <c r="W430" s="251"/>
      <c r="X430" s="283"/>
      <c r="Y430" s="253"/>
    </row>
    <row r="431" spans="1:25" x14ac:dyDescent="0.2">
      <c r="A431" s="280"/>
      <c r="B431" s="280"/>
      <c r="C431" s="251"/>
      <c r="D431" s="281"/>
      <c r="E431" s="251"/>
      <c r="F431" s="251"/>
      <c r="G431" s="282"/>
      <c r="H431" s="253"/>
      <c r="I431" s="250"/>
      <c r="J431" s="251"/>
      <c r="K431" s="252"/>
      <c r="L431" s="253"/>
      <c r="M431" s="250"/>
      <c r="N431" s="251"/>
      <c r="O431" s="252"/>
      <c r="P431" s="253"/>
      <c r="Q431" s="250"/>
      <c r="R431" s="251"/>
      <c r="S431" s="283"/>
      <c r="T431" s="283"/>
      <c r="U431" s="253"/>
      <c r="V431" s="250"/>
      <c r="W431" s="251"/>
      <c r="X431" s="283"/>
      <c r="Y431" s="253"/>
    </row>
    <row r="432" spans="1:25" x14ac:dyDescent="0.2">
      <c r="A432" s="280"/>
      <c r="B432" s="280"/>
      <c r="C432" s="251"/>
      <c r="D432" s="281"/>
      <c r="E432" s="251"/>
      <c r="F432" s="251"/>
      <c r="G432" s="282"/>
      <c r="H432" s="253"/>
      <c r="I432" s="250"/>
      <c r="J432" s="251"/>
      <c r="K432" s="252"/>
      <c r="L432" s="253"/>
      <c r="M432" s="250"/>
      <c r="N432" s="251"/>
      <c r="O432" s="252"/>
      <c r="P432" s="253"/>
      <c r="Q432" s="250"/>
      <c r="R432" s="251"/>
      <c r="S432" s="283"/>
      <c r="T432" s="283"/>
      <c r="U432" s="253"/>
      <c r="V432" s="250"/>
      <c r="W432" s="251"/>
      <c r="X432" s="283"/>
      <c r="Y432" s="253"/>
    </row>
    <row r="433" spans="1:25" x14ac:dyDescent="0.2">
      <c r="A433" s="280"/>
      <c r="B433" s="280"/>
      <c r="C433" s="251"/>
      <c r="D433" s="281"/>
      <c r="E433" s="251"/>
      <c r="F433" s="251"/>
      <c r="G433" s="282"/>
      <c r="H433" s="253"/>
      <c r="I433" s="250"/>
      <c r="J433" s="251"/>
      <c r="K433" s="252"/>
      <c r="L433" s="253"/>
      <c r="M433" s="250"/>
      <c r="N433" s="251"/>
      <c r="O433" s="252"/>
      <c r="P433" s="253"/>
      <c r="Q433" s="250"/>
      <c r="R433" s="251"/>
      <c r="S433" s="283"/>
      <c r="T433" s="283"/>
      <c r="U433" s="253"/>
      <c r="V433" s="250"/>
      <c r="W433" s="251"/>
      <c r="X433" s="283"/>
      <c r="Y433" s="253"/>
    </row>
    <row r="434" spans="1:25" x14ac:dyDescent="0.2">
      <c r="A434" s="280"/>
      <c r="B434" s="280"/>
      <c r="C434" s="251"/>
      <c r="D434" s="281"/>
      <c r="E434" s="251"/>
      <c r="F434" s="251"/>
      <c r="G434" s="282"/>
      <c r="H434" s="253"/>
      <c r="I434" s="250"/>
      <c r="J434" s="251"/>
      <c r="K434" s="252"/>
      <c r="L434" s="253"/>
      <c r="M434" s="250"/>
      <c r="N434" s="251"/>
      <c r="O434" s="252"/>
      <c r="P434" s="253"/>
      <c r="Q434" s="250"/>
      <c r="R434" s="251"/>
      <c r="S434" s="283"/>
      <c r="T434" s="283"/>
      <c r="U434" s="253"/>
      <c r="V434" s="250"/>
      <c r="W434" s="251"/>
      <c r="X434" s="283"/>
      <c r="Y434" s="253"/>
    </row>
    <row r="435" spans="1:25" x14ac:dyDescent="0.2">
      <c r="A435" s="280"/>
      <c r="B435" s="280"/>
      <c r="C435" s="251"/>
      <c r="D435" s="281"/>
      <c r="E435" s="251"/>
      <c r="F435" s="251"/>
      <c r="G435" s="282"/>
      <c r="H435" s="253"/>
      <c r="I435" s="250"/>
      <c r="J435" s="251"/>
      <c r="K435" s="252"/>
      <c r="L435" s="253"/>
      <c r="M435" s="250"/>
      <c r="N435" s="251"/>
      <c r="O435" s="252"/>
      <c r="P435" s="253"/>
      <c r="Q435" s="250"/>
      <c r="R435" s="251"/>
      <c r="S435" s="283"/>
      <c r="T435" s="283"/>
      <c r="U435" s="253"/>
      <c r="V435" s="250"/>
      <c r="W435" s="251"/>
      <c r="X435" s="283"/>
      <c r="Y435" s="253"/>
    </row>
    <row r="436" spans="1:25" x14ac:dyDescent="0.2">
      <c r="A436" s="280"/>
      <c r="B436" s="280"/>
      <c r="C436" s="251"/>
      <c r="D436" s="281"/>
      <c r="E436" s="251"/>
      <c r="F436" s="251"/>
      <c r="G436" s="282"/>
      <c r="H436" s="253"/>
      <c r="I436" s="250"/>
      <c r="J436" s="251"/>
      <c r="K436" s="252"/>
      <c r="L436" s="253"/>
      <c r="M436" s="250"/>
      <c r="N436" s="251"/>
      <c r="O436" s="252"/>
      <c r="P436" s="253"/>
      <c r="Q436" s="250"/>
      <c r="R436" s="251"/>
      <c r="S436" s="283"/>
      <c r="T436" s="283"/>
      <c r="U436" s="253"/>
      <c r="V436" s="250"/>
      <c r="W436" s="251"/>
      <c r="X436" s="283"/>
      <c r="Y436" s="253"/>
    </row>
    <row r="437" spans="1:25" x14ac:dyDescent="0.2">
      <c r="A437" s="280"/>
      <c r="B437" s="280"/>
      <c r="C437" s="251"/>
      <c r="D437" s="281"/>
      <c r="E437" s="251"/>
      <c r="F437" s="251"/>
      <c r="G437" s="282"/>
      <c r="H437" s="253"/>
      <c r="I437" s="250"/>
      <c r="J437" s="251"/>
      <c r="K437" s="252"/>
      <c r="L437" s="253"/>
      <c r="M437" s="250"/>
      <c r="N437" s="251"/>
      <c r="O437" s="252"/>
      <c r="P437" s="253"/>
      <c r="Q437" s="250"/>
      <c r="R437" s="251"/>
      <c r="S437" s="283"/>
      <c r="T437" s="283"/>
      <c r="U437" s="253"/>
      <c r="V437" s="250"/>
      <c r="W437" s="251"/>
      <c r="X437" s="283"/>
      <c r="Y437" s="253"/>
    </row>
    <row r="438" spans="1:25" x14ac:dyDescent="0.2">
      <c r="A438" s="280"/>
      <c r="B438" s="280"/>
      <c r="C438" s="251"/>
      <c r="D438" s="281"/>
      <c r="E438" s="251"/>
      <c r="F438" s="251"/>
      <c r="G438" s="282"/>
      <c r="H438" s="253"/>
      <c r="I438" s="250"/>
      <c r="J438" s="251"/>
      <c r="K438" s="252"/>
      <c r="L438" s="253"/>
      <c r="M438" s="250"/>
      <c r="N438" s="251"/>
      <c r="O438" s="252"/>
      <c r="P438" s="253"/>
      <c r="Q438" s="250"/>
      <c r="R438" s="251"/>
      <c r="S438" s="283"/>
      <c r="T438" s="283"/>
      <c r="U438" s="253"/>
      <c r="V438" s="250"/>
      <c r="W438" s="251"/>
      <c r="X438" s="283"/>
      <c r="Y438" s="253"/>
    </row>
    <row r="439" spans="1:25" x14ac:dyDescent="0.2">
      <c r="A439" s="280"/>
      <c r="B439" s="280"/>
      <c r="C439" s="251"/>
      <c r="D439" s="281"/>
      <c r="E439" s="251"/>
      <c r="F439" s="251"/>
      <c r="G439" s="282"/>
      <c r="H439" s="253"/>
      <c r="I439" s="250"/>
      <c r="J439" s="251"/>
      <c r="K439" s="252"/>
      <c r="L439" s="253"/>
      <c r="M439" s="250"/>
      <c r="N439" s="251"/>
      <c r="O439" s="252"/>
      <c r="P439" s="253"/>
      <c r="Q439" s="250"/>
      <c r="R439" s="251"/>
      <c r="S439" s="283"/>
      <c r="T439" s="283"/>
      <c r="U439" s="253"/>
      <c r="V439" s="250"/>
      <c r="W439" s="251"/>
      <c r="X439" s="283"/>
      <c r="Y439" s="253"/>
    </row>
    <row r="440" spans="1:25" x14ac:dyDescent="0.2">
      <c r="A440" s="280"/>
      <c r="B440" s="280"/>
      <c r="C440" s="251"/>
      <c r="D440" s="281"/>
      <c r="E440" s="251"/>
      <c r="F440" s="251"/>
      <c r="G440" s="282"/>
      <c r="H440" s="253"/>
      <c r="I440" s="250"/>
      <c r="J440" s="251"/>
      <c r="K440" s="252"/>
      <c r="L440" s="253"/>
      <c r="M440" s="250"/>
      <c r="N440" s="251"/>
      <c r="O440" s="252"/>
      <c r="P440" s="253"/>
      <c r="Q440" s="250"/>
      <c r="R440" s="251"/>
      <c r="S440" s="283"/>
      <c r="T440" s="283"/>
      <c r="U440" s="253"/>
      <c r="V440" s="250"/>
      <c r="W440" s="251"/>
      <c r="X440" s="283"/>
      <c r="Y440" s="253"/>
    </row>
    <row r="441" spans="1:25" x14ac:dyDescent="0.2">
      <c r="A441" s="280"/>
      <c r="B441" s="280"/>
      <c r="C441" s="251"/>
      <c r="D441" s="281"/>
      <c r="E441" s="251"/>
      <c r="F441" s="251"/>
      <c r="G441" s="282"/>
      <c r="H441" s="253"/>
      <c r="I441" s="250"/>
      <c r="J441" s="251"/>
      <c r="K441" s="252"/>
      <c r="L441" s="253"/>
      <c r="M441" s="250"/>
      <c r="N441" s="251"/>
      <c r="O441" s="252"/>
      <c r="P441" s="253"/>
      <c r="Q441" s="250"/>
      <c r="R441" s="251"/>
      <c r="S441" s="283"/>
      <c r="T441" s="283"/>
      <c r="U441" s="253"/>
      <c r="V441" s="250"/>
      <c r="W441" s="251"/>
      <c r="X441" s="283"/>
      <c r="Y441" s="253"/>
    </row>
    <row r="442" spans="1:25" x14ac:dyDescent="0.2">
      <c r="A442" s="280"/>
      <c r="B442" s="280"/>
      <c r="C442" s="251"/>
      <c r="D442" s="281"/>
      <c r="E442" s="251"/>
      <c r="F442" s="251"/>
      <c r="G442" s="282"/>
      <c r="H442" s="253"/>
      <c r="I442" s="250"/>
      <c r="J442" s="251"/>
      <c r="K442" s="252"/>
      <c r="L442" s="253"/>
      <c r="M442" s="250"/>
      <c r="N442" s="251"/>
      <c r="O442" s="252"/>
      <c r="P442" s="253"/>
      <c r="Q442" s="250"/>
      <c r="R442" s="251"/>
      <c r="S442" s="283"/>
      <c r="T442" s="283"/>
      <c r="U442" s="253"/>
      <c r="V442" s="250"/>
      <c r="W442" s="251"/>
      <c r="X442" s="283"/>
      <c r="Y442" s="253"/>
    </row>
    <row r="443" spans="1:25" x14ac:dyDescent="0.2">
      <c r="A443" s="280"/>
      <c r="B443" s="280"/>
      <c r="C443" s="251"/>
      <c r="D443" s="281"/>
      <c r="E443" s="251"/>
      <c r="F443" s="251"/>
      <c r="G443" s="282"/>
      <c r="H443" s="253"/>
      <c r="I443" s="250"/>
      <c r="J443" s="251"/>
      <c r="K443" s="252"/>
      <c r="L443" s="253"/>
      <c r="M443" s="250"/>
      <c r="N443" s="251"/>
      <c r="O443" s="252"/>
      <c r="P443" s="253"/>
      <c r="Q443" s="250"/>
      <c r="R443" s="251"/>
      <c r="S443" s="283"/>
      <c r="T443" s="283"/>
      <c r="U443" s="253"/>
      <c r="V443" s="250"/>
      <c r="W443" s="251"/>
      <c r="X443" s="283"/>
      <c r="Y443" s="253"/>
    </row>
    <row r="444" spans="1:25" x14ac:dyDescent="0.2">
      <c r="A444" s="280"/>
      <c r="B444" s="280"/>
      <c r="C444" s="251"/>
      <c r="D444" s="281"/>
      <c r="E444" s="251"/>
      <c r="F444" s="251"/>
      <c r="G444" s="282"/>
      <c r="H444" s="253"/>
      <c r="I444" s="250"/>
      <c r="J444" s="251"/>
      <c r="K444" s="252"/>
      <c r="L444" s="253"/>
      <c r="M444" s="250"/>
      <c r="N444" s="251"/>
      <c r="O444" s="252"/>
      <c r="P444" s="253"/>
      <c r="Q444" s="250"/>
      <c r="R444" s="251"/>
      <c r="S444" s="283"/>
      <c r="T444" s="283"/>
      <c r="U444" s="253"/>
      <c r="V444" s="250"/>
      <c r="W444" s="251"/>
      <c r="X444" s="283"/>
      <c r="Y444" s="253"/>
    </row>
    <row r="445" spans="1:25" x14ac:dyDescent="0.2">
      <c r="A445" s="280"/>
      <c r="B445" s="280"/>
      <c r="C445" s="251"/>
      <c r="D445" s="281"/>
      <c r="E445" s="251"/>
      <c r="F445" s="251"/>
      <c r="G445" s="282"/>
      <c r="H445" s="253"/>
      <c r="I445" s="250"/>
      <c r="J445" s="251"/>
      <c r="K445" s="252"/>
      <c r="L445" s="253"/>
      <c r="M445" s="250"/>
      <c r="N445" s="251"/>
      <c r="O445" s="252"/>
      <c r="P445" s="253"/>
      <c r="Q445" s="250"/>
      <c r="R445" s="251"/>
      <c r="S445" s="283"/>
      <c r="T445" s="283"/>
      <c r="U445" s="253"/>
      <c r="V445" s="250"/>
      <c r="W445" s="251"/>
      <c r="X445" s="283"/>
      <c r="Y445" s="253"/>
    </row>
    <row r="446" spans="1:25" x14ac:dyDescent="0.2">
      <c r="A446" s="280"/>
      <c r="B446" s="280"/>
      <c r="C446" s="251"/>
      <c r="D446" s="281"/>
      <c r="E446" s="251"/>
      <c r="F446" s="251"/>
      <c r="G446" s="282"/>
      <c r="H446" s="253"/>
      <c r="I446" s="250"/>
      <c r="J446" s="251"/>
      <c r="K446" s="252"/>
      <c r="L446" s="253"/>
      <c r="M446" s="250"/>
      <c r="N446" s="251"/>
      <c r="O446" s="252"/>
      <c r="P446" s="253"/>
      <c r="Q446" s="250"/>
      <c r="R446" s="251"/>
      <c r="S446" s="283"/>
      <c r="T446" s="283"/>
      <c r="U446" s="253"/>
      <c r="V446" s="250"/>
      <c r="W446" s="251"/>
      <c r="X446" s="283"/>
      <c r="Y446" s="253"/>
    </row>
    <row r="447" spans="1:25" x14ac:dyDescent="0.2">
      <c r="A447" s="280"/>
      <c r="B447" s="280"/>
      <c r="C447" s="251"/>
      <c r="D447" s="281"/>
      <c r="E447" s="251"/>
      <c r="F447" s="251"/>
      <c r="G447" s="282"/>
      <c r="H447" s="253"/>
      <c r="I447" s="250"/>
      <c r="J447" s="251"/>
      <c r="K447" s="252"/>
      <c r="L447" s="253"/>
      <c r="M447" s="250"/>
      <c r="N447" s="251"/>
      <c r="O447" s="252"/>
      <c r="P447" s="253"/>
      <c r="Q447" s="250"/>
      <c r="R447" s="251"/>
      <c r="S447" s="283"/>
      <c r="T447" s="283"/>
      <c r="U447" s="253"/>
      <c r="V447" s="250"/>
      <c r="W447" s="251"/>
      <c r="X447" s="283"/>
      <c r="Y447" s="253"/>
    </row>
    <row r="448" spans="1:25" x14ac:dyDescent="0.2">
      <c r="A448" s="280"/>
      <c r="B448" s="280"/>
      <c r="C448" s="251"/>
      <c r="D448" s="281"/>
      <c r="E448" s="251"/>
      <c r="F448" s="251"/>
      <c r="G448" s="282"/>
      <c r="H448" s="253"/>
      <c r="I448" s="250"/>
      <c r="J448" s="251"/>
      <c r="K448" s="252"/>
      <c r="L448" s="253"/>
      <c r="M448" s="250"/>
      <c r="N448" s="251"/>
      <c r="O448" s="252"/>
      <c r="P448" s="253"/>
      <c r="Q448" s="250"/>
      <c r="R448" s="251"/>
      <c r="S448" s="283"/>
      <c r="T448" s="283"/>
      <c r="U448" s="253"/>
      <c r="V448" s="250"/>
      <c r="W448" s="251"/>
      <c r="X448" s="283"/>
      <c r="Y448" s="253"/>
    </row>
    <row r="449" spans="1:25" x14ac:dyDescent="0.2">
      <c r="A449" s="280"/>
      <c r="B449" s="280"/>
      <c r="C449" s="251"/>
      <c r="D449" s="281"/>
      <c r="E449" s="251"/>
      <c r="F449" s="251"/>
      <c r="G449" s="282"/>
      <c r="H449" s="253"/>
      <c r="I449" s="250"/>
      <c r="J449" s="251"/>
      <c r="K449" s="252"/>
      <c r="L449" s="253"/>
      <c r="M449" s="250"/>
      <c r="N449" s="251"/>
      <c r="O449" s="252"/>
      <c r="P449" s="253"/>
      <c r="Q449" s="250"/>
      <c r="R449" s="251"/>
      <c r="S449" s="283"/>
      <c r="T449" s="283"/>
      <c r="U449" s="253"/>
      <c r="V449" s="250"/>
      <c r="W449" s="251"/>
      <c r="X449" s="283"/>
      <c r="Y449" s="253"/>
    </row>
    <row r="450" spans="1:25" x14ac:dyDescent="0.2">
      <c r="A450" s="280"/>
      <c r="B450" s="280"/>
      <c r="C450" s="251"/>
      <c r="D450" s="281"/>
      <c r="E450" s="251"/>
      <c r="F450" s="251"/>
      <c r="G450" s="282"/>
      <c r="H450" s="253"/>
      <c r="I450" s="250"/>
      <c r="J450" s="251"/>
      <c r="K450" s="252"/>
      <c r="L450" s="253"/>
      <c r="M450" s="250"/>
      <c r="N450" s="251"/>
      <c r="O450" s="252"/>
      <c r="P450" s="253"/>
      <c r="Q450" s="250"/>
      <c r="R450" s="251"/>
      <c r="S450" s="283"/>
      <c r="T450" s="283"/>
      <c r="U450" s="253"/>
      <c r="V450" s="250"/>
      <c r="W450" s="251"/>
      <c r="X450" s="283"/>
      <c r="Y450" s="253"/>
    </row>
    <row r="451" spans="1:25" x14ac:dyDescent="0.2">
      <c r="A451" s="280"/>
      <c r="B451" s="280"/>
      <c r="C451" s="251"/>
      <c r="D451" s="281"/>
      <c r="E451" s="251"/>
      <c r="F451" s="251"/>
      <c r="G451" s="282"/>
      <c r="H451" s="253"/>
      <c r="I451" s="250"/>
      <c r="J451" s="251"/>
      <c r="K451" s="252"/>
      <c r="L451" s="253"/>
      <c r="M451" s="250"/>
      <c r="N451" s="251"/>
      <c r="O451" s="252"/>
      <c r="P451" s="253"/>
      <c r="Q451" s="250"/>
      <c r="R451" s="251"/>
      <c r="S451" s="283"/>
      <c r="T451" s="283"/>
      <c r="U451" s="253"/>
      <c r="V451" s="250"/>
      <c r="W451" s="251"/>
      <c r="X451" s="283"/>
      <c r="Y451" s="253"/>
    </row>
    <row r="452" spans="1:25" x14ac:dyDescent="0.2">
      <c r="A452" s="280"/>
      <c r="B452" s="280"/>
      <c r="C452" s="251"/>
      <c r="D452" s="281"/>
      <c r="E452" s="251"/>
      <c r="F452" s="251"/>
      <c r="G452" s="282"/>
      <c r="H452" s="253"/>
      <c r="I452" s="250"/>
      <c r="J452" s="251"/>
      <c r="K452" s="252"/>
      <c r="L452" s="253"/>
      <c r="M452" s="250"/>
      <c r="N452" s="251"/>
      <c r="O452" s="252"/>
      <c r="P452" s="253"/>
      <c r="Q452" s="250"/>
      <c r="R452" s="251"/>
      <c r="S452" s="283"/>
      <c r="T452" s="283"/>
      <c r="U452" s="253"/>
      <c r="V452" s="250"/>
      <c r="W452" s="251"/>
      <c r="X452" s="283"/>
      <c r="Y452" s="253"/>
    </row>
    <row r="453" spans="1:25" x14ac:dyDescent="0.2">
      <c r="A453" s="280"/>
      <c r="B453" s="280"/>
      <c r="C453" s="251"/>
      <c r="D453" s="281"/>
      <c r="E453" s="251"/>
      <c r="F453" s="251"/>
      <c r="G453" s="282"/>
      <c r="H453" s="253"/>
      <c r="I453" s="250"/>
      <c r="J453" s="251"/>
      <c r="K453" s="252"/>
      <c r="L453" s="253"/>
      <c r="M453" s="250"/>
      <c r="N453" s="251"/>
      <c r="O453" s="252"/>
      <c r="P453" s="253"/>
      <c r="Q453" s="250"/>
      <c r="R453" s="251"/>
      <c r="S453" s="283"/>
      <c r="T453" s="283"/>
      <c r="U453" s="253"/>
      <c r="V453" s="250"/>
      <c r="W453" s="251"/>
      <c r="X453" s="283"/>
      <c r="Y453" s="253"/>
    </row>
    <row r="454" spans="1:25" x14ac:dyDescent="0.2">
      <c r="A454" s="280"/>
      <c r="B454" s="280"/>
      <c r="C454" s="251"/>
      <c r="D454" s="281"/>
      <c r="E454" s="251"/>
      <c r="F454" s="251"/>
      <c r="G454" s="282"/>
      <c r="H454" s="253"/>
      <c r="I454" s="250"/>
      <c r="J454" s="251"/>
      <c r="K454" s="252"/>
      <c r="L454" s="253"/>
      <c r="M454" s="250"/>
      <c r="N454" s="251"/>
      <c r="O454" s="252"/>
      <c r="P454" s="253"/>
      <c r="Q454" s="250"/>
      <c r="R454" s="251"/>
      <c r="S454" s="283"/>
      <c r="T454" s="283"/>
      <c r="U454" s="253"/>
      <c r="V454" s="250"/>
      <c r="W454" s="251"/>
      <c r="X454" s="283"/>
      <c r="Y454" s="253"/>
    </row>
    <row r="455" spans="1:25" x14ac:dyDescent="0.2">
      <c r="A455" s="280"/>
      <c r="B455" s="280"/>
      <c r="C455" s="251"/>
      <c r="D455" s="281"/>
      <c r="E455" s="251"/>
      <c r="F455" s="251"/>
      <c r="G455" s="282"/>
      <c r="H455" s="253"/>
      <c r="I455" s="250"/>
      <c r="J455" s="251"/>
      <c r="K455" s="252"/>
      <c r="L455" s="253"/>
      <c r="M455" s="250"/>
      <c r="N455" s="251"/>
      <c r="O455" s="252"/>
      <c r="P455" s="253"/>
      <c r="Q455" s="250"/>
      <c r="R455" s="251"/>
      <c r="S455" s="283"/>
      <c r="T455" s="283"/>
      <c r="U455" s="253"/>
      <c r="V455" s="250"/>
      <c r="W455" s="251"/>
      <c r="X455" s="283"/>
      <c r="Y455" s="253"/>
    </row>
    <row r="456" spans="1:25" x14ac:dyDescent="0.2">
      <c r="A456" s="280"/>
      <c r="B456" s="280"/>
      <c r="C456" s="251"/>
      <c r="D456" s="281"/>
      <c r="E456" s="251"/>
      <c r="F456" s="251"/>
      <c r="G456" s="282"/>
      <c r="H456" s="253"/>
      <c r="I456" s="250"/>
      <c r="J456" s="251"/>
      <c r="K456" s="252"/>
      <c r="L456" s="253"/>
      <c r="M456" s="250"/>
      <c r="N456" s="251"/>
      <c r="O456" s="252"/>
      <c r="P456" s="253"/>
      <c r="Q456" s="250"/>
      <c r="R456" s="251"/>
      <c r="S456" s="283"/>
      <c r="T456" s="283"/>
      <c r="U456" s="253"/>
      <c r="V456" s="250"/>
      <c r="W456" s="251"/>
      <c r="X456" s="283"/>
      <c r="Y456" s="253"/>
    </row>
    <row r="457" spans="1:25" x14ac:dyDescent="0.2">
      <c r="A457" s="280"/>
      <c r="B457" s="280"/>
      <c r="C457" s="251"/>
      <c r="D457" s="281"/>
      <c r="E457" s="251"/>
      <c r="F457" s="251"/>
      <c r="G457" s="282"/>
      <c r="H457" s="253"/>
      <c r="I457" s="250"/>
      <c r="J457" s="251"/>
      <c r="K457" s="252"/>
      <c r="L457" s="253"/>
      <c r="M457" s="250"/>
      <c r="N457" s="251"/>
      <c r="O457" s="252"/>
      <c r="P457" s="253"/>
      <c r="Q457" s="250"/>
      <c r="R457" s="251"/>
      <c r="S457" s="283"/>
      <c r="T457" s="283"/>
      <c r="U457" s="253"/>
      <c r="V457" s="250"/>
      <c r="W457" s="251"/>
      <c r="X457" s="283"/>
      <c r="Y457" s="253"/>
    </row>
    <row r="458" spans="1:25" x14ac:dyDescent="0.2">
      <c r="A458" s="280"/>
      <c r="B458" s="280"/>
      <c r="C458" s="251"/>
      <c r="D458" s="281"/>
      <c r="E458" s="251"/>
      <c r="F458" s="251"/>
      <c r="G458" s="282"/>
      <c r="H458" s="253"/>
      <c r="I458" s="250"/>
      <c r="J458" s="251"/>
      <c r="K458" s="252"/>
      <c r="L458" s="253"/>
      <c r="M458" s="250"/>
      <c r="N458" s="251"/>
      <c r="O458" s="252"/>
      <c r="P458" s="253"/>
      <c r="Q458" s="250"/>
      <c r="R458" s="251"/>
      <c r="S458" s="283"/>
      <c r="T458" s="283"/>
      <c r="U458" s="253"/>
      <c r="V458" s="250"/>
      <c r="W458" s="251"/>
      <c r="X458" s="283"/>
      <c r="Y458" s="253"/>
    </row>
    <row r="459" spans="1:25" x14ac:dyDescent="0.2">
      <c r="A459" s="280"/>
      <c r="B459" s="280"/>
      <c r="C459" s="251"/>
      <c r="D459" s="281"/>
      <c r="E459" s="251"/>
      <c r="F459" s="251"/>
      <c r="G459" s="282"/>
      <c r="H459" s="253"/>
      <c r="I459" s="250"/>
      <c r="J459" s="251"/>
      <c r="K459" s="252"/>
      <c r="L459" s="253"/>
      <c r="M459" s="250"/>
      <c r="N459" s="251"/>
      <c r="O459" s="252"/>
      <c r="P459" s="253"/>
      <c r="Q459" s="250"/>
      <c r="R459" s="251"/>
      <c r="S459" s="283"/>
      <c r="T459" s="283"/>
      <c r="U459" s="253"/>
      <c r="V459" s="250"/>
      <c r="W459" s="251"/>
      <c r="X459" s="283"/>
      <c r="Y459" s="253"/>
    </row>
    <row r="460" spans="1:25" x14ac:dyDescent="0.2">
      <c r="A460" s="280"/>
      <c r="B460" s="280"/>
      <c r="C460" s="251"/>
      <c r="D460" s="281"/>
      <c r="E460" s="251"/>
      <c r="F460" s="251"/>
      <c r="G460" s="282"/>
      <c r="H460" s="253"/>
      <c r="I460" s="250"/>
      <c r="J460" s="251"/>
      <c r="K460" s="252"/>
      <c r="L460" s="253"/>
      <c r="M460" s="250"/>
      <c r="N460" s="251"/>
      <c r="O460" s="252"/>
      <c r="P460" s="253"/>
      <c r="Q460" s="250"/>
      <c r="R460" s="251"/>
      <c r="S460" s="283"/>
      <c r="T460" s="283"/>
      <c r="U460" s="253"/>
      <c r="V460" s="250"/>
      <c r="W460" s="251"/>
      <c r="X460" s="283"/>
      <c r="Y460" s="253"/>
    </row>
    <row r="461" spans="1:25" x14ac:dyDescent="0.2">
      <c r="A461" s="280"/>
      <c r="B461" s="280"/>
      <c r="C461" s="251"/>
      <c r="D461" s="281"/>
      <c r="E461" s="251"/>
      <c r="F461" s="251"/>
      <c r="G461" s="282"/>
      <c r="H461" s="253"/>
      <c r="I461" s="250"/>
      <c r="J461" s="251"/>
      <c r="K461" s="252"/>
      <c r="L461" s="253"/>
      <c r="M461" s="250"/>
      <c r="N461" s="251"/>
      <c r="O461" s="252"/>
      <c r="P461" s="253"/>
      <c r="Q461" s="250"/>
      <c r="R461" s="251"/>
      <c r="S461" s="283"/>
      <c r="T461" s="283"/>
      <c r="U461" s="253"/>
      <c r="V461" s="250"/>
      <c r="W461" s="251"/>
      <c r="X461" s="283"/>
      <c r="Y461" s="253"/>
    </row>
    <row r="462" spans="1:25" x14ac:dyDescent="0.2">
      <c r="A462" s="280"/>
      <c r="B462" s="280"/>
      <c r="C462" s="251"/>
      <c r="D462" s="281"/>
      <c r="E462" s="251"/>
      <c r="F462" s="251"/>
      <c r="G462" s="282"/>
      <c r="H462" s="253"/>
      <c r="I462" s="250"/>
      <c r="J462" s="251"/>
      <c r="K462" s="252"/>
      <c r="L462" s="253"/>
      <c r="M462" s="250"/>
      <c r="N462" s="251"/>
      <c r="O462" s="252"/>
      <c r="P462" s="253"/>
      <c r="Q462" s="250"/>
      <c r="R462" s="251"/>
      <c r="S462" s="283"/>
      <c r="T462" s="283"/>
      <c r="U462" s="253"/>
      <c r="V462" s="250"/>
      <c r="W462" s="251"/>
      <c r="X462" s="283"/>
      <c r="Y462" s="253"/>
    </row>
    <row r="463" spans="1:25" x14ac:dyDescent="0.2">
      <c r="A463" s="280"/>
      <c r="B463" s="280"/>
      <c r="C463" s="251"/>
      <c r="D463" s="281"/>
      <c r="E463" s="251"/>
      <c r="F463" s="251"/>
      <c r="G463" s="282"/>
      <c r="H463" s="253"/>
      <c r="I463" s="250"/>
      <c r="J463" s="251"/>
      <c r="K463" s="252"/>
      <c r="L463" s="253"/>
      <c r="M463" s="250"/>
      <c r="N463" s="251"/>
      <c r="O463" s="252"/>
      <c r="P463" s="253"/>
      <c r="Q463" s="250"/>
      <c r="R463" s="251"/>
      <c r="S463" s="283"/>
      <c r="T463" s="283"/>
      <c r="U463" s="253"/>
      <c r="V463" s="250"/>
      <c r="W463" s="251"/>
      <c r="X463" s="283"/>
      <c r="Y463" s="253"/>
    </row>
    <row r="464" spans="1:25" x14ac:dyDescent="0.2">
      <c r="A464" s="280"/>
      <c r="B464" s="280"/>
      <c r="C464" s="251"/>
      <c r="D464" s="281"/>
      <c r="E464" s="251"/>
      <c r="F464" s="251"/>
      <c r="G464" s="282"/>
      <c r="H464" s="253"/>
      <c r="I464" s="250"/>
      <c r="J464" s="251"/>
      <c r="K464" s="252"/>
      <c r="L464" s="253"/>
      <c r="M464" s="250"/>
      <c r="N464" s="251"/>
      <c r="O464" s="252"/>
      <c r="P464" s="253"/>
      <c r="Q464" s="250"/>
      <c r="R464" s="251"/>
      <c r="S464" s="283"/>
      <c r="T464" s="283"/>
      <c r="U464" s="253"/>
      <c r="V464" s="250"/>
      <c r="W464" s="251"/>
      <c r="X464" s="283"/>
      <c r="Y464" s="253"/>
    </row>
    <row r="465" spans="1:25" x14ac:dyDescent="0.2">
      <c r="A465" s="280"/>
      <c r="B465" s="280"/>
      <c r="C465" s="251"/>
      <c r="D465" s="281"/>
      <c r="E465" s="251"/>
      <c r="F465" s="251"/>
      <c r="G465" s="282"/>
      <c r="H465" s="253"/>
      <c r="I465" s="250"/>
      <c r="J465" s="251"/>
      <c r="K465" s="252"/>
      <c r="L465" s="253"/>
      <c r="M465" s="250"/>
      <c r="N465" s="251"/>
      <c r="O465" s="252"/>
      <c r="P465" s="253"/>
      <c r="Q465" s="250"/>
      <c r="R465" s="251"/>
      <c r="S465" s="283"/>
      <c r="T465" s="283"/>
      <c r="U465" s="253"/>
      <c r="V465" s="250"/>
      <c r="W465" s="251"/>
      <c r="X465" s="283"/>
      <c r="Y465" s="253"/>
    </row>
    <row r="466" spans="1:25" x14ac:dyDescent="0.2">
      <c r="A466" s="280"/>
      <c r="B466" s="280"/>
      <c r="C466" s="251"/>
      <c r="D466" s="281"/>
      <c r="E466" s="251"/>
      <c r="F466" s="251"/>
      <c r="G466" s="282"/>
      <c r="H466" s="253"/>
      <c r="I466" s="250"/>
      <c r="J466" s="251"/>
      <c r="K466" s="252"/>
      <c r="L466" s="253"/>
      <c r="M466" s="250"/>
      <c r="N466" s="251"/>
      <c r="O466" s="252"/>
      <c r="P466" s="253"/>
      <c r="Q466" s="250"/>
      <c r="R466" s="251"/>
      <c r="S466" s="283"/>
      <c r="T466" s="283"/>
      <c r="U466" s="253"/>
      <c r="V466" s="250"/>
      <c r="W466" s="251"/>
      <c r="X466" s="283"/>
      <c r="Y466" s="253"/>
    </row>
    <row r="467" spans="1:25" x14ac:dyDescent="0.2">
      <c r="A467" s="280"/>
      <c r="B467" s="280"/>
      <c r="C467" s="251"/>
      <c r="D467" s="281"/>
      <c r="E467" s="251"/>
      <c r="F467" s="251"/>
      <c r="G467" s="282"/>
      <c r="H467" s="253"/>
      <c r="I467" s="250"/>
      <c r="J467" s="251"/>
      <c r="K467" s="252"/>
      <c r="L467" s="253"/>
      <c r="M467" s="250"/>
      <c r="N467" s="251"/>
      <c r="O467" s="252"/>
      <c r="P467" s="253"/>
      <c r="Q467" s="250"/>
      <c r="R467" s="251"/>
      <c r="S467" s="283"/>
      <c r="T467" s="283"/>
      <c r="U467" s="253"/>
      <c r="V467" s="250"/>
      <c r="W467" s="251"/>
      <c r="X467" s="283"/>
      <c r="Y467" s="253"/>
    </row>
    <row r="468" spans="1:25" x14ac:dyDescent="0.2">
      <c r="A468" s="280"/>
      <c r="B468" s="280"/>
      <c r="C468" s="251"/>
      <c r="D468" s="281"/>
      <c r="E468" s="251"/>
      <c r="F468" s="251"/>
      <c r="G468" s="282"/>
      <c r="H468" s="253"/>
      <c r="I468" s="250"/>
      <c r="J468" s="251"/>
      <c r="K468" s="252"/>
      <c r="L468" s="253"/>
      <c r="M468" s="250"/>
      <c r="N468" s="251"/>
      <c r="O468" s="252"/>
      <c r="P468" s="253"/>
      <c r="Q468" s="250"/>
      <c r="R468" s="251"/>
      <c r="S468" s="283"/>
      <c r="T468" s="283"/>
      <c r="U468" s="253"/>
      <c r="V468" s="250"/>
      <c r="W468" s="251"/>
      <c r="X468" s="283"/>
      <c r="Y468" s="253"/>
    </row>
    <row r="469" spans="1:25" x14ac:dyDescent="0.2">
      <c r="A469" s="280"/>
      <c r="B469" s="280"/>
      <c r="C469" s="251"/>
      <c r="D469" s="281"/>
      <c r="E469" s="251"/>
      <c r="F469" s="251"/>
      <c r="G469" s="282"/>
      <c r="H469" s="253"/>
      <c r="I469" s="250"/>
      <c r="J469" s="251"/>
      <c r="K469" s="252"/>
      <c r="L469" s="253"/>
      <c r="M469" s="250"/>
      <c r="N469" s="251"/>
      <c r="O469" s="252"/>
      <c r="P469" s="253"/>
      <c r="Q469" s="250"/>
      <c r="R469" s="251"/>
      <c r="S469" s="283"/>
      <c r="T469" s="283"/>
      <c r="U469" s="253"/>
      <c r="V469" s="250"/>
      <c r="W469" s="251"/>
      <c r="X469" s="283"/>
      <c r="Y469" s="253"/>
    </row>
    <row r="470" spans="1:25" x14ac:dyDescent="0.2">
      <c r="A470" s="280"/>
      <c r="B470" s="280"/>
      <c r="C470" s="251"/>
      <c r="D470" s="281"/>
      <c r="E470" s="251"/>
      <c r="F470" s="251"/>
      <c r="G470" s="282"/>
      <c r="H470" s="253"/>
      <c r="I470" s="250"/>
      <c r="J470" s="251"/>
      <c r="K470" s="252"/>
      <c r="L470" s="253"/>
      <c r="M470" s="250"/>
      <c r="N470" s="251"/>
      <c r="O470" s="252"/>
      <c r="P470" s="253"/>
      <c r="Q470" s="250"/>
      <c r="R470" s="251"/>
      <c r="S470" s="283"/>
      <c r="T470" s="283"/>
      <c r="U470" s="253"/>
      <c r="V470" s="250"/>
      <c r="W470" s="251"/>
      <c r="X470" s="283"/>
      <c r="Y470" s="253"/>
    </row>
    <row r="471" spans="1:25" x14ac:dyDescent="0.2">
      <c r="A471" s="280"/>
      <c r="B471" s="280"/>
      <c r="C471" s="251"/>
      <c r="D471" s="281"/>
      <c r="E471" s="251"/>
      <c r="F471" s="251"/>
      <c r="G471" s="282"/>
      <c r="H471" s="253"/>
      <c r="I471" s="250"/>
      <c r="J471" s="251"/>
      <c r="K471" s="252"/>
      <c r="L471" s="253"/>
      <c r="M471" s="250"/>
      <c r="N471" s="251"/>
      <c r="O471" s="252"/>
      <c r="P471" s="253"/>
      <c r="Q471" s="250"/>
      <c r="R471" s="251"/>
      <c r="S471" s="283"/>
      <c r="T471" s="283"/>
      <c r="U471" s="253"/>
      <c r="V471" s="250"/>
      <c r="W471" s="251"/>
      <c r="X471" s="283"/>
      <c r="Y471" s="253"/>
    </row>
    <row r="472" spans="1:25" x14ac:dyDescent="0.2">
      <c r="A472" s="280"/>
      <c r="B472" s="280"/>
      <c r="C472" s="251"/>
      <c r="D472" s="281"/>
      <c r="E472" s="251"/>
      <c r="F472" s="251"/>
      <c r="G472" s="282"/>
      <c r="H472" s="253"/>
      <c r="I472" s="250"/>
      <c r="J472" s="251"/>
      <c r="K472" s="252"/>
      <c r="L472" s="253"/>
      <c r="M472" s="250"/>
      <c r="N472" s="251"/>
      <c r="O472" s="252"/>
      <c r="P472" s="253"/>
      <c r="Q472" s="250"/>
      <c r="R472" s="251"/>
      <c r="S472" s="283"/>
      <c r="T472" s="283"/>
      <c r="U472" s="253"/>
      <c r="V472" s="250"/>
      <c r="W472" s="251"/>
      <c r="X472" s="283"/>
      <c r="Y472" s="253"/>
    </row>
    <row r="473" spans="1:25" x14ac:dyDescent="0.2">
      <c r="A473" s="280"/>
      <c r="B473" s="280"/>
      <c r="C473" s="251"/>
      <c r="D473" s="281"/>
      <c r="E473" s="251"/>
      <c r="F473" s="251"/>
      <c r="G473" s="282"/>
      <c r="H473" s="253"/>
      <c r="I473" s="250"/>
      <c r="J473" s="251"/>
      <c r="K473" s="252"/>
      <c r="L473" s="253"/>
      <c r="M473" s="250"/>
      <c r="N473" s="251"/>
      <c r="O473" s="252"/>
      <c r="P473" s="253"/>
      <c r="Q473" s="250"/>
      <c r="R473" s="251"/>
      <c r="S473" s="283"/>
      <c r="T473" s="283"/>
      <c r="U473" s="253"/>
      <c r="V473" s="250"/>
      <c r="W473" s="251"/>
      <c r="X473" s="283"/>
      <c r="Y473" s="253"/>
    </row>
    <row r="474" spans="1:25" x14ac:dyDescent="0.2">
      <c r="A474" s="280"/>
      <c r="B474" s="280"/>
      <c r="C474" s="251"/>
      <c r="D474" s="281"/>
      <c r="E474" s="251"/>
      <c r="F474" s="251"/>
      <c r="G474" s="282"/>
      <c r="H474" s="253"/>
      <c r="I474" s="250"/>
      <c r="J474" s="251"/>
      <c r="K474" s="252"/>
      <c r="L474" s="253"/>
      <c r="M474" s="250"/>
      <c r="N474" s="251"/>
      <c r="O474" s="252"/>
      <c r="P474" s="253"/>
      <c r="Q474" s="250"/>
      <c r="R474" s="251"/>
      <c r="S474" s="283"/>
      <c r="T474" s="283"/>
      <c r="U474" s="253"/>
      <c r="V474" s="250"/>
      <c r="W474" s="251"/>
      <c r="X474" s="283"/>
      <c r="Y474" s="253"/>
    </row>
    <row r="475" spans="1:25" x14ac:dyDescent="0.2">
      <c r="A475" s="280"/>
      <c r="B475" s="280"/>
      <c r="C475" s="251"/>
      <c r="D475" s="281"/>
      <c r="E475" s="251"/>
      <c r="F475" s="251"/>
      <c r="G475" s="282"/>
      <c r="H475" s="253"/>
      <c r="I475" s="250"/>
      <c r="J475" s="251"/>
      <c r="K475" s="252"/>
      <c r="L475" s="253"/>
      <c r="M475" s="250"/>
      <c r="N475" s="251"/>
      <c r="O475" s="252"/>
      <c r="P475" s="253"/>
      <c r="Q475" s="250"/>
      <c r="R475" s="251"/>
      <c r="S475" s="283"/>
      <c r="T475" s="283"/>
      <c r="U475" s="253"/>
      <c r="V475" s="250"/>
      <c r="W475" s="251"/>
      <c r="X475" s="283"/>
      <c r="Y475" s="253"/>
    </row>
    <row r="476" spans="1:25" x14ac:dyDescent="0.2">
      <c r="A476" s="280"/>
      <c r="B476" s="280"/>
      <c r="C476" s="251"/>
      <c r="D476" s="281"/>
      <c r="E476" s="251"/>
      <c r="F476" s="251"/>
      <c r="G476" s="282"/>
      <c r="H476" s="253"/>
      <c r="I476" s="250"/>
      <c r="J476" s="251"/>
      <c r="K476" s="252"/>
      <c r="L476" s="253"/>
      <c r="M476" s="250"/>
      <c r="N476" s="251"/>
      <c r="O476" s="252"/>
      <c r="P476" s="253"/>
      <c r="Q476" s="250"/>
      <c r="R476" s="251"/>
      <c r="S476" s="283"/>
      <c r="T476" s="283"/>
      <c r="U476" s="253"/>
      <c r="V476" s="250"/>
      <c r="W476" s="251"/>
      <c r="X476" s="283"/>
      <c r="Y476" s="253"/>
    </row>
    <row r="477" spans="1:25" x14ac:dyDescent="0.2">
      <c r="A477" s="280"/>
      <c r="B477" s="280"/>
      <c r="C477" s="251"/>
      <c r="D477" s="281"/>
      <c r="E477" s="251"/>
      <c r="F477" s="251"/>
      <c r="G477" s="282"/>
      <c r="H477" s="253"/>
      <c r="I477" s="250"/>
      <c r="J477" s="251"/>
      <c r="K477" s="252"/>
      <c r="L477" s="253"/>
      <c r="M477" s="250"/>
      <c r="N477" s="251"/>
      <c r="O477" s="252"/>
      <c r="P477" s="253"/>
      <c r="Q477" s="250"/>
      <c r="R477" s="251"/>
      <c r="S477" s="283"/>
      <c r="T477" s="283"/>
      <c r="U477" s="253"/>
      <c r="V477" s="250"/>
      <c r="W477" s="251"/>
      <c r="X477" s="283"/>
      <c r="Y477" s="253"/>
    </row>
    <row r="478" spans="1:25" x14ac:dyDescent="0.2">
      <c r="A478" s="280"/>
      <c r="B478" s="280"/>
      <c r="C478" s="251"/>
      <c r="D478" s="281"/>
      <c r="E478" s="251"/>
      <c r="F478" s="251"/>
      <c r="G478" s="282"/>
      <c r="H478" s="253"/>
      <c r="I478" s="250"/>
      <c r="J478" s="251"/>
      <c r="K478" s="252"/>
      <c r="L478" s="253"/>
      <c r="M478" s="250"/>
      <c r="N478" s="251"/>
      <c r="O478" s="252"/>
      <c r="P478" s="253"/>
      <c r="Q478" s="250"/>
      <c r="R478" s="251"/>
      <c r="S478" s="283"/>
      <c r="T478" s="283"/>
      <c r="U478" s="253"/>
      <c r="V478" s="250"/>
      <c r="W478" s="251"/>
      <c r="X478" s="283"/>
      <c r="Y478" s="253"/>
    </row>
    <row r="479" spans="1:25" x14ac:dyDescent="0.2">
      <c r="A479" s="280"/>
      <c r="B479" s="280"/>
      <c r="C479" s="251"/>
      <c r="D479" s="281"/>
      <c r="E479" s="251"/>
      <c r="F479" s="251"/>
      <c r="G479" s="282"/>
      <c r="H479" s="253"/>
      <c r="I479" s="250"/>
      <c r="J479" s="251"/>
      <c r="K479" s="252"/>
      <c r="L479" s="253"/>
      <c r="M479" s="250"/>
      <c r="N479" s="251"/>
      <c r="O479" s="252"/>
      <c r="P479" s="253"/>
      <c r="Q479" s="250"/>
      <c r="R479" s="251"/>
      <c r="S479" s="283"/>
      <c r="T479" s="283"/>
      <c r="U479" s="253"/>
      <c r="V479" s="250"/>
      <c r="W479" s="251"/>
      <c r="X479" s="283"/>
      <c r="Y479" s="253"/>
    </row>
    <row r="480" spans="1:25" x14ac:dyDescent="0.2">
      <c r="A480" s="280"/>
      <c r="B480" s="280"/>
      <c r="C480" s="251"/>
      <c r="D480" s="281"/>
      <c r="E480" s="251"/>
      <c r="F480" s="251"/>
      <c r="G480" s="282"/>
      <c r="H480" s="253"/>
      <c r="I480" s="250"/>
      <c r="J480" s="251"/>
      <c r="K480" s="252"/>
      <c r="L480" s="253"/>
      <c r="M480" s="250"/>
      <c r="N480" s="251"/>
      <c r="O480" s="252"/>
      <c r="P480" s="253"/>
      <c r="Q480" s="250"/>
      <c r="R480" s="251"/>
      <c r="S480" s="283"/>
      <c r="T480" s="283"/>
      <c r="U480" s="253"/>
      <c r="V480" s="250"/>
      <c r="W480" s="251"/>
      <c r="X480" s="283"/>
      <c r="Y480" s="253"/>
    </row>
    <row r="481" spans="1:25" x14ac:dyDescent="0.2">
      <c r="A481" s="280"/>
      <c r="B481" s="280"/>
      <c r="C481" s="251"/>
      <c r="D481" s="281"/>
      <c r="E481" s="251"/>
      <c r="F481" s="251"/>
      <c r="G481" s="282"/>
      <c r="H481" s="253"/>
      <c r="I481" s="250"/>
      <c r="J481" s="251"/>
      <c r="K481" s="252"/>
      <c r="L481" s="253"/>
      <c r="M481" s="250"/>
      <c r="N481" s="251"/>
      <c r="O481" s="252"/>
      <c r="P481" s="253"/>
      <c r="Q481" s="250"/>
      <c r="R481" s="251"/>
      <c r="S481" s="283"/>
      <c r="T481" s="283"/>
      <c r="U481" s="253"/>
      <c r="V481" s="250"/>
      <c r="W481" s="251"/>
      <c r="X481" s="283"/>
      <c r="Y481" s="253"/>
    </row>
    <row r="482" spans="1:25" x14ac:dyDescent="0.2">
      <c r="A482" s="280"/>
      <c r="B482" s="280"/>
      <c r="C482" s="251"/>
      <c r="D482" s="281"/>
      <c r="E482" s="251"/>
      <c r="F482" s="251"/>
      <c r="G482" s="282"/>
      <c r="H482" s="253"/>
      <c r="I482" s="250"/>
      <c r="J482" s="251"/>
      <c r="K482" s="252"/>
      <c r="L482" s="253"/>
      <c r="M482" s="250"/>
      <c r="N482" s="251"/>
      <c r="O482" s="252"/>
      <c r="P482" s="253"/>
      <c r="Q482" s="250"/>
      <c r="R482" s="251"/>
      <c r="S482" s="283"/>
      <c r="T482" s="283"/>
      <c r="U482" s="253"/>
      <c r="V482" s="250"/>
      <c r="W482" s="251"/>
      <c r="X482" s="283"/>
      <c r="Y482" s="253"/>
    </row>
    <row r="483" spans="1:25" x14ac:dyDescent="0.2">
      <c r="A483" s="280"/>
      <c r="B483" s="280"/>
      <c r="C483" s="251"/>
      <c r="D483" s="281"/>
      <c r="E483" s="251"/>
      <c r="F483" s="251"/>
      <c r="G483" s="282"/>
      <c r="H483" s="253"/>
      <c r="I483" s="250"/>
      <c r="J483" s="251"/>
      <c r="K483" s="252"/>
      <c r="L483" s="253"/>
      <c r="M483" s="250"/>
      <c r="N483" s="251"/>
      <c r="O483" s="252"/>
      <c r="P483" s="253"/>
      <c r="Q483" s="250"/>
      <c r="R483" s="251"/>
      <c r="S483" s="283"/>
      <c r="T483" s="283"/>
      <c r="U483" s="253"/>
      <c r="V483" s="250"/>
      <c r="W483" s="251"/>
      <c r="X483" s="283"/>
      <c r="Y483" s="253"/>
    </row>
    <row r="484" spans="1:25" x14ac:dyDescent="0.2">
      <c r="A484" s="280"/>
      <c r="B484" s="280"/>
      <c r="C484" s="251"/>
      <c r="D484" s="281"/>
      <c r="E484" s="251"/>
      <c r="F484" s="251"/>
      <c r="G484" s="282"/>
      <c r="H484" s="253"/>
      <c r="I484" s="250"/>
      <c r="J484" s="251"/>
      <c r="K484" s="252"/>
      <c r="L484" s="253"/>
      <c r="M484" s="250"/>
      <c r="N484" s="251"/>
      <c r="O484" s="252"/>
      <c r="P484" s="253"/>
      <c r="Q484" s="250"/>
      <c r="R484" s="251"/>
      <c r="S484" s="283"/>
      <c r="T484" s="283"/>
      <c r="U484" s="253"/>
      <c r="V484" s="250"/>
      <c r="W484" s="251"/>
      <c r="X484" s="283"/>
      <c r="Y484" s="253"/>
    </row>
    <row r="485" spans="1:25" x14ac:dyDescent="0.2">
      <c r="A485" s="280"/>
      <c r="B485" s="280"/>
      <c r="C485" s="251"/>
      <c r="D485" s="281"/>
      <c r="E485" s="251"/>
      <c r="F485" s="251"/>
      <c r="G485" s="282"/>
      <c r="H485" s="253"/>
      <c r="I485" s="250"/>
      <c r="J485" s="251"/>
      <c r="K485" s="252"/>
      <c r="L485" s="253"/>
      <c r="M485" s="250"/>
      <c r="N485" s="251"/>
      <c r="O485" s="252"/>
      <c r="P485" s="253"/>
      <c r="Q485" s="250"/>
      <c r="R485" s="251"/>
      <c r="S485" s="283"/>
      <c r="T485" s="283"/>
      <c r="U485" s="253"/>
      <c r="V485" s="250"/>
      <c r="W485" s="251"/>
      <c r="X485" s="283"/>
      <c r="Y485" s="253"/>
    </row>
    <row r="486" spans="1:25" x14ac:dyDescent="0.2">
      <c r="A486" s="280"/>
      <c r="B486" s="280"/>
      <c r="C486" s="251"/>
      <c r="D486" s="281"/>
      <c r="E486" s="251"/>
      <c r="F486" s="251"/>
      <c r="G486" s="282"/>
      <c r="H486" s="253"/>
      <c r="I486" s="250"/>
      <c r="J486" s="251"/>
      <c r="K486" s="252"/>
      <c r="L486" s="253"/>
      <c r="M486" s="250"/>
      <c r="N486" s="251"/>
      <c r="O486" s="252"/>
      <c r="P486" s="253"/>
      <c r="Q486" s="250"/>
      <c r="R486" s="251"/>
      <c r="S486" s="283"/>
      <c r="T486" s="283"/>
      <c r="U486" s="253"/>
      <c r="V486" s="250"/>
      <c r="W486" s="251"/>
      <c r="X486" s="283"/>
      <c r="Y486" s="253"/>
    </row>
    <row r="487" spans="1:25" x14ac:dyDescent="0.2">
      <c r="A487" s="280"/>
      <c r="B487" s="280"/>
      <c r="C487" s="251"/>
      <c r="D487" s="281"/>
      <c r="E487" s="251"/>
      <c r="F487" s="251"/>
      <c r="G487" s="282"/>
      <c r="H487" s="253"/>
      <c r="I487" s="250"/>
      <c r="J487" s="251"/>
      <c r="K487" s="252"/>
      <c r="L487" s="253"/>
      <c r="M487" s="250"/>
      <c r="N487" s="251"/>
      <c r="O487" s="252"/>
      <c r="P487" s="253"/>
      <c r="Q487" s="250"/>
      <c r="R487" s="251"/>
      <c r="S487" s="283"/>
      <c r="T487" s="283"/>
      <c r="U487" s="253"/>
      <c r="V487" s="250"/>
      <c r="W487" s="251"/>
      <c r="X487" s="283"/>
      <c r="Y487" s="253"/>
    </row>
    <row r="488" spans="1:25" x14ac:dyDescent="0.2">
      <c r="A488" s="280"/>
      <c r="B488" s="280"/>
      <c r="C488" s="251"/>
      <c r="D488" s="281"/>
      <c r="E488" s="251"/>
      <c r="F488" s="251"/>
      <c r="G488" s="282"/>
      <c r="H488" s="253"/>
      <c r="I488" s="250"/>
      <c r="J488" s="251"/>
      <c r="K488" s="252"/>
      <c r="L488" s="253"/>
      <c r="M488" s="250"/>
      <c r="N488" s="251"/>
      <c r="O488" s="252"/>
      <c r="P488" s="253"/>
      <c r="Q488" s="250"/>
      <c r="R488" s="251"/>
      <c r="S488" s="283"/>
      <c r="T488" s="283"/>
      <c r="U488" s="253"/>
      <c r="V488" s="250"/>
      <c r="W488" s="251"/>
      <c r="X488" s="283"/>
      <c r="Y488" s="253"/>
    </row>
    <row r="489" spans="1:25" x14ac:dyDescent="0.2">
      <c r="A489" s="280"/>
      <c r="B489" s="280"/>
      <c r="C489" s="251"/>
      <c r="D489" s="281"/>
      <c r="E489" s="251"/>
      <c r="F489" s="251"/>
      <c r="G489" s="282"/>
      <c r="H489" s="253"/>
      <c r="I489" s="250"/>
      <c r="J489" s="251"/>
      <c r="K489" s="252"/>
      <c r="L489" s="253"/>
      <c r="M489" s="250"/>
      <c r="N489" s="251"/>
      <c r="O489" s="252"/>
      <c r="P489" s="253"/>
      <c r="Q489" s="250"/>
      <c r="R489" s="251"/>
      <c r="S489" s="283"/>
      <c r="T489" s="283"/>
      <c r="U489" s="253"/>
      <c r="V489" s="250"/>
      <c r="W489" s="251"/>
      <c r="X489" s="283"/>
      <c r="Y489" s="253"/>
    </row>
    <row r="490" spans="1:25" x14ac:dyDescent="0.2">
      <c r="A490" s="280"/>
      <c r="B490" s="280"/>
      <c r="C490" s="251"/>
      <c r="D490" s="281"/>
      <c r="E490" s="251"/>
      <c r="F490" s="251"/>
      <c r="G490" s="282"/>
      <c r="H490" s="253"/>
      <c r="I490" s="250"/>
      <c r="J490" s="251"/>
      <c r="K490" s="252"/>
      <c r="L490" s="253"/>
      <c r="M490" s="250"/>
      <c r="N490" s="251"/>
      <c r="O490" s="252"/>
      <c r="P490" s="253"/>
      <c r="Q490" s="250"/>
      <c r="R490" s="251"/>
      <c r="S490" s="283"/>
      <c r="T490" s="283"/>
      <c r="U490" s="253"/>
      <c r="V490" s="250"/>
      <c r="W490" s="251"/>
      <c r="X490" s="283"/>
      <c r="Y490" s="253"/>
    </row>
    <row r="491" spans="1:25" x14ac:dyDescent="0.2">
      <c r="A491" s="280"/>
      <c r="B491" s="280"/>
      <c r="C491" s="251"/>
      <c r="D491" s="281"/>
      <c r="E491" s="251"/>
      <c r="F491" s="251"/>
      <c r="G491" s="282"/>
      <c r="H491" s="253"/>
      <c r="I491" s="250"/>
      <c r="J491" s="251"/>
      <c r="K491" s="252"/>
      <c r="L491" s="253"/>
      <c r="M491" s="250"/>
      <c r="N491" s="251"/>
      <c r="O491" s="252"/>
      <c r="P491" s="253"/>
      <c r="Q491" s="250"/>
      <c r="R491" s="251"/>
      <c r="S491" s="283"/>
      <c r="T491" s="283"/>
      <c r="U491" s="253"/>
      <c r="V491" s="250"/>
      <c r="W491" s="251"/>
      <c r="X491" s="283"/>
      <c r="Y491" s="253"/>
    </row>
    <row r="492" spans="1:25" x14ac:dyDescent="0.2">
      <c r="A492" s="280"/>
      <c r="B492" s="280"/>
      <c r="C492" s="251"/>
      <c r="D492" s="281"/>
      <c r="E492" s="251"/>
      <c r="F492" s="251"/>
      <c r="G492" s="282"/>
      <c r="H492" s="253"/>
      <c r="I492" s="250"/>
      <c r="J492" s="251"/>
      <c r="K492" s="252"/>
      <c r="L492" s="253"/>
      <c r="M492" s="250"/>
      <c r="N492" s="251"/>
      <c r="O492" s="252"/>
      <c r="P492" s="253"/>
      <c r="Q492" s="250"/>
      <c r="R492" s="251"/>
      <c r="S492" s="283"/>
      <c r="T492" s="283"/>
      <c r="U492" s="253"/>
      <c r="V492" s="250"/>
      <c r="W492" s="251"/>
      <c r="X492" s="283"/>
      <c r="Y492" s="253"/>
    </row>
    <row r="493" spans="1:25" x14ac:dyDescent="0.2">
      <c r="A493" s="280"/>
      <c r="B493" s="280"/>
      <c r="C493" s="251"/>
      <c r="D493" s="281"/>
      <c r="E493" s="251"/>
      <c r="F493" s="251"/>
      <c r="G493" s="282"/>
      <c r="H493" s="253"/>
      <c r="I493" s="250"/>
      <c r="J493" s="251"/>
      <c r="K493" s="252"/>
      <c r="L493" s="253"/>
      <c r="M493" s="250"/>
      <c r="N493" s="251"/>
      <c r="O493" s="252"/>
      <c r="P493" s="253"/>
      <c r="Q493" s="250"/>
      <c r="R493" s="251"/>
      <c r="S493" s="283"/>
      <c r="T493" s="283"/>
      <c r="U493" s="253"/>
      <c r="V493" s="250"/>
      <c r="W493" s="251"/>
      <c r="X493" s="283"/>
      <c r="Y493" s="253"/>
    </row>
    <row r="494" spans="1:25" x14ac:dyDescent="0.2">
      <c r="A494" s="280"/>
      <c r="B494" s="280"/>
      <c r="C494" s="251"/>
      <c r="D494" s="281"/>
      <c r="E494" s="251"/>
      <c r="F494" s="251"/>
      <c r="G494" s="282"/>
      <c r="H494" s="253"/>
      <c r="I494" s="250"/>
      <c r="J494" s="251"/>
      <c r="K494" s="252"/>
      <c r="L494" s="253"/>
      <c r="M494" s="250"/>
      <c r="N494" s="251"/>
      <c r="O494" s="252"/>
      <c r="P494" s="253"/>
      <c r="Q494" s="250"/>
      <c r="R494" s="251"/>
      <c r="S494" s="283"/>
      <c r="T494" s="283"/>
      <c r="U494" s="253"/>
      <c r="V494" s="250"/>
      <c r="W494" s="251"/>
      <c r="X494" s="283"/>
      <c r="Y494" s="253"/>
    </row>
    <row r="495" spans="1:25" x14ac:dyDescent="0.2">
      <c r="A495" s="280"/>
      <c r="B495" s="280"/>
      <c r="C495" s="251"/>
      <c r="D495" s="281"/>
      <c r="E495" s="251"/>
      <c r="F495" s="251"/>
      <c r="G495" s="282"/>
      <c r="H495" s="253"/>
      <c r="I495" s="250"/>
      <c r="J495" s="251"/>
      <c r="K495" s="252"/>
      <c r="L495" s="253"/>
      <c r="M495" s="250"/>
      <c r="N495" s="251"/>
      <c r="O495" s="252"/>
      <c r="P495" s="253"/>
      <c r="Q495" s="250"/>
      <c r="R495" s="251"/>
      <c r="S495" s="283"/>
      <c r="T495" s="283"/>
      <c r="U495" s="253"/>
      <c r="V495" s="250"/>
      <c r="W495" s="251"/>
      <c r="X495" s="283"/>
      <c r="Y495" s="253"/>
    </row>
    <row r="496" spans="1:25" x14ac:dyDescent="0.2">
      <c r="A496" s="280"/>
      <c r="B496" s="280"/>
      <c r="C496" s="251"/>
      <c r="D496" s="281"/>
      <c r="E496" s="251"/>
      <c r="F496" s="251"/>
      <c r="G496" s="282"/>
      <c r="H496" s="253"/>
      <c r="I496" s="250"/>
      <c r="J496" s="251"/>
      <c r="K496" s="252"/>
      <c r="L496" s="253"/>
      <c r="M496" s="250"/>
      <c r="N496" s="251"/>
      <c r="O496" s="252"/>
      <c r="P496" s="253"/>
      <c r="Q496" s="250"/>
      <c r="R496" s="251"/>
      <c r="S496" s="283"/>
      <c r="T496" s="283"/>
      <c r="U496" s="253"/>
      <c r="V496" s="250"/>
      <c r="W496" s="251"/>
      <c r="X496" s="283"/>
      <c r="Y496" s="253"/>
    </row>
    <row r="497" spans="1:25" x14ac:dyDescent="0.2">
      <c r="A497" s="280"/>
      <c r="B497" s="280"/>
      <c r="C497" s="251"/>
      <c r="D497" s="281"/>
      <c r="E497" s="251"/>
      <c r="F497" s="251"/>
      <c r="G497" s="282"/>
      <c r="H497" s="253"/>
      <c r="I497" s="250"/>
      <c r="J497" s="251"/>
      <c r="K497" s="252"/>
      <c r="L497" s="253"/>
      <c r="M497" s="250"/>
      <c r="N497" s="251"/>
      <c r="O497" s="252"/>
      <c r="P497" s="253"/>
      <c r="Q497" s="250"/>
      <c r="R497" s="251"/>
      <c r="S497" s="283"/>
      <c r="T497" s="283"/>
      <c r="U497" s="253"/>
      <c r="V497" s="250"/>
      <c r="W497" s="251"/>
      <c r="X497" s="283"/>
      <c r="Y497" s="253"/>
    </row>
    <row r="498" spans="1:25" x14ac:dyDescent="0.2">
      <c r="A498" s="280"/>
      <c r="B498" s="280"/>
      <c r="C498" s="251"/>
      <c r="D498" s="281"/>
      <c r="E498" s="251"/>
      <c r="F498" s="251"/>
      <c r="G498" s="282"/>
      <c r="H498" s="253"/>
      <c r="I498" s="250"/>
      <c r="J498" s="251"/>
      <c r="K498" s="252"/>
      <c r="L498" s="253"/>
      <c r="M498" s="250"/>
      <c r="N498" s="251"/>
      <c r="O498" s="252"/>
      <c r="P498" s="253"/>
      <c r="Q498" s="250"/>
      <c r="R498" s="251"/>
      <c r="S498" s="283"/>
      <c r="T498" s="283"/>
      <c r="U498" s="253"/>
      <c r="V498" s="250"/>
      <c r="W498" s="251"/>
      <c r="X498" s="283"/>
      <c r="Y498" s="253"/>
    </row>
    <row r="499" spans="1:25" x14ac:dyDescent="0.2">
      <c r="A499" s="280"/>
      <c r="B499" s="280"/>
      <c r="C499" s="251"/>
      <c r="D499" s="281"/>
      <c r="E499" s="251"/>
      <c r="F499" s="251"/>
      <c r="G499" s="282"/>
      <c r="H499" s="253"/>
      <c r="I499" s="250"/>
      <c r="J499" s="251"/>
      <c r="K499" s="252"/>
      <c r="L499" s="253"/>
      <c r="M499" s="250"/>
      <c r="N499" s="251"/>
      <c r="O499" s="252"/>
      <c r="P499" s="253"/>
      <c r="Q499" s="250"/>
      <c r="R499" s="251"/>
      <c r="S499" s="283"/>
      <c r="T499" s="283"/>
      <c r="U499" s="253"/>
      <c r="V499" s="250"/>
      <c r="W499" s="251"/>
      <c r="X499" s="283"/>
      <c r="Y499" s="253"/>
    </row>
    <row r="500" spans="1:25" x14ac:dyDescent="0.2">
      <c r="A500" s="280"/>
      <c r="B500" s="280"/>
      <c r="C500" s="251"/>
      <c r="D500" s="281"/>
      <c r="E500" s="251"/>
      <c r="F500" s="251"/>
      <c r="G500" s="282"/>
      <c r="H500" s="253"/>
      <c r="I500" s="250"/>
      <c r="J500" s="251"/>
      <c r="K500" s="252"/>
      <c r="L500" s="253"/>
      <c r="M500" s="250"/>
      <c r="N500" s="251"/>
      <c r="O500" s="252"/>
      <c r="P500" s="253"/>
      <c r="Q500" s="250"/>
      <c r="R500" s="251"/>
      <c r="S500" s="283"/>
      <c r="T500" s="283"/>
      <c r="U500" s="253"/>
      <c r="V500" s="250"/>
      <c r="W500" s="251"/>
      <c r="X500" s="283"/>
      <c r="Y500" s="253"/>
    </row>
    <row r="501" spans="1:25" x14ac:dyDescent="0.2">
      <c r="A501" s="280"/>
      <c r="B501" s="280"/>
      <c r="C501" s="251"/>
      <c r="D501" s="281"/>
      <c r="E501" s="251"/>
      <c r="F501" s="251"/>
      <c r="G501" s="282"/>
      <c r="H501" s="253"/>
      <c r="I501" s="250"/>
      <c r="J501" s="251"/>
      <c r="K501" s="252"/>
      <c r="L501" s="253"/>
      <c r="M501" s="250"/>
      <c r="N501" s="251"/>
      <c r="O501" s="252"/>
      <c r="P501" s="253"/>
      <c r="Q501" s="250"/>
      <c r="R501" s="251"/>
      <c r="S501" s="283"/>
      <c r="T501" s="283"/>
      <c r="U501" s="253"/>
      <c r="V501" s="250"/>
      <c r="W501" s="251"/>
      <c r="X501" s="283"/>
      <c r="Y501" s="253"/>
    </row>
    <row r="502" spans="1:25" x14ac:dyDescent="0.2">
      <c r="A502" s="280"/>
      <c r="B502" s="280"/>
      <c r="C502" s="251"/>
      <c r="D502" s="281"/>
      <c r="E502" s="251"/>
      <c r="F502" s="251"/>
      <c r="G502" s="282"/>
      <c r="H502" s="253"/>
      <c r="I502" s="250"/>
      <c r="J502" s="251"/>
      <c r="K502" s="252"/>
      <c r="L502" s="253"/>
      <c r="M502" s="250"/>
      <c r="N502" s="251"/>
      <c r="O502" s="252"/>
      <c r="P502" s="253"/>
      <c r="Q502" s="250"/>
      <c r="R502" s="251"/>
      <c r="S502" s="283"/>
      <c r="T502" s="283"/>
      <c r="U502" s="253"/>
      <c r="V502" s="250"/>
      <c r="W502" s="251"/>
      <c r="X502" s="283"/>
      <c r="Y502" s="253"/>
    </row>
    <row r="503" spans="1:25" x14ac:dyDescent="0.2">
      <c r="A503" s="280"/>
      <c r="B503" s="280"/>
      <c r="C503" s="251"/>
      <c r="D503" s="281"/>
      <c r="E503" s="251"/>
      <c r="F503" s="251"/>
      <c r="G503" s="282"/>
      <c r="H503" s="253"/>
      <c r="I503" s="250"/>
      <c r="J503" s="251"/>
      <c r="K503" s="252"/>
      <c r="L503" s="253"/>
      <c r="M503" s="250"/>
      <c r="N503" s="251"/>
      <c r="O503" s="252"/>
      <c r="P503" s="253"/>
      <c r="Q503" s="250"/>
      <c r="R503" s="251"/>
      <c r="S503" s="283"/>
      <c r="T503" s="283"/>
      <c r="U503" s="253"/>
      <c r="V503" s="250"/>
      <c r="W503" s="251"/>
      <c r="X503" s="283"/>
      <c r="Y503" s="253"/>
    </row>
    <row r="504" spans="1:25" x14ac:dyDescent="0.2">
      <c r="A504" s="280"/>
      <c r="B504" s="280"/>
      <c r="C504" s="251"/>
      <c r="D504" s="281"/>
      <c r="E504" s="251"/>
      <c r="F504" s="251"/>
      <c r="G504" s="282"/>
      <c r="H504" s="253"/>
      <c r="I504" s="250"/>
      <c r="J504" s="251"/>
      <c r="K504" s="252"/>
      <c r="L504" s="253"/>
      <c r="M504" s="250"/>
      <c r="N504" s="251"/>
      <c r="O504" s="252"/>
      <c r="P504" s="253"/>
      <c r="Q504" s="250"/>
      <c r="R504" s="251"/>
      <c r="S504" s="283"/>
      <c r="T504" s="283"/>
      <c r="U504" s="253"/>
      <c r="V504" s="250"/>
      <c r="W504" s="251"/>
      <c r="X504" s="283"/>
      <c r="Y504" s="253"/>
    </row>
    <row r="505" spans="1:25" x14ac:dyDescent="0.2">
      <c r="A505" s="280"/>
      <c r="B505" s="280"/>
      <c r="C505" s="251"/>
      <c r="D505" s="281"/>
      <c r="E505" s="251"/>
      <c r="F505" s="251"/>
      <c r="G505" s="282"/>
      <c r="H505" s="253"/>
      <c r="I505" s="250"/>
      <c r="J505" s="251"/>
      <c r="K505" s="252"/>
      <c r="L505" s="253"/>
      <c r="M505" s="250"/>
      <c r="N505" s="251"/>
      <c r="O505" s="252"/>
      <c r="P505" s="253"/>
      <c r="Q505" s="250"/>
      <c r="R505" s="251"/>
      <c r="S505" s="283"/>
      <c r="T505" s="283"/>
      <c r="U505" s="253"/>
      <c r="V505" s="250"/>
      <c r="W505" s="251"/>
      <c r="X505" s="283"/>
      <c r="Y505" s="253"/>
    </row>
    <row r="506" spans="1:25" x14ac:dyDescent="0.2">
      <c r="A506" s="280"/>
      <c r="B506" s="280"/>
      <c r="C506" s="251"/>
      <c r="D506" s="281"/>
      <c r="E506" s="251"/>
      <c r="F506" s="251"/>
      <c r="G506" s="282"/>
      <c r="H506" s="253"/>
      <c r="I506" s="250"/>
      <c r="J506" s="251"/>
      <c r="K506" s="252"/>
      <c r="L506" s="253"/>
      <c r="M506" s="250"/>
      <c r="N506" s="251"/>
      <c r="O506" s="252"/>
      <c r="P506" s="253"/>
      <c r="Q506" s="250"/>
      <c r="R506" s="251"/>
      <c r="S506" s="283"/>
      <c r="T506" s="283"/>
      <c r="U506" s="253"/>
      <c r="V506" s="250"/>
      <c r="W506" s="251"/>
      <c r="X506" s="283"/>
      <c r="Y506" s="253"/>
    </row>
    <row r="507" spans="1:25" x14ac:dyDescent="0.2">
      <c r="A507" s="280"/>
      <c r="B507" s="280"/>
      <c r="C507" s="251"/>
      <c r="D507" s="281"/>
      <c r="E507" s="251"/>
      <c r="F507" s="251"/>
      <c r="G507" s="282"/>
      <c r="H507" s="253"/>
      <c r="I507" s="250"/>
      <c r="J507" s="251"/>
      <c r="K507" s="252"/>
      <c r="L507" s="253"/>
      <c r="M507" s="250"/>
      <c r="N507" s="251"/>
      <c r="O507" s="252"/>
      <c r="P507" s="253"/>
      <c r="Q507" s="250"/>
      <c r="R507" s="251"/>
      <c r="S507" s="283"/>
      <c r="T507" s="283"/>
      <c r="U507" s="253"/>
      <c r="V507" s="250"/>
      <c r="W507" s="251"/>
      <c r="X507" s="283"/>
      <c r="Y507" s="253"/>
    </row>
    <row r="508" spans="1:25" x14ac:dyDescent="0.2">
      <c r="A508" s="280"/>
      <c r="B508" s="280"/>
      <c r="C508" s="251"/>
      <c r="D508" s="281"/>
      <c r="E508" s="251"/>
      <c r="F508" s="251"/>
      <c r="G508" s="282"/>
      <c r="H508" s="253"/>
      <c r="I508" s="250"/>
      <c r="J508" s="251"/>
      <c r="K508" s="252"/>
      <c r="L508" s="253"/>
      <c r="M508" s="250"/>
      <c r="N508" s="251"/>
      <c r="O508" s="252"/>
      <c r="P508" s="253"/>
      <c r="Q508" s="250"/>
      <c r="R508" s="251"/>
      <c r="S508" s="283"/>
      <c r="T508" s="283"/>
      <c r="U508" s="253"/>
      <c r="V508" s="250"/>
      <c r="W508" s="251"/>
      <c r="X508" s="283"/>
      <c r="Y508" s="253"/>
    </row>
    <row r="509" spans="1:25" x14ac:dyDescent="0.2">
      <c r="A509" s="280"/>
      <c r="B509" s="280"/>
      <c r="C509" s="251"/>
      <c r="D509" s="281"/>
      <c r="E509" s="251"/>
      <c r="F509" s="251"/>
      <c r="G509" s="282"/>
      <c r="H509" s="253"/>
      <c r="I509" s="250"/>
      <c r="J509" s="251"/>
      <c r="K509" s="252"/>
      <c r="L509" s="253"/>
      <c r="M509" s="250"/>
      <c r="N509" s="251"/>
      <c r="O509" s="252"/>
      <c r="P509" s="253"/>
      <c r="Q509" s="250"/>
      <c r="R509" s="251"/>
      <c r="S509" s="283"/>
      <c r="T509" s="283"/>
      <c r="U509" s="253"/>
      <c r="V509" s="250"/>
      <c r="W509" s="251"/>
      <c r="X509" s="283"/>
      <c r="Y509" s="253"/>
    </row>
    <row r="510" spans="1:25" x14ac:dyDescent="0.2">
      <c r="A510" s="280"/>
      <c r="B510" s="280"/>
      <c r="C510" s="251"/>
      <c r="D510" s="281"/>
      <c r="E510" s="251"/>
      <c r="F510" s="251"/>
      <c r="G510" s="282"/>
      <c r="H510" s="253"/>
      <c r="I510" s="250"/>
      <c r="J510" s="251"/>
      <c r="K510" s="252"/>
      <c r="L510" s="253"/>
      <c r="M510" s="250"/>
      <c r="N510" s="251"/>
      <c r="O510" s="252"/>
      <c r="P510" s="253"/>
      <c r="Q510" s="250"/>
      <c r="R510" s="251"/>
      <c r="S510" s="283"/>
      <c r="T510" s="283"/>
      <c r="U510" s="253"/>
      <c r="V510" s="250"/>
      <c r="W510" s="251"/>
      <c r="X510" s="283"/>
      <c r="Y510" s="253"/>
    </row>
    <row r="511" spans="1:25" x14ac:dyDescent="0.2">
      <c r="A511" s="280"/>
      <c r="B511" s="280"/>
      <c r="C511" s="251"/>
      <c r="D511" s="281"/>
      <c r="E511" s="251"/>
      <c r="F511" s="251"/>
      <c r="G511" s="282"/>
      <c r="H511" s="253"/>
      <c r="I511" s="250"/>
      <c r="J511" s="251"/>
      <c r="K511" s="252"/>
      <c r="L511" s="253"/>
      <c r="M511" s="250"/>
      <c r="N511" s="251"/>
      <c r="O511" s="252"/>
      <c r="P511" s="253"/>
      <c r="Q511" s="250"/>
      <c r="R511" s="251"/>
      <c r="S511" s="283"/>
      <c r="T511" s="283"/>
      <c r="U511" s="253"/>
      <c r="V511" s="250"/>
      <c r="W511" s="251"/>
      <c r="X511" s="283"/>
      <c r="Y511" s="253"/>
    </row>
    <row r="512" spans="1:25" x14ac:dyDescent="0.2">
      <c r="A512" s="280"/>
      <c r="B512" s="280"/>
      <c r="C512" s="251"/>
      <c r="D512" s="281"/>
      <c r="E512" s="251"/>
      <c r="F512" s="251"/>
      <c r="G512" s="282"/>
      <c r="H512" s="253"/>
      <c r="I512" s="250"/>
      <c r="J512" s="251"/>
      <c r="K512" s="252"/>
      <c r="L512" s="253"/>
      <c r="M512" s="250"/>
      <c r="N512" s="251"/>
      <c r="O512" s="252"/>
      <c r="P512" s="253"/>
      <c r="Q512" s="250"/>
      <c r="R512" s="251"/>
      <c r="S512" s="283"/>
      <c r="T512" s="283"/>
      <c r="U512" s="253"/>
      <c r="V512" s="250"/>
      <c r="W512" s="251"/>
      <c r="X512" s="283"/>
      <c r="Y512" s="253"/>
    </row>
    <row r="513" spans="1:25" x14ac:dyDescent="0.2">
      <c r="A513" s="280"/>
      <c r="B513" s="280"/>
      <c r="C513" s="251"/>
      <c r="D513" s="281"/>
      <c r="E513" s="251"/>
      <c r="F513" s="251"/>
      <c r="G513" s="282"/>
      <c r="H513" s="253"/>
      <c r="I513" s="250"/>
      <c r="J513" s="251"/>
      <c r="K513" s="252"/>
      <c r="L513" s="253"/>
      <c r="M513" s="250"/>
      <c r="N513" s="251"/>
      <c r="O513" s="252"/>
      <c r="P513" s="253"/>
      <c r="Q513" s="250"/>
      <c r="R513" s="251"/>
      <c r="S513" s="283"/>
      <c r="T513" s="283"/>
      <c r="U513" s="253"/>
      <c r="V513" s="250"/>
      <c r="W513" s="251"/>
      <c r="X513" s="283"/>
      <c r="Y513" s="253"/>
    </row>
    <row r="514" spans="1:25" x14ac:dyDescent="0.2">
      <c r="A514" s="280"/>
      <c r="B514" s="280"/>
      <c r="C514" s="251"/>
      <c r="D514" s="281"/>
      <c r="E514" s="251"/>
      <c r="F514" s="251"/>
      <c r="G514" s="282"/>
      <c r="H514" s="253"/>
      <c r="I514" s="250"/>
      <c r="J514" s="251"/>
      <c r="K514" s="252"/>
      <c r="L514" s="253"/>
      <c r="M514" s="250"/>
      <c r="N514" s="251"/>
      <c r="O514" s="252"/>
      <c r="P514" s="253"/>
      <c r="Q514" s="250"/>
      <c r="R514" s="251"/>
      <c r="S514" s="283"/>
      <c r="T514" s="283"/>
      <c r="U514" s="253"/>
      <c r="V514" s="250"/>
      <c r="W514" s="251"/>
      <c r="X514" s="283"/>
      <c r="Y514" s="253"/>
    </row>
    <row r="515" spans="1:25" x14ac:dyDescent="0.2">
      <c r="A515" s="280"/>
      <c r="B515" s="280"/>
      <c r="C515" s="251"/>
      <c r="D515" s="281"/>
      <c r="E515" s="251"/>
      <c r="F515" s="251"/>
      <c r="G515" s="282"/>
      <c r="H515" s="253"/>
      <c r="I515" s="250"/>
      <c r="J515" s="251"/>
      <c r="K515" s="252"/>
      <c r="L515" s="253"/>
      <c r="M515" s="250"/>
      <c r="N515" s="251"/>
      <c r="O515" s="252"/>
      <c r="P515" s="253"/>
      <c r="Q515" s="250"/>
      <c r="R515" s="251"/>
      <c r="S515" s="283"/>
      <c r="T515" s="283"/>
      <c r="U515" s="253"/>
      <c r="V515" s="250"/>
      <c r="W515" s="251"/>
      <c r="X515" s="283"/>
      <c r="Y515" s="253"/>
    </row>
    <row r="516" spans="1:25" x14ac:dyDescent="0.2">
      <c r="A516" s="280"/>
      <c r="B516" s="280"/>
      <c r="C516" s="251"/>
      <c r="D516" s="281"/>
      <c r="E516" s="251"/>
      <c r="F516" s="251"/>
      <c r="G516" s="282"/>
      <c r="H516" s="253"/>
      <c r="I516" s="250"/>
      <c r="J516" s="251"/>
      <c r="K516" s="252"/>
      <c r="L516" s="253"/>
      <c r="M516" s="250"/>
      <c r="N516" s="251"/>
      <c r="O516" s="252"/>
      <c r="P516" s="253"/>
      <c r="Q516" s="250"/>
      <c r="R516" s="251"/>
      <c r="S516" s="283"/>
      <c r="T516" s="283"/>
      <c r="U516" s="253"/>
      <c r="V516" s="250"/>
      <c r="W516" s="251"/>
      <c r="X516" s="283"/>
      <c r="Y516" s="253"/>
    </row>
    <row r="517" spans="1:25" x14ac:dyDescent="0.2">
      <c r="A517" s="280"/>
      <c r="B517" s="280"/>
      <c r="C517" s="251"/>
      <c r="D517" s="281"/>
      <c r="E517" s="251"/>
      <c r="F517" s="251"/>
      <c r="G517" s="282"/>
      <c r="H517" s="253"/>
      <c r="I517" s="250"/>
      <c r="J517" s="251"/>
      <c r="K517" s="252"/>
      <c r="L517" s="253"/>
      <c r="M517" s="250"/>
      <c r="N517" s="251"/>
      <c r="O517" s="252"/>
      <c r="P517" s="253"/>
      <c r="Q517" s="250"/>
      <c r="R517" s="251"/>
      <c r="S517" s="283"/>
      <c r="T517" s="283"/>
      <c r="U517" s="253"/>
      <c r="V517" s="250"/>
      <c r="W517" s="251"/>
      <c r="X517" s="283"/>
      <c r="Y517" s="253"/>
    </row>
    <row r="518" spans="1:25" x14ac:dyDescent="0.2">
      <c r="A518" s="280"/>
      <c r="B518" s="280"/>
      <c r="C518" s="251"/>
      <c r="D518" s="281"/>
      <c r="E518" s="251"/>
      <c r="F518" s="251"/>
      <c r="G518" s="282"/>
      <c r="H518" s="253"/>
      <c r="I518" s="250"/>
      <c r="J518" s="251"/>
      <c r="K518" s="252"/>
      <c r="L518" s="253"/>
      <c r="M518" s="250"/>
      <c r="N518" s="251"/>
      <c r="O518" s="252"/>
      <c r="P518" s="253"/>
      <c r="Q518" s="250"/>
      <c r="R518" s="251"/>
      <c r="S518" s="283"/>
      <c r="T518" s="283"/>
      <c r="U518" s="253"/>
      <c r="V518" s="250"/>
      <c r="W518" s="251"/>
      <c r="X518" s="283"/>
      <c r="Y518" s="253"/>
    </row>
    <row r="519" spans="1:25" x14ac:dyDescent="0.2">
      <c r="A519" s="280"/>
      <c r="B519" s="280"/>
      <c r="C519" s="251"/>
      <c r="D519" s="281"/>
      <c r="E519" s="251"/>
      <c r="F519" s="251"/>
      <c r="G519" s="282"/>
      <c r="H519" s="253"/>
      <c r="I519" s="250"/>
      <c r="J519" s="251"/>
      <c r="K519" s="252"/>
      <c r="L519" s="253"/>
      <c r="M519" s="250"/>
      <c r="N519" s="251"/>
      <c r="O519" s="252"/>
      <c r="P519" s="253"/>
      <c r="Q519" s="250"/>
      <c r="R519" s="251"/>
      <c r="S519" s="283"/>
      <c r="T519" s="283"/>
      <c r="U519" s="253"/>
      <c r="V519" s="250"/>
      <c r="W519" s="251"/>
      <c r="X519" s="283"/>
      <c r="Y519" s="253"/>
    </row>
    <row r="520" spans="1:25" x14ac:dyDescent="0.2">
      <c r="A520" s="280"/>
      <c r="B520" s="280"/>
      <c r="C520" s="251"/>
      <c r="D520" s="281"/>
      <c r="E520" s="251"/>
      <c r="F520" s="251"/>
      <c r="G520" s="282"/>
      <c r="H520" s="253"/>
      <c r="I520" s="250"/>
      <c r="J520" s="251"/>
      <c r="K520" s="252"/>
      <c r="L520" s="253"/>
      <c r="M520" s="250"/>
      <c r="N520" s="251"/>
      <c r="O520" s="252"/>
      <c r="P520" s="253"/>
      <c r="Q520" s="250"/>
      <c r="R520" s="251"/>
      <c r="S520" s="283"/>
      <c r="T520" s="283"/>
      <c r="U520" s="253"/>
      <c r="V520" s="250"/>
      <c r="W520" s="251"/>
      <c r="X520" s="283"/>
      <c r="Y520" s="253"/>
    </row>
    <row r="521" spans="1:25" x14ac:dyDescent="0.2">
      <c r="A521" s="280"/>
      <c r="B521" s="280"/>
      <c r="C521" s="251"/>
      <c r="D521" s="281"/>
      <c r="E521" s="251"/>
      <c r="F521" s="251"/>
      <c r="G521" s="282"/>
      <c r="H521" s="253"/>
      <c r="I521" s="250"/>
      <c r="J521" s="251"/>
      <c r="K521" s="252"/>
      <c r="L521" s="253"/>
      <c r="M521" s="250"/>
      <c r="N521" s="251"/>
      <c r="O521" s="252"/>
      <c r="P521" s="253"/>
      <c r="Q521" s="250"/>
      <c r="R521" s="251"/>
      <c r="S521" s="283"/>
      <c r="T521" s="283"/>
      <c r="U521" s="253"/>
      <c r="V521" s="250"/>
      <c r="W521" s="251"/>
      <c r="X521" s="283"/>
      <c r="Y521" s="253"/>
    </row>
    <row r="522" spans="1:25" x14ac:dyDescent="0.2">
      <c r="A522" s="280"/>
      <c r="B522" s="280"/>
      <c r="C522" s="251"/>
      <c r="D522" s="281"/>
      <c r="E522" s="251"/>
      <c r="F522" s="251"/>
      <c r="G522" s="282"/>
      <c r="H522" s="253"/>
      <c r="I522" s="250"/>
      <c r="J522" s="251"/>
      <c r="K522" s="252"/>
      <c r="L522" s="253"/>
      <c r="M522" s="250"/>
      <c r="N522" s="251"/>
      <c r="O522" s="252"/>
      <c r="P522" s="253"/>
      <c r="Q522" s="250"/>
      <c r="R522" s="251"/>
      <c r="S522" s="283"/>
      <c r="T522" s="283"/>
      <c r="U522" s="253"/>
      <c r="V522" s="250"/>
      <c r="W522" s="251"/>
      <c r="X522" s="283"/>
      <c r="Y522" s="253"/>
    </row>
    <row r="523" spans="1:25" x14ac:dyDescent="0.2">
      <c r="A523" s="280"/>
      <c r="B523" s="280"/>
      <c r="C523" s="251"/>
      <c r="D523" s="281"/>
      <c r="E523" s="251"/>
      <c r="F523" s="251"/>
      <c r="G523" s="282"/>
      <c r="H523" s="253"/>
      <c r="I523" s="250"/>
      <c r="J523" s="251"/>
      <c r="K523" s="252"/>
      <c r="L523" s="253"/>
      <c r="M523" s="250"/>
      <c r="N523" s="251"/>
      <c r="O523" s="252"/>
      <c r="P523" s="253"/>
      <c r="Q523" s="250"/>
      <c r="R523" s="251"/>
      <c r="S523" s="283"/>
      <c r="T523" s="283"/>
      <c r="U523" s="253"/>
      <c r="V523" s="250"/>
      <c r="W523" s="251"/>
      <c r="X523" s="283"/>
      <c r="Y523" s="253"/>
    </row>
    <row r="524" spans="1:25" x14ac:dyDescent="0.2">
      <c r="A524" s="280"/>
      <c r="B524" s="280"/>
      <c r="C524" s="251"/>
      <c r="D524" s="281"/>
      <c r="E524" s="251"/>
      <c r="F524" s="251"/>
      <c r="G524" s="282"/>
      <c r="H524" s="253"/>
      <c r="I524" s="250"/>
      <c r="J524" s="251"/>
      <c r="K524" s="252"/>
      <c r="L524" s="253"/>
      <c r="M524" s="250"/>
      <c r="N524" s="251"/>
      <c r="O524" s="252"/>
      <c r="P524" s="253"/>
      <c r="Q524" s="250"/>
      <c r="R524" s="251"/>
      <c r="S524" s="283"/>
      <c r="T524" s="283"/>
      <c r="U524" s="253"/>
      <c r="V524" s="250"/>
      <c r="W524" s="251"/>
      <c r="X524" s="283"/>
      <c r="Y524" s="253"/>
    </row>
    <row r="525" spans="1:25" x14ac:dyDescent="0.2">
      <c r="A525" s="280"/>
      <c r="B525" s="280"/>
      <c r="C525" s="251"/>
      <c r="D525" s="281"/>
      <c r="E525" s="251"/>
      <c r="F525" s="251"/>
      <c r="G525" s="282"/>
      <c r="H525" s="253"/>
      <c r="I525" s="250"/>
      <c r="J525" s="251"/>
      <c r="K525" s="252"/>
      <c r="L525" s="253"/>
      <c r="M525" s="250"/>
      <c r="N525" s="251"/>
      <c r="O525" s="252"/>
      <c r="P525" s="253"/>
      <c r="Q525" s="250"/>
      <c r="R525" s="251"/>
      <c r="S525" s="283"/>
      <c r="T525" s="283"/>
      <c r="U525" s="253"/>
      <c r="V525" s="250"/>
      <c r="W525" s="251"/>
      <c r="X525" s="283"/>
      <c r="Y525" s="253"/>
    </row>
    <row r="526" spans="1:25" x14ac:dyDescent="0.2">
      <c r="A526" s="280"/>
      <c r="B526" s="280"/>
      <c r="C526" s="251"/>
      <c r="D526" s="281"/>
      <c r="E526" s="251"/>
      <c r="F526" s="251"/>
      <c r="G526" s="282"/>
      <c r="H526" s="253"/>
      <c r="I526" s="250"/>
      <c r="J526" s="251"/>
      <c r="K526" s="252"/>
      <c r="L526" s="253"/>
      <c r="M526" s="250"/>
      <c r="N526" s="251"/>
      <c r="O526" s="252"/>
      <c r="P526" s="253"/>
      <c r="Q526" s="250"/>
      <c r="R526" s="251"/>
      <c r="S526" s="283"/>
      <c r="T526" s="283"/>
      <c r="U526" s="253"/>
      <c r="V526" s="250"/>
      <c r="W526" s="251"/>
      <c r="X526" s="283"/>
      <c r="Y526" s="253"/>
    </row>
    <row r="527" spans="1:25" x14ac:dyDescent="0.2">
      <c r="A527" s="280"/>
      <c r="B527" s="280"/>
      <c r="C527" s="251"/>
      <c r="D527" s="281"/>
      <c r="E527" s="251"/>
      <c r="F527" s="251"/>
      <c r="G527" s="282"/>
      <c r="H527" s="253"/>
      <c r="I527" s="250"/>
      <c r="J527" s="251"/>
      <c r="K527" s="252"/>
      <c r="L527" s="253"/>
      <c r="M527" s="250"/>
      <c r="N527" s="251"/>
      <c r="O527" s="252"/>
      <c r="P527" s="253"/>
      <c r="Q527" s="250"/>
      <c r="R527" s="251"/>
      <c r="S527" s="283"/>
      <c r="T527" s="283"/>
      <c r="U527" s="253"/>
      <c r="V527" s="250"/>
      <c r="W527" s="251"/>
      <c r="X527" s="283"/>
      <c r="Y527" s="253"/>
    </row>
    <row r="528" spans="1:25" x14ac:dyDescent="0.2">
      <c r="A528" s="280"/>
      <c r="B528" s="280"/>
      <c r="C528" s="251"/>
      <c r="D528" s="281"/>
      <c r="E528" s="251"/>
      <c r="F528" s="251"/>
      <c r="G528" s="282"/>
      <c r="H528" s="253"/>
      <c r="I528" s="250"/>
      <c r="J528" s="251"/>
      <c r="K528" s="252"/>
      <c r="L528" s="253"/>
      <c r="M528" s="250"/>
      <c r="N528" s="251"/>
      <c r="O528" s="252"/>
      <c r="P528" s="253"/>
      <c r="Q528" s="250"/>
      <c r="R528" s="251"/>
      <c r="S528" s="283"/>
      <c r="T528" s="283"/>
      <c r="U528" s="253"/>
      <c r="V528" s="250"/>
      <c r="W528" s="251"/>
      <c r="X528" s="283"/>
      <c r="Y528" s="253"/>
    </row>
    <row r="529" spans="1:25" x14ac:dyDescent="0.2">
      <c r="A529" s="280"/>
      <c r="B529" s="280"/>
      <c r="C529" s="251"/>
      <c r="D529" s="281"/>
      <c r="E529" s="251"/>
      <c r="F529" s="251"/>
      <c r="G529" s="282"/>
      <c r="H529" s="253"/>
      <c r="I529" s="250"/>
      <c r="J529" s="251"/>
      <c r="K529" s="252"/>
      <c r="L529" s="253"/>
      <c r="M529" s="250"/>
      <c r="N529" s="251"/>
      <c r="O529" s="252"/>
      <c r="P529" s="253"/>
      <c r="Q529" s="250"/>
      <c r="R529" s="251"/>
      <c r="S529" s="283"/>
      <c r="T529" s="283"/>
      <c r="U529" s="253"/>
      <c r="V529" s="250"/>
      <c r="W529" s="251"/>
      <c r="X529" s="283"/>
      <c r="Y529" s="253"/>
    </row>
    <row r="530" spans="1:25" x14ac:dyDescent="0.2">
      <c r="A530" s="280"/>
      <c r="B530" s="280"/>
      <c r="C530" s="251"/>
      <c r="D530" s="281"/>
      <c r="E530" s="251"/>
      <c r="F530" s="251"/>
      <c r="G530" s="282"/>
      <c r="H530" s="253"/>
      <c r="I530" s="250"/>
      <c r="J530" s="251"/>
      <c r="K530" s="252"/>
      <c r="L530" s="253"/>
      <c r="M530" s="250"/>
      <c r="N530" s="251"/>
      <c r="O530" s="252"/>
      <c r="P530" s="253"/>
      <c r="Q530" s="250"/>
      <c r="R530" s="251"/>
      <c r="S530" s="283"/>
      <c r="T530" s="283"/>
      <c r="U530" s="253"/>
      <c r="V530" s="250"/>
      <c r="W530" s="251"/>
      <c r="X530" s="283"/>
      <c r="Y530" s="253"/>
    </row>
    <row r="531" spans="1:25" x14ac:dyDescent="0.2">
      <c r="A531" s="280"/>
      <c r="B531" s="280"/>
      <c r="C531" s="251"/>
      <c r="D531" s="281"/>
      <c r="E531" s="251"/>
      <c r="F531" s="251"/>
      <c r="G531" s="282"/>
      <c r="H531" s="253"/>
      <c r="I531" s="250"/>
      <c r="J531" s="251"/>
      <c r="K531" s="252"/>
      <c r="L531" s="253"/>
      <c r="M531" s="250"/>
      <c r="N531" s="251"/>
      <c r="O531" s="252"/>
      <c r="P531" s="253"/>
      <c r="Q531" s="250"/>
      <c r="R531" s="251"/>
      <c r="S531" s="283"/>
      <c r="T531" s="283"/>
      <c r="U531" s="253"/>
      <c r="V531" s="250"/>
      <c r="W531" s="251"/>
      <c r="X531" s="283"/>
      <c r="Y531" s="253"/>
    </row>
    <row r="532" spans="1:25" x14ac:dyDescent="0.2">
      <c r="A532" s="280"/>
      <c r="B532" s="280"/>
      <c r="C532" s="251"/>
      <c r="D532" s="281"/>
      <c r="E532" s="251"/>
      <c r="F532" s="251"/>
      <c r="G532" s="282"/>
      <c r="H532" s="253"/>
      <c r="I532" s="250"/>
      <c r="J532" s="251"/>
      <c r="K532" s="252"/>
      <c r="L532" s="253"/>
      <c r="M532" s="250"/>
      <c r="N532" s="251"/>
      <c r="O532" s="252"/>
      <c r="P532" s="253"/>
      <c r="Q532" s="250"/>
      <c r="R532" s="251"/>
      <c r="S532" s="283"/>
      <c r="T532" s="283"/>
      <c r="U532" s="253"/>
      <c r="V532" s="250"/>
      <c r="W532" s="251"/>
      <c r="X532" s="283"/>
      <c r="Y532" s="253"/>
    </row>
    <row r="533" spans="1:25" x14ac:dyDescent="0.2">
      <c r="A533" s="280"/>
      <c r="B533" s="280"/>
      <c r="C533" s="251"/>
      <c r="D533" s="281"/>
      <c r="E533" s="251"/>
      <c r="F533" s="251"/>
      <c r="G533" s="282"/>
      <c r="H533" s="253"/>
      <c r="I533" s="250"/>
      <c r="J533" s="251"/>
      <c r="K533" s="252"/>
      <c r="L533" s="253"/>
      <c r="M533" s="250"/>
      <c r="N533" s="251"/>
      <c r="O533" s="252"/>
      <c r="P533" s="253"/>
      <c r="Q533" s="250"/>
      <c r="R533" s="251"/>
      <c r="S533" s="283"/>
      <c r="T533" s="283"/>
      <c r="U533" s="253"/>
      <c r="V533" s="250"/>
      <c r="W533" s="251"/>
      <c r="X533" s="283"/>
      <c r="Y533" s="253"/>
    </row>
    <row r="534" spans="1:25" x14ac:dyDescent="0.2">
      <c r="A534" s="280"/>
      <c r="B534" s="280"/>
      <c r="C534" s="251"/>
      <c r="D534" s="281"/>
      <c r="E534" s="251"/>
      <c r="F534" s="251"/>
      <c r="G534" s="282"/>
      <c r="H534" s="253"/>
      <c r="I534" s="250"/>
      <c r="J534" s="251"/>
      <c r="K534" s="252"/>
      <c r="L534" s="253"/>
      <c r="M534" s="250"/>
      <c r="N534" s="251"/>
      <c r="O534" s="252"/>
      <c r="P534" s="253"/>
      <c r="Q534" s="250"/>
      <c r="R534" s="251"/>
      <c r="S534" s="283"/>
      <c r="T534" s="283"/>
      <c r="U534" s="253"/>
      <c r="V534" s="250"/>
      <c r="W534" s="251"/>
      <c r="X534" s="283"/>
      <c r="Y534" s="253"/>
    </row>
    <row r="535" spans="1:25" x14ac:dyDescent="0.2">
      <c r="A535" s="280"/>
      <c r="B535" s="280"/>
      <c r="C535" s="251"/>
      <c r="D535" s="281"/>
      <c r="E535" s="251"/>
      <c r="F535" s="251"/>
      <c r="G535" s="282"/>
      <c r="H535" s="253"/>
      <c r="I535" s="250"/>
      <c r="J535" s="251"/>
      <c r="K535" s="252"/>
      <c r="L535" s="253"/>
      <c r="M535" s="250"/>
      <c r="N535" s="251"/>
      <c r="O535" s="252"/>
      <c r="P535" s="253"/>
      <c r="Q535" s="250"/>
      <c r="R535" s="251"/>
      <c r="S535" s="283"/>
      <c r="T535" s="283"/>
      <c r="U535" s="253"/>
      <c r="V535" s="250"/>
      <c r="W535" s="251"/>
      <c r="X535" s="283"/>
      <c r="Y535" s="253"/>
    </row>
    <row r="536" spans="1:25" x14ac:dyDescent="0.2">
      <c r="A536" s="280"/>
      <c r="B536" s="280"/>
      <c r="C536" s="251"/>
      <c r="D536" s="281"/>
      <c r="E536" s="251"/>
      <c r="F536" s="251"/>
      <c r="G536" s="282"/>
      <c r="H536" s="253"/>
      <c r="I536" s="250"/>
      <c r="J536" s="251"/>
      <c r="K536" s="252"/>
      <c r="L536" s="253"/>
      <c r="M536" s="250"/>
      <c r="N536" s="251"/>
      <c r="O536" s="252"/>
      <c r="P536" s="253"/>
      <c r="Q536" s="250"/>
      <c r="R536" s="251"/>
      <c r="S536" s="283"/>
      <c r="T536" s="283"/>
      <c r="U536" s="253"/>
      <c r="V536" s="250"/>
      <c r="W536" s="251"/>
      <c r="X536" s="283"/>
      <c r="Y536" s="253"/>
    </row>
    <row r="537" spans="1:25" x14ac:dyDescent="0.2">
      <c r="A537" s="280"/>
      <c r="B537" s="280"/>
      <c r="C537" s="251"/>
      <c r="D537" s="281"/>
      <c r="E537" s="251"/>
      <c r="F537" s="251"/>
      <c r="G537" s="282"/>
      <c r="H537" s="253"/>
      <c r="I537" s="250"/>
      <c r="J537" s="251"/>
      <c r="K537" s="252"/>
      <c r="L537" s="253"/>
      <c r="M537" s="250"/>
      <c r="N537" s="251"/>
      <c r="O537" s="252"/>
      <c r="P537" s="253"/>
      <c r="Q537" s="250"/>
      <c r="R537" s="251"/>
      <c r="S537" s="283"/>
      <c r="T537" s="283"/>
      <c r="U537" s="253"/>
      <c r="V537" s="250"/>
      <c r="W537" s="251"/>
      <c r="X537" s="283"/>
      <c r="Y537" s="253"/>
    </row>
    <row r="538" spans="1:25" x14ac:dyDescent="0.2">
      <c r="A538" s="280"/>
      <c r="B538" s="280"/>
      <c r="C538" s="251"/>
      <c r="D538" s="281"/>
      <c r="E538" s="251"/>
      <c r="F538" s="251"/>
      <c r="G538" s="282"/>
      <c r="H538" s="253"/>
      <c r="I538" s="250"/>
      <c r="J538" s="251"/>
      <c r="K538" s="252"/>
      <c r="L538" s="253"/>
      <c r="M538" s="250"/>
      <c r="N538" s="251"/>
      <c r="O538" s="252"/>
      <c r="P538" s="253"/>
      <c r="Q538" s="250"/>
      <c r="R538" s="251"/>
      <c r="S538" s="283"/>
      <c r="T538" s="283"/>
      <c r="U538" s="253"/>
      <c r="V538" s="250"/>
      <c r="W538" s="251"/>
      <c r="X538" s="283"/>
      <c r="Y538" s="253"/>
    </row>
    <row r="539" spans="1:25" x14ac:dyDescent="0.2">
      <c r="A539" s="280"/>
      <c r="B539" s="280"/>
      <c r="C539" s="251"/>
      <c r="D539" s="281"/>
      <c r="E539" s="251"/>
      <c r="F539" s="251"/>
      <c r="G539" s="282"/>
      <c r="H539" s="253"/>
      <c r="I539" s="250"/>
      <c r="J539" s="251"/>
      <c r="K539" s="252"/>
      <c r="L539" s="253"/>
      <c r="M539" s="250"/>
      <c r="N539" s="251"/>
      <c r="O539" s="252"/>
      <c r="P539" s="253"/>
      <c r="Q539" s="250"/>
      <c r="R539" s="251"/>
      <c r="S539" s="283"/>
      <c r="T539" s="283"/>
      <c r="U539" s="253"/>
      <c r="V539" s="250"/>
      <c r="W539" s="251"/>
      <c r="X539" s="283"/>
      <c r="Y539" s="253"/>
    </row>
    <row r="540" spans="1:25" x14ac:dyDescent="0.2">
      <c r="A540" s="280"/>
      <c r="B540" s="280"/>
      <c r="C540" s="251"/>
      <c r="D540" s="281"/>
      <c r="E540" s="251"/>
      <c r="F540" s="251"/>
      <c r="G540" s="282"/>
      <c r="H540" s="253"/>
      <c r="I540" s="250"/>
      <c r="J540" s="251"/>
      <c r="K540" s="252"/>
      <c r="L540" s="253"/>
      <c r="M540" s="250"/>
      <c r="N540" s="251"/>
      <c r="O540" s="252"/>
      <c r="P540" s="253"/>
      <c r="Q540" s="250"/>
      <c r="R540" s="251"/>
      <c r="S540" s="283"/>
      <c r="T540" s="283"/>
      <c r="U540" s="253"/>
      <c r="V540" s="250"/>
      <c r="W540" s="251"/>
      <c r="X540" s="283"/>
      <c r="Y540" s="253"/>
    </row>
    <row r="541" spans="1:25" x14ac:dyDescent="0.2">
      <c r="A541" s="280"/>
      <c r="B541" s="280"/>
      <c r="C541" s="251"/>
      <c r="D541" s="281"/>
      <c r="E541" s="251"/>
      <c r="F541" s="251"/>
      <c r="G541" s="282"/>
      <c r="H541" s="253"/>
      <c r="I541" s="250"/>
      <c r="J541" s="251"/>
      <c r="K541" s="252"/>
      <c r="L541" s="253"/>
      <c r="M541" s="250"/>
      <c r="N541" s="251"/>
      <c r="O541" s="252"/>
      <c r="P541" s="253"/>
      <c r="Q541" s="250"/>
      <c r="R541" s="251"/>
      <c r="S541" s="283"/>
      <c r="T541" s="283"/>
      <c r="U541" s="253"/>
      <c r="V541" s="250"/>
      <c r="W541" s="251"/>
      <c r="X541" s="283"/>
      <c r="Y541" s="253"/>
    </row>
    <row r="542" spans="1:25" x14ac:dyDescent="0.2">
      <c r="A542" s="280"/>
      <c r="B542" s="280"/>
      <c r="C542" s="251"/>
      <c r="D542" s="281"/>
      <c r="E542" s="251"/>
      <c r="F542" s="251"/>
      <c r="G542" s="282"/>
      <c r="H542" s="253"/>
      <c r="I542" s="250"/>
      <c r="J542" s="251"/>
      <c r="K542" s="252"/>
      <c r="L542" s="253"/>
      <c r="M542" s="250"/>
      <c r="N542" s="251"/>
      <c r="O542" s="252"/>
      <c r="P542" s="253"/>
      <c r="Q542" s="250"/>
      <c r="R542" s="251"/>
      <c r="S542" s="283"/>
      <c r="T542" s="283"/>
      <c r="U542" s="253"/>
      <c r="V542" s="250"/>
      <c r="W542" s="251"/>
      <c r="X542" s="283"/>
      <c r="Y542" s="253"/>
    </row>
    <row r="543" spans="1:25" x14ac:dyDescent="0.2">
      <c r="A543" s="280"/>
      <c r="B543" s="280"/>
      <c r="C543" s="251"/>
      <c r="D543" s="281"/>
      <c r="E543" s="251"/>
      <c r="F543" s="251"/>
      <c r="G543" s="282"/>
      <c r="H543" s="253"/>
      <c r="I543" s="250"/>
      <c r="J543" s="251"/>
      <c r="K543" s="252"/>
      <c r="L543" s="253"/>
      <c r="M543" s="250"/>
      <c r="N543" s="251"/>
      <c r="O543" s="252"/>
      <c r="P543" s="253"/>
      <c r="Q543" s="250"/>
      <c r="R543" s="251"/>
      <c r="S543" s="283"/>
      <c r="T543" s="283"/>
      <c r="U543" s="253"/>
      <c r="V543" s="250"/>
      <c r="W543" s="251"/>
      <c r="X543" s="283"/>
      <c r="Y543" s="253"/>
    </row>
    <row r="544" spans="1:25" x14ac:dyDescent="0.2">
      <c r="A544" s="280"/>
      <c r="B544" s="280"/>
      <c r="C544" s="251"/>
      <c r="D544" s="281"/>
      <c r="E544" s="251"/>
      <c r="F544" s="251"/>
      <c r="G544" s="282"/>
      <c r="H544" s="253"/>
      <c r="I544" s="250"/>
      <c r="J544" s="251"/>
      <c r="K544" s="252"/>
      <c r="L544" s="253"/>
      <c r="M544" s="250"/>
      <c r="N544" s="251"/>
      <c r="O544" s="252"/>
      <c r="P544" s="253"/>
      <c r="Q544" s="250"/>
      <c r="R544" s="251"/>
      <c r="S544" s="283"/>
      <c r="T544" s="283"/>
      <c r="U544" s="253"/>
      <c r="V544" s="250"/>
      <c r="W544" s="251"/>
      <c r="X544" s="283"/>
      <c r="Y544" s="253"/>
    </row>
    <row r="545" spans="1:25" x14ac:dyDescent="0.2">
      <c r="A545" s="280"/>
      <c r="B545" s="280"/>
      <c r="C545" s="251"/>
      <c r="D545" s="281"/>
      <c r="E545" s="251"/>
      <c r="F545" s="251"/>
      <c r="G545" s="282"/>
      <c r="H545" s="253"/>
      <c r="I545" s="250"/>
      <c r="J545" s="251"/>
      <c r="K545" s="252"/>
      <c r="L545" s="253"/>
      <c r="M545" s="250"/>
      <c r="N545" s="251"/>
      <c r="O545" s="252"/>
      <c r="P545" s="253"/>
      <c r="Q545" s="250"/>
      <c r="R545" s="251"/>
      <c r="S545" s="283"/>
      <c r="T545" s="283"/>
      <c r="U545" s="253"/>
      <c r="V545" s="250"/>
      <c r="W545" s="251"/>
      <c r="X545" s="283"/>
      <c r="Y545" s="253"/>
    </row>
    <row r="546" spans="1:25" x14ac:dyDescent="0.2">
      <c r="A546" s="280"/>
      <c r="B546" s="280"/>
      <c r="C546" s="251"/>
      <c r="D546" s="281"/>
      <c r="E546" s="251"/>
      <c r="F546" s="251"/>
      <c r="G546" s="282"/>
      <c r="H546" s="253"/>
      <c r="I546" s="250"/>
      <c r="J546" s="251"/>
      <c r="K546" s="252"/>
      <c r="L546" s="253"/>
      <c r="M546" s="250"/>
      <c r="N546" s="251"/>
      <c r="O546" s="252"/>
      <c r="P546" s="253"/>
      <c r="Q546" s="250"/>
      <c r="R546" s="251"/>
      <c r="S546" s="283"/>
      <c r="T546" s="283"/>
      <c r="U546" s="253"/>
      <c r="V546" s="250"/>
      <c r="W546" s="251"/>
      <c r="X546" s="283"/>
      <c r="Y546" s="253"/>
    </row>
    <row r="547" spans="1:25" x14ac:dyDescent="0.2">
      <c r="A547" s="280"/>
      <c r="B547" s="280"/>
      <c r="C547" s="251"/>
      <c r="D547" s="281"/>
      <c r="E547" s="251"/>
      <c r="F547" s="251"/>
      <c r="G547" s="282"/>
      <c r="H547" s="253"/>
      <c r="I547" s="250"/>
      <c r="J547" s="251"/>
      <c r="K547" s="252"/>
      <c r="L547" s="253"/>
      <c r="M547" s="250"/>
      <c r="N547" s="251"/>
      <c r="O547" s="252"/>
      <c r="P547" s="253"/>
      <c r="Q547" s="250"/>
      <c r="R547" s="251"/>
      <c r="S547" s="283"/>
      <c r="T547" s="283"/>
      <c r="U547" s="253"/>
      <c r="V547" s="250"/>
      <c r="W547" s="251"/>
      <c r="X547" s="283"/>
      <c r="Y547" s="253"/>
    </row>
    <row r="548" spans="1:25" x14ac:dyDescent="0.2">
      <c r="A548" s="280"/>
      <c r="B548" s="280"/>
      <c r="C548" s="251"/>
      <c r="D548" s="281"/>
      <c r="E548" s="251"/>
      <c r="F548" s="251"/>
      <c r="G548" s="282"/>
      <c r="H548" s="253"/>
      <c r="I548" s="250"/>
      <c r="J548" s="251"/>
      <c r="K548" s="252"/>
      <c r="L548" s="253"/>
      <c r="M548" s="250"/>
      <c r="N548" s="251"/>
      <c r="O548" s="252"/>
      <c r="P548" s="253"/>
      <c r="Q548" s="250"/>
      <c r="R548" s="251"/>
      <c r="S548" s="283"/>
      <c r="T548" s="283"/>
      <c r="U548" s="253"/>
      <c r="V548" s="250"/>
      <c r="W548" s="251"/>
      <c r="X548" s="283"/>
      <c r="Y548" s="253"/>
    </row>
    <row r="549" spans="1:25" x14ac:dyDescent="0.2">
      <c r="A549" s="280"/>
      <c r="B549" s="280"/>
      <c r="C549" s="251"/>
      <c r="D549" s="281"/>
      <c r="E549" s="251"/>
      <c r="F549" s="251"/>
      <c r="G549" s="282"/>
      <c r="H549" s="253"/>
      <c r="I549" s="250"/>
      <c r="J549" s="251"/>
      <c r="K549" s="252"/>
      <c r="L549" s="253"/>
      <c r="M549" s="250"/>
      <c r="N549" s="251"/>
      <c r="O549" s="252"/>
      <c r="P549" s="253"/>
      <c r="Q549" s="250"/>
      <c r="R549" s="251"/>
      <c r="S549" s="283"/>
      <c r="T549" s="283"/>
      <c r="U549" s="253"/>
      <c r="V549" s="250"/>
      <c r="W549" s="251"/>
      <c r="X549" s="283"/>
      <c r="Y549" s="253"/>
    </row>
    <row r="550" spans="1:25" x14ac:dyDescent="0.2">
      <c r="A550" s="280"/>
      <c r="B550" s="280"/>
      <c r="C550" s="251"/>
      <c r="D550" s="281"/>
      <c r="E550" s="251"/>
      <c r="F550" s="251"/>
      <c r="G550" s="282"/>
      <c r="H550" s="253"/>
      <c r="I550" s="250"/>
      <c r="J550" s="251"/>
      <c r="K550" s="252"/>
      <c r="L550" s="253"/>
      <c r="M550" s="250"/>
      <c r="N550" s="251"/>
      <c r="O550" s="252"/>
      <c r="P550" s="253"/>
      <c r="Q550" s="250"/>
      <c r="R550" s="251"/>
      <c r="S550" s="283"/>
      <c r="T550" s="283"/>
      <c r="U550" s="253"/>
      <c r="V550" s="250"/>
      <c r="W550" s="251"/>
      <c r="X550" s="283"/>
      <c r="Y550" s="253"/>
    </row>
    <row r="551" spans="1:25" x14ac:dyDescent="0.2">
      <c r="A551" s="280"/>
      <c r="B551" s="280"/>
      <c r="C551" s="251"/>
      <c r="D551" s="281"/>
      <c r="E551" s="251"/>
      <c r="F551" s="251"/>
      <c r="G551" s="282"/>
      <c r="H551" s="253"/>
      <c r="I551" s="250"/>
      <c r="J551" s="251"/>
      <c r="K551" s="252"/>
      <c r="L551" s="253"/>
      <c r="M551" s="250"/>
      <c r="N551" s="251"/>
      <c r="O551" s="252"/>
      <c r="P551" s="253"/>
      <c r="Q551" s="250"/>
      <c r="R551" s="251"/>
      <c r="S551" s="283"/>
      <c r="T551" s="283"/>
      <c r="U551" s="253"/>
      <c r="V551" s="250"/>
      <c r="W551" s="251"/>
      <c r="X551" s="283"/>
      <c r="Y551" s="253"/>
    </row>
    <row r="552" spans="1:25" x14ac:dyDescent="0.2">
      <c r="A552" s="280"/>
      <c r="B552" s="280"/>
      <c r="C552" s="251"/>
      <c r="D552" s="281"/>
      <c r="E552" s="251"/>
      <c r="F552" s="251"/>
      <c r="G552" s="282"/>
      <c r="H552" s="253"/>
      <c r="I552" s="250"/>
      <c r="J552" s="251"/>
      <c r="K552" s="252"/>
      <c r="L552" s="253"/>
      <c r="M552" s="250"/>
      <c r="N552" s="251"/>
      <c r="O552" s="252"/>
      <c r="P552" s="253"/>
      <c r="Q552" s="250"/>
      <c r="R552" s="251"/>
      <c r="S552" s="283"/>
      <c r="T552" s="283"/>
      <c r="U552" s="253"/>
      <c r="V552" s="250"/>
      <c r="W552" s="251"/>
      <c r="X552" s="283"/>
      <c r="Y552" s="253"/>
    </row>
    <row r="553" spans="1:25" x14ac:dyDescent="0.2">
      <c r="A553" s="280"/>
      <c r="B553" s="280"/>
      <c r="C553" s="251"/>
      <c r="D553" s="281"/>
      <c r="E553" s="251"/>
      <c r="F553" s="251"/>
      <c r="G553" s="282"/>
      <c r="H553" s="253"/>
      <c r="I553" s="250"/>
      <c r="J553" s="251"/>
      <c r="K553" s="252"/>
      <c r="L553" s="253"/>
      <c r="M553" s="250"/>
      <c r="N553" s="251"/>
      <c r="O553" s="252"/>
      <c r="P553" s="253"/>
      <c r="Q553" s="250"/>
      <c r="R553" s="251"/>
      <c r="S553" s="283"/>
      <c r="T553" s="283"/>
      <c r="U553" s="253"/>
      <c r="V553" s="250"/>
      <c r="W553" s="251"/>
      <c r="X553" s="283"/>
      <c r="Y553" s="253"/>
    </row>
    <row r="554" spans="1:25" x14ac:dyDescent="0.2">
      <c r="A554" s="280"/>
      <c r="B554" s="280"/>
      <c r="C554" s="251"/>
      <c r="D554" s="281"/>
      <c r="E554" s="251"/>
      <c r="F554" s="251"/>
      <c r="G554" s="282"/>
      <c r="H554" s="253"/>
      <c r="I554" s="250"/>
      <c r="J554" s="251"/>
      <c r="K554" s="252"/>
      <c r="L554" s="253"/>
      <c r="M554" s="250"/>
      <c r="N554" s="251"/>
      <c r="O554" s="252"/>
      <c r="P554" s="253"/>
      <c r="Q554" s="250"/>
      <c r="R554" s="251"/>
      <c r="S554" s="283"/>
      <c r="T554" s="283"/>
      <c r="U554" s="253"/>
      <c r="V554" s="250"/>
      <c r="W554" s="251"/>
      <c r="X554" s="283"/>
      <c r="Y554" s="253"/>
    </row>
    <row r="555" spans="1:25" x14ac:dyDescent="0.2">
      <c r="A555" s="280"/>
      <c r="B555" s="280"/>
      <c r="C555" s="251"/>
      <c r="D555" s="281"/>
      <c r="E555" s="251"/>
      <c r="F555" s="251"/>
      <c r="G555" s="282"/>
      <c r="H555" s="253"/>
      <c r="I555" s="250"/>
      <c r="J555" s="251"/>
      <c r="K555" s="252"/>
      <c r="L555" s="253"/>
      <c r="M555" s="250"/>
      <c r="N555" s="251"/>
      <c r="O555" s="252"/>
      <c r="P555" s="253"/>
      <c r="Q555" s="250"/>
      <c r="R555" s="251"/>
      <c r="S555" s="283"/>
      <c r="T555" s="283"/>
      <c r="U555" s="253"/>
      <c r="V555" s="250"/>
      <c r="W555" s="251"/>
      <c r="X555" s="283"/>
      <c r="Y555" s="253"/>
    </row>
    <row r="556" spans="1:25" x14ac:dyDescent="0.2">
      <c r="A556" s="280"/>
      <c r="B556" s="280"/>
      <c r="C556" s="251"/>
      <c r="D556" s="281"/>
      <c r="E556" s="251"/>
      <c r="F556" s="251"/>
      <c r="G556" s="282"/>
      <c r="H556" s="253"/>
      <c r="I556" s="250"/>
      <c r="J556" s="251"/>
      <c r="K556" s="252"/>
      <c r="L556" s="253"/>
      <c r="M556" s="250"/>
      <c r="N556" s="251"/>
      <c r="O556" s="252"/>
      <c r="P556" s="253"/>
      <c r="Q556" s="250"/>
      <c r="R556" s="251"/>
      <c r="S556" s="283"/>
      <c r="T556" s="283"/>
      <c r="U556" s="253"/>
      <c r="V556" s="250"/>
      <c r="W556" s="251"/>
      <c r="X556" s="283"/>
      <c r="Y556" s="253"/>
    </row>
    <row r="557" spans="1:25" x14ac:dyDescent="0.2">
      <c r="A557" s="280"/>
      <c r="B557" s="280"/>
      <c r="C557" s="251"/>
      <c r="D557" s="281"/>
      <c r="E557" s="251"/>
      <c r="F557" s="251"/>
      <c r="G557" s="282"/>
      <c r="H557" s="253"/>
      <c r="I557" s="250"/>
      <c r="J557" s="251"/>
      <c r="K557" s="252"/>
      <c r="L557" s="253"/>
      <c r="M557" s="250"/>
      <c r="N557" s="251"/>
      <c r="O557" s="252"/>
      <c r="P557" s="253"/>
      <c r="Q557" s="250"/>
      <c r="R557" s="251"/>
      <c r="S557" s="283"/>
      <c r="T557" s="283"/>
      <c r="U557" s="253"/>
      <c r="V557" s="250"/>
      <c r="W557" s="251"/>
      <c r="X557" s="283"/>
      <c r="Y557" s="253"/>
    </row>
    <row r="558" spans="1:25" x14ac:dyDescent="0.2">
      <c r="A558" s="280"/>
      <c r="B558" s="280"/>
      <c r="C558" s="251"/>
      <c r="D558" s="281"/>
      <c r="E558" s="251"/>
      <c r="F558" s="251"/>
      <c r="G558" s="282"/>
      <c r="H558" s="253"/>
      <c r="I558" s="250"/>
      <c r="J558" s="251"/>
      <c r="K558" s="252"/>
      <c r="L558" s="253"/>
      <c r="M558" s="250"/>
      <c r="N558" s="251"/>
      <c r="O558" s="252"/>
      <c r="P558" s="253"/>
      <c r="Q558" s="250"/>
      <c r="R558" s="251"/>
      <c r="S558" s="283"/>
      <c r="T558" s="283"/>
      <c r="U558" s="253"/>
      <c r="V558" s="250"/>
      <c r="W558" s="251"/>
      <c r="X558" s="283"/>
      <c r="Y558" s="253"/>
    </row>
    <row r="559" spans="1:25" x14ac:dyDescent="0.2">
      <c r="A559" s="280"/>
      <c r="B559" s="280"/>
      <c r="C559" s="251"/>
      <c r="D559" s="281"/>
      <c r="E559" s="251"/>
      <c r="F559" s="251"/>
      <c r="G559" s="282"/>
      <c r="H559" s="253"/>
      <c r="I559" s="250"/>
      <c r="J559" s="251"/>
      <c r="K559" s="252"/>
      <c r="L559" s="253"/>
      <c r="M559" s="250"/>
      <c r="N559" s="251"/>
      <c r="O559" s="252"/>
      <c r="P559" s="253"/>
      <c r="Q559" s="250"/>
      <c r="R559" s="251"/>
      <c r="S559" s="283"/>
      <c r="T559" s="283"/>
      <c r="U559" s="253"/>
      <c r="V559" s="250"/>
      <c r="W559" s="251"/>
      <c r="X559" s="283"/>
      <c r="Y559" s="253"/>
    </row>
    <row r="560" spans="1:25" x14ac:dyDescent="0.2">
      <c r="A560" s="280"/>
      <c r="B560" s="280"/>
      <c r="C560" s="251"/>
      <c r="D560" s="281"/>
      <c r="E560" s="251"/>
      <c r="F560" s="251"/>
      <c r="G560" s="282"/>
      <c r="H560" s="253"/>
      <c r="I560" s="250"/>
      <c r="J560" s="251"/>
      <c r="K560" s="252"/>
      <c r="L560" s="253"/>
      <c r="M560" s="250"/>
      <c r="N560" s="251"/>
      <c r="O560" s="252"/>
      <c r="P560" s="253"/>
      <c r="Q560" s="250"/>
      <c r="R560" s="251"/>
      <c r="S560" s="283"/>
      <c r="T560" s="283"/>
      <c r="U560" s="253"/>
      <c r="V560" s="250"/>
      <c r="W560" s="251"/>
      <c r="X560" s="283"/>
      <c r="Y560" s="253"/>
    </row>
    <row r="561" spans="1:25" x14ac:dyDescent="0.2">
      <c r="A561" s="280"/>
      <c r="B561" s="280"/>
      <c r="C561" s="251"/>
      <c r="D561" s="281"/>
      <c r="E561" s="251"/>
      <c r="F561" s="251"/>
      <c r="G561" s="282"/>
      <c r="H561" s="253"/>
      <c r="I561" s="250"/>
      <c r="J561" s="251"/>
      <c r="K561" s="252"/>
      <c r="L561" s="253"/>
      <c r="M561" s="250"/>
      <c r="N561" s="251"/>
      <c r="O561" s="252"/>
      <c r="P561" s="253"/>
      <c r="Q561" s="250"/>
      <c r="R561" s="251"/>
      <c r="S561" s="283"/>
      <c r="T561" s="283"/>
      <c r="U561" s="253"/>
      <c r="V561" s="250"/>
      <c r="W561" s="251"/>
      <c r="X561" s="283"/>
      <c r="Y561" s="253"/>
    </row>
    <row r="562" spans="1:25" x14ac:dyDescent="0.2">
      <c r="A562" s="280"/>
      <c r="B562" s="280"/>
      <c r="C562" s="251"/>
      <c r="D562" s="281"/>
      <c r="E562" s="251"/>
      <c r="F562" s="251"/>
      <c r="G562" s="282"/>
      <c r="H562" s="253"/>
      <c r="I562" s="250"/>
      <c r="J562" s="251"/>
      <c r="K562" s="252"/>
      <c r="L562" s="253"/>
      <c r="M562" s="250"/>
      <c r="N562" s="251"/>
      <c r="O562" s="252"/>
      <c r="P562" s="253"/>
      <c r="Q562" s="250"/>
      <c r="R562" s="251"/>
      <c r="S562" s="283"/>
      <c r="T562" s="283"/>
      <c r="U562" s="253"/>
      <c r="V562" s="250"/>
      <c r="W562" s="251"/>
      <c r="X562" s="283"/>
      <c r="Y562" s="253"/>
    </row>
    <row r="563" spans="1:25" x14ac:dyDescent="0.2">
      <c r="A563" s="280"/>
      <c r="B563" s="280"/>
      <c r="C563" s="251"/>
      <c r="D563" s="281"/>
      <c r="E563" s="251"/>
      <c r="F563" s="251"/>
      <c r="G563" s="282"/>
      <c r="H563" s="253"/>
      <c r="I563" s="250"/>
      <c r="J563" s="251"/>
      <c r="K563" s="252"/>
      <c r="L563" s="253"/>
      <c r="M563" s="250"/>
      <c r="N563" s="251"/>
      <c r="O563" s="252"/>
      <c r="P563" s="253"/>
      <c r="Q563" s="250"/>
      <c r="R563" s="251"/>
      <c r="S563" s="283"/>
      <c r="T563" s="283"/>
      <c r="U563" s="253"/>
      <c r="V563" s="250"/>
      <c r="W563" s="251"/>
      <c r="X563" s="283"/>
      <c r="Y563" s="253"/>
    </row>
    <row r="564" spans="1:25" x14ac:dyDescent="0.2">
      <c r="A564" s="280"/>
      <c r="B564" s="280"/>
      <c r="C564" s="251"/>
      <c r="D564" s="281"/>
      <c r="E564" s="251"/>
      <c r="F564" s="251"/>
      <c r="G564" s="282"/>
      <c r="H564" s="253"/>
      <c r="I564" s="250"/>
      <c r="J564" s="251"/>
      <c r="K564" s="252"/>
      <c r="L564" s="253"/>
      <c r="M564" s="250"/>
      <c r="N564" s="251"/>
      <c r="O564" s="252"/>
      <c r="P564" s="253"/>
      <c r="Q564" s="250"/>
      <c r="R564" s="251"/>
      <c r="S564" s="283"/>
      <c r="T564" s="283"/>
      <c r="U564" s="253"/>
      <c r="V564" s="250"/>
      <c r="W564" s="251"/>
      <c r="X564" s="283"/>
      <c r="Y564" s="253"/>
    </row>
    <row r="565" spans="1:25" x14ac:dyDescent="0.2">
      <c r="A565" s="280"/>
      <c r="B565" s="280"/>
      <c r="C565" s="251"/>
      <c r="D565" s="281"/>
      <c r="E565" s="251"/>
      <c r="F565" s="251"/>
      <c r="G565" s="282"/>
      <c r="H565" s="253"/>
      <c r="I565" s="250"/>
      <c r="J565" s="251"/>
      <c r="K565" s="252"/>
      <c r="L565" s="253"/>
      <c r="M565" s="250"/>
      <c r="N565" s="251"/>
      <c r="O565" s="252"/>
      <c r="P565" s="253"/>
      <c r="Q565" s="250"/>
      <c r="R565" s="251"/>
      <c r="S565" s="283"/>
      <c r="T565" s="283"/>
      <c r="U565" s="253"/>
      <c r="V565" s="250"/>
      <c r="W565" s="251"/>
      <c r="X565" s="283"/>
      <c r="Y565" s="253"/>
    </row>
    <row r="566" spans="1:25" x14ac:dyDescent="0.2">
      <c r="A566" s="280"/>
      <c r="B566" s="280"/>
      <c r="C566" s="251"/>
      <c r="D566" s="281"/>
      <c r="E566" s="251"/>
      <c r="F566" s="251"/>
      <c r="G566" s="282"/>
      <c r="H566" s="253"/>
      <c r="I566" s="250"/>
      <c r="J566" s="251"/>
      <c r="K566" s="252"/>
      <c r="L566" s="253"/>
      <c r="M566" s="250"/>
      <c r="N566" s="251"/>
      <c r="O566" s="252"/>
      <c r="P566" s="253"/>
      <c r="Q566" s="250"/>
      <c r="R566" s="251"/>
      <c r="S566" s="283"/>
      <c r="T566" s="283"/>
      <c r="U566" s="253"/>
      <c r="V566" s="250"/>
      <c r="W566" s="251"/>
      <c r="X566" s="283"/>
      <c r="Y566" s="253"/>
    </row>
    <row r="567" spans="1:25" x14ac:dyDescent="0.2">
      <c r="A567" s="280"/>
      <c r="B567" s="280"/>
      <c r="C567" s="251"/>
      <c r="D567" s="281"/>
      <c r="E567" s="251"/>
      <c r="F567" s="251"/>
      <c r="G567" s="282"/>
      <c r="H567" s="253"/>
      <c r="I567" s="250"/>
      <c r="J567" s="251"/>
      <c r="K567" s="252"/>
      <c r="L567" s="253"/>
      <c r="M567" s="250"/>
      <c r="N567" s="251"/>
      <c r="O567" s="252"/>
      <c r="P567" s="253"/>
      <c r="Q567" s="250"/>
      <c r="R567" s="251"/>
      <c r="S567" s="283"/>
      <c r="T567" s="283"/>
      <c r="U567" s="253"/>
      <c r="V567" s="250"/>
      <c r="W567" s="251"/>
      <c r="X567" s="283"/>
      <c r="Y567" s="253"/>
    </row>
    <row r="568" spans="1:25" x14ac:dyDescent="0.2">
      <c r="A568" s="280"/>
      <c r="B568" s="280"/>
      <c r="C568" s="251"/>
      <c r="D568" s="281"/>
      <c r="E568" s="251"/>
      <c r="F568" s="251"/>
      <c r="G568" s="282"/>
      <c r="H568" s="253"/>
      <c r="I568" s="250"/>
      <c r="J568" s="251"/>
      <c r="K568" s="252"/>
      <c r="L568" s="253"/>
      <c r="M568" s="250"/>
      <c r="N568" s="251"/>
      <c r="O568" s="252"/>
      <c r="P568" s="253"/>
      <c r="Q568" s="250"/>
      <c r="R568" s="251"/>
      <c r="S568" s="283"/>
      <c r="T568" s="283"/>
      <c r="U568" s="253"/>
      <c r="V568" s="250"/>
      <c r="W568" s="251"/>
      <c r="X568" s="283"/>
      <c r="Y568" s="253"/>
    </row>
    <row r="569" spans="1:25" x14ac:dyDescent="0.2">
      <c r="A569" s="280"/>
      <c r="B569" s="280"/>
      <c r="C569" s="251"/>
      <c r="D569" s="281"/>
      <c r="E569" s="251"/>
      <c r="F569" s="251"/>
      <c r="G569" s="282"/>
      <c r="H569" s="253"/>
      <c r="I569" s="250"/>
      <c r="J569" s="251"/>
      <c r="K569" s="252"/>
      <c r="L569" s="253"/>
      <c r="M569" s="250"/>
      <c r="N569" s="251"/>
      <c r="O569" s="252"/>
      <c r="P569" s="253"/>
      <c r="Q569" s="250"/>
      <c r="R569" s="251"/>
      <c r="S569" s="283"/>
      <c r="T569" s="283"/>
      <c r="U569" s="253"/>
      <c r="V569" s="250"/>
      <c r="W569" s="251"/>
      <c r="X569" s="283"/>
      <c r="Y569" s="253"/>
    </row>
    <row r="570" spans="1:25" x14ac:dyDescent="0.2">
      <c r="A570" s="280"/>
      <c r="B570" s="280"/>
      <c r="C570" s="251"/>
      <c r="D570" s="281"/>
      <c r="E570" s="251"/>
      <c r="F570" s="251"/>
      <c r="G570" s="282"/>
      <c r="H570" s="253"/>
      <c r="I570" s="250"/>
      <c r="J570" s="251"/>
      <c r="K570" s="252"/>
      <c r="L570" s="253"/>
      <c r="M570" s="250"/>
      <c r="N570" s="251"/>
      <c r="O570" s="252"/>
      <c r="P570" s="253"/>
      <c r="Q570" s="250"/>
      <c r="R570" s="251"/>
      <c r="S570" s="283"/>
      <c r="T570" s="283"/>
      <c r="U570" s="253"/>
      <c r="V570" s="250"/>
      <c r="W570" s="251"/>
      <c r="X570" s="283"/>
      <c r="Y570" s="253"/>
    </row>
    <row r="571" spans="1:25" x14ac:dyDescent="0.2">
      <c r="A571" s="280"/>
      <c r="B571" s="280"/>
      <c r="C571" s="251"/>
      <c r="D571" s="281"/>
      <c r="E571" s="251"/>
      <c r="F571" s="251"/>
      <c r="G571" s="282"/>
      <c r="H571" s="253"/>
      <c r="I571" s="250"/>
      <c r="J571" s="251"/>
      <c r="K571" s="252"/>
      <c r="L571" s="253"/>
      <c r="M571" s="250"/>
      <c r="N571" s="251"/>
      <c r="O571" s="252"/>
      <c r="P571" s="253"/>
      <c r="Q571" s="250"/>
      <c r="R571" s="251"/>
      <c r="S571" s="283"/>
      <c r="T571" s="283"/>
      <c r="U571" s="253"/>
      <c r="V571" s="250"/>
      <c r="W571" s="251"/>
      <c r="X571" s="283"/>
      <c r="Y571" s="253"/>
    </row>
    <row r="572" spans="1:25" x14ac:dyDescent="0.2">
      <c r="A572" s="280"/>
      <c r="B572" s="280"/>
      <c r="C572" s="251"/>
      <c r="D572" s="281"/>
      <c r="E572" s="251"/>
      <c r="F572" s="251"/>
      <c r="G572" s="282"/>
      <c r="H572" s="253"/>
      <c r="I572" s="250"/>
      <c r="J572" s="251"/>
      <c r="K572" s="252"/>
      <c r="L572" s="253"/>
      <c r="M572" s="250"/>
      <c r="N572" s="251"/>
      <c r="O572" s="252"/>
      <c r="P572" s="253"/>
      <c r="Q572" s="250"/>
      <c r="R572" s="251"/>
      <c r="S572" s="283"/>
      <c r="T572" s="283"/>
      <c r="U572" s="253"/>
      <c r="V572" s="250"/>
      <c r="W572" s="251"/>
      <c r="X572" s="283"/>
      <c r="Y572" s="253"/>
    </row>
    <row r="573" spans="1:25" x14ac:dyDescent="0.2">
      <c r="A573" s="280"/>
      <c r="B573" s="280"/>
      <c r="C573" s="251"/>
      <c r="D573" s="281"/>
      <c r="E573" s="251"/>
      <c r="F573" s="251"/>
      <c r="G573" s="282"/>
      <c r="H573" s="253"/>
      <c r="I573" s="250"/>
      <c r="J573" s="251"/>
      <c r="K573" s="252"/>
      <c r="L573" s="253"/>
      <c r="M573" s="250"/>
      <c r="N573" s="251"/>
      <c r="O573" s="252"/>
      <c r="P573" s="253"/>
      <c r="Q573" s="250"/>
      <c r="R573" s="251"/>
      <c r="S573" s="283"/>
      <c r="T573" s="283"/>
      <c r="U573" s="253"/>
      <c r="V573" s="250"/>
      <c r="W573" s="251"/>
      <c r="X573" s="283"/>
      <c r="Y573" s="253"/>
    </row>
    <row r="574" spans="1:25" x14ac:dyDescent="0.2">
      <c r="A574" s="280"/>
      <c r="B574" s="280"/>
      <c r="C574" s="251"/>
      <c r="D574" s="281"/>
      <c r="E574" s="251"/>
      <c r="F574" s="251"/>
      <c r="G574" s="282"/>
      <c r="H574" s="253"/>
      <c r="I574" s="250"/>
      <c r="J574" s="251"/>
      <c r="K574" s="252"/>
      <c r="L574" s="253"/>
      <c r="M574" s="250"/>
      <c r="N574" s="251"/>
      <c r="O574" s="252"/>
      <c r="P574" s="253"/>
      <c r="Q574" s="250"/>
      <c r="R574" s="251"/>
      <c r="S574" s="283"/>
      <c r="T574" s="283"/>
      <c r="U574" s="253"/>
      <c r="V574" s="250"/>
      <c r="W574" s="251"/>
      <c r="X574" s="283"/>
      <c r="Y574" s="253"/>
    </row>
    <row r="575" spans="1:25" x14ac:dyDescent="0.2">
      <c r="A575" s="280"/>
      <c r="B575" s="280"/>
      <c r="C575" s="251"/>
      <c r="D575" s="281"/>
      <c r="E575" s="251"/>
      <c r="F575" s="251"/>
      <c r="G575" s="282"/>
      <c r="H575" s="253"/>
      <c r="I575" s="250"/>
      <c r="J575" s="251"/>
      <c r="K575" s="252"/>
      <c r="L575" s="253"/>
      <c r="M575" s="250"/>
      <c r="N575" s="251"/>
      <c r="O575" s="252"/>
      <c r="P575" s="253"/>
      <c r="Q575" s="250"/>
      <c r="R575" s="251"/>
      <c r="S575" s="283"/>
      <c r="T575" s="283"/>
      <c r="U575" s="253"/>
      <c r="V575" s="250"/>
      <c r="W575" s="251"/>
      <c r="X575" s="283"/>
      <c r="Y575" s="253"/>
    </row>
    <row r="576" spans="1:25" x14ac:dyDescent="0.2">
      <c r="A576" s="280"/>
      <c r="B576" s="280"/>
      <c r="C576" s="251"/>
      <c r="D576" s="281"/>
      <c r="E576" s="251"/>
      <c r="F576" s="251"/>
      <c r="G576" s="282"/>
      <c r="H576" s="253"/>
      <c r="I576" s="250"/>
      <c r="J576" s="251"/>
      <c r="K576" s="252"/>
      <c r="L576" s="253"/>
      <c r="M576" s="250"/>
      <c r="N576" s="251"/>
      <c r="O576" s="252"/>
      <c r="P576" s="253"/>
      <c r="Q576" s="250"/>
      <c r="R576" s="251"/>
      <c r="S576" s="283"/>
      <c r="T576" s="283"/>
      <c r="U576" s="253"/>
      <c r="V576" s="250"/>
      <c r="W576" s="251"/>
      <c r="X576" s="283"/>
      <c r="Y576" s="253"/>
    </row>
    <row r="577" spans="1:25" x14ac:dyDescent="0.2">
      <c r="A577" s="280"/>
      <c r="B577" s="280"/>
      <c r="C577" s="251"/>
      <c r="D577" s="281"/>
      <c r="E577" s="251"/>
      <c r="F577" s="251"/>
      <c r="G577" s="282"/>
      <c r="H577" s="253"/>
      <c r="I577" s="250"/>
      <c r="J577" s="251"/>
      <c r="K577" s="252"/>
      <c r="L577" s="253"/>
      <c r="M577" s="250"/>
      <c r="N577" s="251"/>
      <c r="O577" s="252"/>
      <c r="P577" s="253"/>
      <c r="Q577" s="250"/>
      <c r="R577" s="251"/>
      <c r="S577" s="283"/>
      <c r="T577" s="283"/>
      <c r="U577" s="253"/>
      <c r="V577" s="250"/>
      <c r="W577" s="251"/>
      <c r="X577" s="283"/>
      <c r="Y577" s="253"/>
    </row>
    <row r="578" spans="1:25" x14ac:dyDescent="0.2">
      <c r="A578" s="280"/>
      <c r="B578" s="280"/>
      <c r="C578" s="251"/>
      <c r="D578" s="281"/>
      <c r="E578" s="251"/>
      <c r="F578" s="251"/>
      <c r="G578" s="282"/>
      <c r="H578" s="253"/>
      <c r="I578" s="250"/>
      <c r="J578" s="251"/>
      <c r="K578" s="252"/>
      <c r="L578" s="253"/>
      <c r="M578" s="250"/>
      <c r="N578" s="251"/>
      <c r="O578" s="252"/>
      <c r="P578" s="253"/>
      <c r="Q578" s="250"/>
      <c r="R578" s="251"/>
      <c r="S578" s="283"/>
      <c r="T578" s="283"/>
      <c r="U578" s="253"/>
      <c r="V578" s="250"/>
      <c r="W578" s="251"/>
      <c r="X578" s="283"/>
      <c r="Y578" s="253"/>
    </row>
    <row r="579" spans="1:25" x14ac:dyDescent="0.2">
      <c r="A579" s="280"/>
      <c r="B579" s="280"/>
      <c r="C579" s="251"/>
      <c r="D579" s="281"/>
      <c r="E579" s="251"/>
      <c r="F579" s="251"/>
      <c r="G579" s="282"/>
      <c r="H579" s="253"/>
      <c r="I579" s="250"/>
      <c r="J579" s="251"/>
      <c r="K579" s="252"/>
      <c r="L579" s="253"/>
      <c r="M579" s="250"/>
      <c r="N579" s="251"/>
      <c r="O579" s="252"/>
      <c r="P579" s="253"/>
      <c r="Q579" s="250"/>
      <c r="R579" s="251"/>
      <c r="S579" s="283"/>
      <c r="T579" s="283"/>
      <c r="U579" s="253"/>
      <c r="V579" s="250"/>
      <c r="W579" s="251"/>
      <c r="X579" s="283"/>
      <c r="Y579" s="253"/>
    </row>
    <row r="580" spans="1:25" x14ac:dyDescent="0.2">
      <c r="A580" s="280"/>
      <c r="B580" s="280"/>
      <c r="C580" s="251"/>
      <c r="D580" s="281"/>
      <c r="E580" s="251"/>
      <c r="F580" s="251"/>
      <c r="G580" s="282"/>
      <c r="H580" s="253"/>
      <c r="I580" s="250"/>
      <c r="J580" s="251"/>
      <c r="K580" s="252"/>
      <c r="L580" s="253"/>
      <c r="M580" s="250"/>
      <c r="N580" s="251"/>
      <c r="O580" s="252"/>
      <c r="P580" s="253"/>
      <c r="Q580" s="250"/>
      <c r="R580" s="251"/>
      <c r="S580" s="283"/>
      <c r="T580" s="283"/>
      <c r="U580" s="253"/>
      <c r="V580" s="250"/>
      <c r="W580" s="251"/>
      <c r="X580" s="283"/>
      <c r="Y580" s="253"/>
    </row>
    <row r="581" spans="1:25" x14ac:dyDescent="0.2">
      <c r="A581" s="280"/>
      <c r="B581" s="280"/>
      <c r="C581" s="251"/>
      <c r="D581" s="281"/>
      <c r="E581" s="251"/>
      <c r="F581" s="251"/>
      <c r="G581" s="282"/>
      <c r="H581" s="253"/>
      <c r="I581" s="250"/>
      <c r="J581" s="251"/>
      <c r="K581" s="252"/>
      <c r="L581" s="253"/>
      <c r="M581" s="250"/>
      <c r="N581" s="251"/>
      <c r="O581" s="252"/>
      <c r="P581" s="253"/>
      <c r="Q581" s="250"/>
      <c r="R581" s="251"/>
      <c r="S581" s="283"/>
      <c r="T581" s="283"/>
      <c r="U581" s="253"/>
      <c r="V581" s="250"/>
      <c r="W581" s="251"/>
      <c r="X581" s="283"/>
      <c r="Y581" s="253"/>
    </row>
    <row r="582" spans="1:25" x14ac:dyDescent="0.2">
      <c r="A582" s="280"/>
      <c r="B582" s="280"/>
      <c r="C582" s="251"/>
      <c r="D582" s="281"/>
      <c r="E582" s="251"/>
      <c r="F582" s="251"/>
      <c r="G582" s="282"/>
      <c r="H582" s="253"/>
      <c r="I582" s="250"/>
      <c r="J582" s="251"/>
      <c r="K582" s="252"/>
      <c r="L582" s="253"/>
      <c r="M582" s="250"/>
      <c r="N582" s="251"/>
      <c r="O582" s="252"/>
      <c r="P582" s="253"/>
      <c r="Q582" s="250"/>
      <c r="R582" s="251"/>
      <c r="S582" s="283"/>
      <c r="T582" s="283"/>
      <c r="U582" s="253"/>
      <c r="V582" s="250"/>
      <c r="W582" s="251"/>
      <c r="X582" s="283"/>
      <c r="Y582" s="253"/>
    </row>
    <row r="583" spans="1:25" x14ac:dyDescent="0.2">
      <c r="A583" s="280"/>
      <c r="B583" s="280"/>
      <c r="C583" s="251"/>
      <c r="D583" s="281"/>
      <c r="E583" s="251"/>
      <c r="F583" s="251"/>
      <c r="G583" s="282"/>
      <c r="H583" s="253"/>
      <c r="I583" s="250"/>
      <c r="J583" s="251"/>
      <c r="K583" s="252"/>
      <c r="L583" s="253"/>
      <c r="M583" s="250"/>
      <c r="N583" s="251"/>
      <c r="O583" s="252"/>
      <c r="P583" s="253"/>
      <c r="Q583" s="250"/>
      <c r="R583" s="251"/>
      <c r="S583" s="283"/>
      <c r="T583" s="283"/>
      <c r="U583" s="253"/>
      <c r="V583" s="250"/>
      <c r="W583" s="251"/>
      <c r="X583" s="283"/>
      <c r="Y583" s="253"/>
    </row>
    <row r="584" spans="1:25" x14ac:dyDescent="0.2">
      <c r="A584" s="280"/>
      <c r="B584" s="280"/>
      <c r="C584" s="251"/>
      <c r="D584" s="281"/>
      <c r="E584" s="251"/>
      <c r="F584" s="251"/>
      <c r="G584" s="282"/>
      <c r="H584" s="253"/>
      <c r="I584" s="250"/>
      <c r="J584" s="251"/>
      <c r="K584" s="252"/>
      <c r="L584" s="253"/>
      <c r="M584" s="250"/>
      <c r="N584" s="251"/>
      <c r="O584" s="252"/>
      <c r="P584" s="253"/>
      <c r="Q584" s="250"/>
      <c r="R584" s="251"/>
      <c r="S584" s="283"/>
      <c r="T584" s="283"/>
      <c r="U584" s="253"/>
      <c r="V584" s="250"/>
      <c r="W584" s="251"/>
      <c r="X584" s="283"/>
      <c r="Y584" s="253"/>
    </row>
    <row r="585" spans="1:25" x14ac:dyDescent="0.2">
      <c r="A585" s="280"/>
      <c r="B585" s="280"/>
      <c r="C585" s="251"/>
      <c r="D585" s="281"/>
      <c r="E585" s="251"/>
      <c r="F585" s="251"/>
      <c r="G585" s="282"/>
      <c r="H585" s="253"/>
      <c r="I585" s="250"/>
      <c r="J585" s="251"/>
      <c r="K585" s="252"/>
      <c r="L585" s="253"/>
      <c r="M585" s="250"/>
      <c r="N585" s="251"/>
      <c r="O585" s="252"/>
      <c r="P585" s="253"/>
      <c r="Q585" s="250"/>
      <c r="R585" s="251"/>
      <c r="S585" s="283"/>
      <c r="T585" s="283"/>
      <c r="U585" s="253"/>
      <c r="V585" s="250"/>
      <c r="W585" s="251"/>
      <c r="X585" s="283"/>
      <c r="Y585" s="253"/>
    </row>
    <row r="586" spans="1:25" x14ac:dyDescent="0.2">
      <c r="A586" s="280"/>
      <c r="B586" s="280"/>
      <c r="C586" s="251"/>
      <c r="D586" s="281"/>
      <c r="E586" s="251"/>
      <c r="F586" s="251"/>
      <c r="G586" s="282"/>
      <c r="H586" s="253"/>
      <c r="I586" s="250"/>
      <c r="J586" s="251"/>
      <c r="K586" s="252"/>
      <c r="L586" s="253"/>
      <c r="M586" s="250"/>
      <c r="N586" s="251"/>
      <c r="O586" s="252"/>
      <c r="P586" s="253"/>
      <c r="Q586" s="250"/>
      <c r="R586" s="251"/>
      <c r="S586" s="283"/>
      <c r="T586" s="283"/>
      <c r="U586" s="253"/>
      <c r="V586" s="250"/>
      <c r="W586" s="251"/>
      <c r="X586" s="283"/>
      <c r="Y586" s="253"/>
    </row>
    <row r="587" spans="1:25" x14ac:dyDescent="0.2">
      <c r="A587" s="280"/>
      <c r="B587" s="280"/>
      <c r="C587" s="251"/>
      <c r="D587" s="281"/>
      <c r="E587" s="251"/>
      <c r="F587" s="251"/>
      <c r="G587" s="282"/>
      <c r="H587" s="253"/>
      <c r="I587" s="250"/>
      <c r="J587" s="251"/>
      <c r="K587" s="252"/>
      <c r="L587" s="253"/>
      <c r="M587" s="250"/>
      <c r="N587" s="251"/>
      <c r="O587" s="252"/>
      <c r="P587" s="253"/>
      <c r="Q587" s="250"/>
      <c r="R587" s="251"/>
      <c r="S587" s="283"/>
      <c r="T587" s="283"/>
      <c r="U587" s="253"/>
      <c r="V587" s="250"/>
      <c r="W587" s="251"/>
      <c r="X587" s="283"/>
      <c r="Y587" s="253"/>
    </row>
    <row r="588" spans="1:25" x14ac:dyDescent="0.2">
      <c r="A588" s="280"/>
      <c r="B588" s="280"/>
      <c r="C588" s="251"/>
      <c r="D588" s="281"/>
      <c r="E588" s="251"/>
      <c r="F588" s="251"/>
      <c r="G588" s="282"/>
      <c r="H588" s="253"/>
      <c r="I588" s="250"/>
      <c r="J588" s="251"/>
      <c r="K588" s="252"/>
      <c r="L588" s="253"/>
      <c r="M588" s="250"/>
      <c r="N588" s="251"/>
      <c r="O588" s="252"/>
      <c r="P588" s="253"/>
      <c r="Q588" s="250"/>
      <c r="R588" s="251"/>
      <c r="S588" s="283"/>
      <c r="T588" s="283"/>
      <c r="U588" s="253"/>
      <c r="V588" s="250"/>
      <c r="W588" s="251"/>
      <c r="X588" s="283"/>
      <c r="Y588" s="253"/>
    </row>
    <row r="589" spans="1:25" x14ac:dyDescent="0.2">
      <c r="A589" s="280"/>
      <c r="B589" s="280"/>
      <c r="C589" s="251"/>
      <c r="D589" s="281"/>
      <c r="E589" s="251"/>
      <c r="F589" s="251"/>
      <c r="G589" s="282"/>
      <c r="H589" s="253"/>
      <c r="I589" s="250"/>
      <c r="J589" s="251"/>
      <c r="K589" s="252"/>
      <c r="L589" s="253"/>
      <c r="M589" s="250"/>
      <c r="N589" s="251"/>
      <c r="O589" s="252"/>
      <c r="P589" s="253"/>
      <c r="Q589" s="250"/>
      <c r="R589" s="251"/>
      <c r="S589" s="283"/>
      <c r="T589" s="283"/>
      <c r="U589" s="253"/>
      <c r="V589" s="250"/>
      <c r="W589" s="251"/>
      <c r="X589" s="283"/>
      <c r="Y589" s="253"/>
    </row>
    <row r="590" spans="1:25" x14ac:dyDescent="0.2">
      <c r="A590" s="280"/>
      <c r="B590" s="280"/>
      <c r="C590" s="251"/>
      <c r="D590" s="281"/>
      <c r="E590" s="251"/>
      <c r="F590" s="251"/>
      <c r="G590" s="282"/>
      <c r="H590" s="253"/>
      <c r="I590" s="250"/>
      <c r="J590" s="251"/>
      <c r="K590" s="252"/>
      <c r="L590" s="253"/>
      <c r="M590" s="250"/>
      <c r="N590" s="251"/>
      <c r="O590" s="252"/>
      <c r="P590" s="253"/>
      <c r="Q590" s="250"/>
      <c r="R590" s="251"/>
      <c r="S590" s="283"/>
      <c r="T590" s="283"/>
      <c r="U590" s="253"/>
      <c r="V590" s="250"/>
      <c r="W590" s="251"/>
      <c r="X590" s="283"/>
      <c r="Y590" s="253"/>
    </row>
    <row r="591" spans="1:25" x14ac:dyDescent="0.2">
      <c r="A591" s="280"/>
      <c r="B591" s="280"/>
      <c r="C591" s="251"/>
      <c r="D591" s="281"/>
      <c r="E591" s="251"/>
      <c r="F591" s="251"/>
      <c r="G591" s="282"/>
      <c r="H591" s="253"/>
      <c r="I591" s="250"/>
      <c r="J591" s="251"/>
      <c r="K591" s="252"/>
      <c r="L591" s="253"/>
      <c r="M591" s="250"/>
      <c r="N591" s="251"/>
      <c r="O591" s="252"/>
      <c r="P591" s="253"/>
      <c r="Q591" s="250"/>
      <c r="R591" s="251"/>
      <c r="S591" s="283"/>
      <c r="T591" s="283"/>
      <c r="U591" s="253"/>
      <c r="V591" s="250"/>
      <c r="W591" s="251"/>
      <c r="X591" s="283"/>
      <c r="Y591" s="253"/>
    </row>
    <row r="592" spans="1:25" x14ac:dyDescent="0.2">
      <c r="A592" s="280"/>
      <c r="B592" s="280"/>
      <c r="C592" s="251"/>
      <c r="D592" s="281"/>
      <c r="E592" s="251"/>
      <c r="F592" s="251"/>
      <c r="G592" s="282"/>
      <c r="H592" s="253"/>
      <c r="I592" s="250"/>
      <c r="J592" s="251"/>
      <c r="K592" s="252"/>
      <c r="L592" s="253"/>
      <c r="M592" s="250"/>
      <c r="N592" s="251"/>
      <c r="O592" s="252"/>
      <c r="P592" s="253"/>
      <c r="Q592" s="250"/>
      <c r="R592" s="251"/>
      <c r="S592" s="283"/>
      <c r="T592" s="283"/>
      <c r="U592" s="253"/>
      <c r="V592" s="250"/>
      <c r="W592" s="251"/>
      <c r="X592" s="283"/>
      <c r="Y592" s="253"/>
    </row>
    <row r="593" spans="1:25" x14ac:dyDescent="0.2">
      <c r="A593" s="280"/>
      <c r="B593" s="280"/>
      <c r="C593" s="251"/>
      <c r="D593" s="281"/>
      <c r="E593" s="251"/>
      <c r="F593" s="251"/>
      <c r="G593" s="282"/>
      <c r="H593" s="253"/>
      <c r="I593" s="250"/>
      <c r="J593" s="251"/>
      <c r="K593" s="252"/>
      <c r="L593" s="253"/>
      <c r="M593" s="250"/>
      <c r="N593" s="251"/>
      <c r="O593" s="252"/>
      <c r="P593" s="253"/>
      <c r="Q593" s="250"/>
      <c r="R593" s="251"/>
      <c r="S593" s="283"/>
      <c r="T593" s="283"/>
      <c r="U593" s="253"/>
      <c r="V593" s="250"/>
      <c r="W593" s="251"/>
      <c r="X593" s="283"/>
      <c r="Y593" s="253"/>
    </row>
    <row r="594" spans="1:25" x14ac:dyDescent="0.2">
      <c r="A594" s="280"/>
      <c r="B594" s="280"/>
      <c r="C594" s="251"/>
      <c r="D594" s="281"/>
      <c r="E594" s="251"/>
      <c r="F594" s="251"/>
      <c r="G594" s="282"/>
      <c r="H594" s="253"/>
      <c r="I594" s="250"/>
      <c r="J594" s="251"/>
      <c r="K594" s="252"/>
      <c r="L594" s="253"/>
      <c r="M594" s="250"/>
      <c r="N594" s="251"/>
      <c r="O594" s="252"/>
      <c r="P594" s="253"/>
      <c r="Q594" s="250"/>
      <c r="R594" s="251"/>
      <c r="S594" s="283"/>
      <c r="T594" s="283"/>
      <c r="U594" s="253"/>
      <c r="V594" s="250"/>
      <c r="W594" s="251"/>
      <c r="X594" s="283"/>
      <c r="Y594" s="253"/>
    </row>
    <row r="595" spans="1:25" x14ac:dyDescent="0.2">
      <c r="A595" s="280"/>
      <c r="B595" s="280"/>
      <c r="C595" s="251"/>
      <c r="D595" s="281"/>
      <c r="E595" s="251"/>
      <c r="F595" s="251"/>
      <c r="G595" s="282"/>
      <c r="H595" s="253"/>
      <c r="I595" s="250"/>
      <c r="J595" s="251"/>
      <c r="K595" s="252"/>
      <c r="L595" s="253"/>
      <c r="M595" s="250"/>
      <c r="N595" s="251"/>
      <c r="O595" s="252"/>
      <c r="P595" s="253"/>
      <c r="Q595" s="250"/>
      <c r="R595" s="251"/>
      <c r="S595" s="283"/>
      <c r="T595" s="283"/>
      <c r="U595" s="253"/>
      <c r="V595" s="250"/>
      <c r="W595" s="251"/>
      <c r="X595" s="283"/>
      <c r="Y595" s="253"/>
    </row>
    <row r="596" spans="1:25" x14ac:dyDescent="0.2">
      <c r="A596" s="280"/>
      <c r="B596" s="280"/>
      <c r="C596" s="251"/>
      <c r="D596" s="281"/>
      <c r="E596" s="251"/>
      <c r="F596" s="251"/>
      <c r="G596" s="282"/>
      <c r="H596" s="253"/>
      <c r="I596" s="250"/>
      <c r="J596" s="251"/>
      <c r="K596" s="252"/>
      <c r="L596" s="253"/>
      <c r="M596" s="250"/>
      <c r="N596" s="251"/>
      <c r="O596" s="252"/>
      <c r="P596" s="253"/>
      <c r="Q596" s="250"/>
      <c r="R596" s="251"/>
      <c r="S596" s="283"/>
      <c r="T596" s="283"/>
      <c r="U596" s="253"/>
      <c r="V596" s="250"/>
      <c r="W596" s="251"/>
      <c r="X596" s="283"/>
      <c r="Y596" s="253"/>
    </row>
    <row r="597" spans="1:25" x14ac:dyDescent="0.2">
      <c r="A597" s="280"/>
      <c r="B597" s="280"/>
      <c r="C597" s="251"/>
      <c r="D597" s="281"/>
      <c r="E597" s="251"/>
      <c r="F597" s="251"/>
      <c r="G597" s="282"/>
      <c r="H597" s="253"/>
      <c r="I597" s="250"/>
      <c r="J597" s="251"/>
      <c r="K597" s="252"/>
      <c r="L597" s="253"/>
      <c r="M597" s="250"/>
      <c r="N597" s="251"/>
      <c r="O597" s="252"/>
      <c r="P597" s="253"/>
      <c r="Q597" s="250"/>
      <c r="R597" s="251"/>
      <c r="S597" s="283"/>
      <c r="T597" s="283"/>
      <c r="U597" s="253"/>
      <c r="V597" s="250"/>
      <c r="W597" s="251"/>
      <c r="X597" s="283"/>
      <c r="Y597" s="253"/>
    </row>
    <row r="598" spans="1:25" x14ac:dyDescent="0.2">
      <c r="A598" s="280"/>
      <c r="B598" s="280"/>
      <c r="C598" s="251"/>
      <c r="D598" s="281"/>
      <c r="E598" s="251"/>
      <c r="F598" s="251"/>
      <c r="G598" s="282"/>
      <c r="H598" s="253"/>
      <c r="I598" s="250"/>
      <c r="J598" s="251"/>
      <c r="K598" s="252"/>
      <c r="L598" s="253"/>
      <c r="M598" s="250"/>
      <c r="N598" s="251"/>
      <c r="O598" s="252"/>
      <c r="P598" s="253"/>
      <c r="Q598" s="250"/>
      <c r="R598" s="251"/>
      <c r="S598" s="283"/>
      <c r="T598" s="283"/>
      <c r="U598" s="253"/>
      <c r="V598" s="250"/>
      <c r="W598" s="251"/>
      <c r="X598" s="283"/>
      <c r="Y598" s="253"/>
    </row>
    <row r="599" spans="1:25" x14ac:dyDescent="0.2">
      <c r="A599" s="280"/>
      <c r="B599" s="280"/>
      <c r="C599" s="251"/>
      <c r="D599" s="281"/>
      <c r="E599" s="251"/>
      <c r="F599" s="251"/>
      <c r="G599" s="282"/>
      <c r="H599" s="253"/>
      <c r="I599" s="250"/>
      <c r="J599" s="251"/>
      <c r="K599" s="252"/>
      <c r="L599" s="253"/>
      <c r="M599" s="250"/>
      <c r="N599" s="251"/>
      <c r="O599" s="252"/>
      <c r="P599" s="253"/>
      <c r="Q599" s="250"/>
      <c r="R599" s="251"/>
      <c r="S599" s="283"/>
      <c r="T599" s="283"/>
      <c r="U599" s="253"/>
      <c r="V599" s="250"/>
      <c r="W599" s="251"/>
      <c r="X599" s="283"/>
      <c r="Y599" s="253"/>
    </row>
  </sheetData>
  <autoFilter ref="A6:U18"/>
  <mergeCells count="107">
    <mergeCell ref="B263:B266"/>
    <mergeCell ref="B243:B246"/>
    <mergeCell ref="B247:B250"/>
    <mergeCell ref="B251:B254"/>
    <mergeCell ref="B255:B258"/>
    <mergeCell ref="B259:B262"/>
    <mergeCell ref="B223:B226"/>
    <mergeCell ref="B227:B230"/>
    <mergeCell ref="B231:B234"/>
    <mergeCell ref="B235:B238"/>
    <mergeCell ref="B239:B242"/>
    <mergeCell ref="B203:B206"/>
    <mergeCell ref="B207:B210"/>
    <mergeCell ref="B211:B214"/>
    <mergeCell ref="B215:B218"/>
    <mergeCell ref="B219:B222"/>
    <mergeCell ref="B183:B186"/>
    <mergeCell ref="B187:B190"/>
    <mergeCell ref="B191:B194"/>
    <mergeCell ref="B195:B198"/>
    <mergeCell ref="B199:B202"/>
    <mergeCell ref="B163:B166"/>
    <mergeCell ref="B167:B170"/>
    <mergeCell ref="B171:B174"/>
    <mergeCell ref="B175:B178"/>
    <mergeCell ref="B179:B182"/>
    <mergeCell ref="A1:K1"/>
    <mergeCell ref="M1:N1"/>
    <mergeCell ref="E3:H3"/>
    <mergeCell ref="J3:L3"/>
    <mergeCell ref="N3:P3"/>
    <mergeCell ref="A15:A18"/>
    <mergeCell ref="B15:B18"/>
    <mergeCell ref="A19:A22"/>
    <mergeCell ref="B19:B22"/>
    <mergeCell ref="A23:A26"/>
    <mergeCell ref="B23:B26"/>
    <mergeCell ref="A27:A30"/>
    <mergeCell ref="B27:B30"/>
    <mergeCell ref="A31:A34"/>
    <mergeCell ref="B31:B34"/>
    <mergeCell ref="A35:A38"/>
    <mergeCell ref="B35:B38"/>
    <mergeCell ref="A39:A42"/>
    <mergeCell ref="B39:B42"/>
    <mergeCell ref="Q5:U5"/>
    <mergeCell ref="V5:Y5"/>
    <mergeCell ref="A7:A10"/>
    <mergeCell ref="B7:B10"/>
    <mergeCell ref="A11:A14"/>
    <mergeCell ref="B11:B14"/>
    <mergeCell ref="D5:H5"/>
    <mergeCell ref="I5:L5"/>
    <mergeCell ref="M5:P5"/>
    <mergeCell ref="A43:A46"/>
    <mergeCell ref="B43:B46"/>
    <mergeCell ref="A47:A50"/>
    <mergeCell ref="B47:B50"/>
    <mergeCell ref="A51:A54"/>
    <mergeCell ref="B51:B54"/>
    <mergeCell ref="A55:A58"/>
    <mergeCell ref="B55:B58"/>
    <mergeCell ref="A59:A62"/>
    <mergeCell ref="B59:B62"/>
    <mergeCell ref="A63:A66"/>
    <mergeCell ref="B63:B66"/>
    <mergeCell ref="A67:A70"/>
    <mergeCell ref="B67:B70"/>
    <mergeCell ref="A71:A74"/>
    <mergeCell ref="B71:B74"/>
    <mergeCell ref="A75:A78"/>
    <mergeCell ref="B75:B78"/>
    <mergeCell ref="A79:A82"/>
    <mergeCell ref="B79:B82"/>
    <mergeCell ref="B83:B86"/>
    <mergeCell ref="A87:A90"/>
    <mergeCell ref="B87:B90"/>
    <mergeCell ref="A91:A94"/>
    <mergeCell ref="B91:B94"/>
    <mergeCell ref="A95:A98"/>
    <mergeCell ref="B95:B98"/>
    <mergeCell ref="A99:A102"/>
    <mergeCell ref="B99:B102"/>
    <mergeCell ref="B155:B158"/>
    <mergeCell ref="B159:B162"/>
    <mergeCell ref="A123:A126"/>
    <mergeCell ref="B123:B126"/>
    <mergeCell ref="A127:A130"/>
    <mergeCell ref="B127:B130"/>
    <mergeCell ref="B131:B134"/>
    <mergeCell ref="B135:B138"/>
    <mergeCell ref="M47:P74"/>
    <mergeCell ref="B139:B142"/>
    <mergeCell ref="B143:B146"/>
    <mergeCell ref="B147:B150"/>
    <mergeCell ref="B151:B154"/>
    <mergeCell ref="A103:A106"/>
    <mergeCell ref="B103:B106"/>
    <mergeCell ref="A107:A110"/>
    <mergeCell ref="B107:B110"/>
    <mergeCell ref="A111:A114"/>
    <mergeCell ref="B111:B114"/>
    <mergeCell ref="A115:A118"/>
    <mergeCell ref="B115:B118"/>
    <mergeCell ref="A119:A122"/>
    <mergeCell ref="B119:B122"/>
    <mergeCell ref="A83:A86"/>
  </mergeCells>
  <conditionalFormatting sqref="G7:G18 G123:G124 K102 K100 K188:K197 O131:O197 O203:O250 K203:K250">
    <cfRule type="expression" dxfId="3508" priority="1060">
      <formula>G7=$M$3</formula>
    </cfRule>
    <cfRule type="expression" dxfId="3507" priority="1061">
      <formula>G7=$I$3</formula>
    </cfRule>
    <cfRule type="expression" dxfId="3506" priority="1062">
      <formula>G7=$D$3</formula>
    </cfRule>
  </conditionalFormatting>
  <conditionalFormatting sqref="H2:H4 L2:L4 P2:P4 U2:U4 H267:H1048576 L267:L1048576 P267:P1048576 U267:U1048576 H123:H124 L102 L100 P131:P197 L188:L197 L203:L250 P203:P250">
    <cfRule type="cellIs" dxfId="3505" priority="1059" operator="greaterThan">
      <formula>0</formula>
    </cfRule>
  </conditionalFormatting>
  <conditionalFormatting sqref="K7:K10">
    <cfRule type="expression" dxfId="3504" priority="1056">
      <formula>K7=$M$3</formula>
    </cfRule>
    <cfRule type="expression" dxfId="3503" priority="1057">
      <formula>K7=$I$3</formula>
    </cfRule>
    <cfRule type="expression" dxfId="3502" priority="1058">
      <formula>K7=$D$3</formula>
    </cfRule>
  </conditionalFormatting>
  <conditionalFormatting sqref="O8:O10">
    <cfRule type="expression" dxfId="3501" priority="1053">
      <formula>O8=$M$3</formula>
    </cfRule>
    <cfRule type="expression" dxfId="3500" priority="1054">
      <formula>O8=$I$3</formula>
    </cfRule>
    <cfRule type="expression" dxfId="3499" priority="1055">
      <formula>O8=$D$3</formula>
    </cfRule>
  </conditionalFormatting>
  <conditionalFormatting sqref="S7:T10">
    <cfRule type="expression" dxfId="3498" priority="1050">
      <formula>S7=$M$3</formula>
    </cfRule>
    <cfRule type="expression" dxfId="3497" priority="1051">
      <formula>S7=$I$3</formula>
    </cfRule>
    <cfRule type="expression" dxfId="3496" priority="1052">
      <formula>S7=$D$3</formula>
    </cfRule>
  </conditionalFormatting>
  <conditionalFormatting sqref="B7:B10">
    <cfRule type="expression" dxfId="3495" priority="1049">
      <formula>B7="CN"</formula>
    </cfRule>
  </conditionalFormatting>
  <conditionalFormatting sqref="U7:U10 P8:P10 L7:L10 H7:H10">
    <cfRule type="cellIs" dxfId="3494" priority="1048" operator="greaterThan">
      <formula>0</formula>
    </cfRule>
  </conditionalFormatting>
  <conditionalFormatting sqref="K13:K14">
    <cfRule type="expression" dxfId="3493" priority="1045">
      <formula>K13=$M$3</formula>
    </cfRule>
    <cfRule type="expression" dxfId="3492" priority="1046">
      <formula>K13=$I$3</formula>
    </cfRule>
    <cfRule type="expression" dxfId="3491" priority="1047">
      <formula>K13=$D$3</formula>
    </cfRule>
  </conditionalFormatting>
  <conditionalFormatting sqref="O13:O14">
    <cfRule type="expression" dxfId="3490" priority="1042">
      <formula>O13=$M$3</formula>
    </cfRule>
    <cfRule type="expression" dxfId="3489" priority="1043">
      <formula>O13=$I$3</formula>
    </cfRule>
    <cfRule type="expression" dxfId="3488" priority="1044">
      <formula>O13=$D$3</formula>
    </cfRule>
  </conditionalFormatting>
  <conditionalFormatting sqref="B11:B14">
    <cfRule type="expression" dxfId="3487" priority="1041">
      <formula>B11="CN"</formula>
    </cfRule>
  </conditionalFormatting>
  <conditionalFormatting sqref="P13:P14 L13:L14 H11:H14">
    <cfRule type="cellIs" dxfId="3486" priority="1040" operator="greaterThan">
      <formula>0</formula>
    </cfRule>
  </conditionalFormatting>
  <conditionalFormatting sqref="K16:K18">
    <cfRule type="expression" dxfId="3485" priority="1037">
      <formula>K16=$M$3</formula>
    </cfRule>
    <cfRule type="expression" dxfId="3484" priority="1038">
      <formula>K16=$I$3</formula>
    </cfRule>
    <cfRule type="expression" dxfId="3483" priority="1039">
      <formula>K16=$D$3</formula>
    </cfRule>
  </conditionalFormatting>
  <conditionalFormatting sqref="O15:O18">
    <cfRule type="expression" dxfId="3482" priority="1034">
      <formula>O15=$M$3</formula>
    </cfRule>
    <cfRule type="expression" dxfId="3481" priority="1035">
      <formula>O15=$I$3</formula>
    </cfRule>
    <cfRule type="expression" dxfId="3480" priority="1036">
      <formula>O15=$D$3</formula>
    </cfRule>
  </conditionalFormatting>
  <conditionalFormatting sqref="B15:B18">
    <cfRule type="expression" dxfId="3479" priority="1033">
      <formula>B15="CN"</formula>
    </cfRule>
  </conditionalFormatting>
  <conditionalFormatting sqref="P15:P18 L16:L18 H15:H18">
    <cfRule type="cellIs" dxfId="3478" priority="1032" operator="greaterThan">
      <formula>0</formula>
    </cfRule>
  </conditionalFormatting>
  <conditionalFormatting sqref="O7">
    <cfRule type="expression" dxfId="3477" priority="1029">
      <formula>O7=$M$3</formula>
    </cfRule>
    <cfRule type="expression" dxfId="3476" priority="1030">
      <formula>O7=$I$3</formula>
    </cfRule>
    <cfRule type="expression" dxfId="3475" priority="1031">
      <formula>O7=$D$3</formula>
    </cfRule>
  </conditionalFormatting>
  <conditionalFormatting sqref="P7">
    <cfRule type="cellIs" dxfId="3474" priority="1028" operator="greaterThan">
      <formula>0</formula>
    </cfRule>
  </conditionalFormatting>
  <conditionalFormatting sqref="Y2:Y4 Y267:Y1048576">
    <cfRule type="cellIs" dxfId="3473" priority="1027" operator="greaterThan">
      <formula>0</formula>
    </cfRule>
  </conditionalFormatting>
  <conditionalFormatting sqref="X7:X10">
    <cfRule type="expression" dxfId="3472" priority="1024">
      <formula>X7=$M$3</formula>
    </cfRule>
    <cfRule type="expression" dxfId="3471" priority="1025">
      <formula>X7=$I$3</formula>
    </cfRule>
    <cfRule type="expression" dxfId="3470" priority="1026">
      <formula>X7=$D$3</formula>
    </cfRule>
  </conditionalFormatting>
  <conditionalFormatting sqref="Y7:Y10">
    <cfRule type="cellIs" dxfId="3469" priority="1023" operator="greaterThan">
      <formula>0</formula>
    </cfRule>
  </conditionalFormatting>
  <conditionalFormatting sqref="X11:X14">
    <cfRule type="expression" dxfId="3468" priority="1020">
      <formula>X11=$M$3</formula>
    </cfRule>
    <cfRule type="expression" dxfId="3467" priority="1021">
      <formula>X11=$I$3</formula>
    </cfRule>
    <cfRule type="expression" dxfId="3466" priority="1022">
      <formula>X11=$D$3</formula>
    </cfRule>
  </conditionalFormatting>
  <conditionalFormatting sqref="Y11:Y14">
    <cfRule type="cellIs" dxfId="3465" priority="1019" operator="greaterThan">
      <formula>0</formula>
    </cfRule>
  </conditionalFormatting>
  <conditionalFormatting sqref="X15:X18">
    <cfRule type="expression" dxfId="3464" priority="1016">
      <formula>X15=$M$3</formula>
    </cfRule>
    <cfRule type="expression" dxfId="3463" priority="1017">
      <formula>X15=$I$3</formula>
    </cfRule>
    <cfRule type="expression" dxfId="3462" priority="1018">
      <formula>X15=$D$3</formula>
    </cfRule>
  </conditionalFormatting>
  <conditionalFormatting sqref="Y15:Y18">
    <cfRule type="cellIs" dxfId="3461" priority="1015" operator="greaterThan">
      <formula>0</formula>
    </cfRule>
  </conditionalFormatting>
  <conditionalFormatting sqref="G20:G22">
    <cfRule type="expression" dxfId="3460" priority="1012">
      <formula>G20=$M$3</formula>
    </cfRule>
    <cfRule type="expression" dxfId="3459" priority="1013">
      <formula>G20=$I$3</formula>
    </cfRule>
    <cfRule type="expression" dxfId="3458" priority="1014">
      <formula>G20=$D$3</formula>
    </cfRule>
  </conditionalFormatting>
  <conditionalFormatting sqref="K20:K22">
    <cfRule type="expression" dxfId="3457" priority="1009">
      <formula>K20=$M$3</formula>
    </cfRule>
    <cfRule type="expression" dxfId="3456" priority="1010">
      <formula>K20=$I$3</formula>
    </cfRule>
    <cfRule type="expression" dxfId="3455" priority="1011">
      <formula>K20=$D$3</formula>
    </cfRule>
  </conditionalFormatting>
  <conditionalFormatting sqref="O20:O22">
    <cfRule type="expression" dxfId="3454" priority="1006">
      <formula>O20=$M$3</formula>
    </cfRule>
    <cfRule type="expression" dxfId="3453" priority="1007">
      <formula>O20=$I$3</formula>
    </cfRule>
    <cfRule type="expression" dxfId="3452" priority="1008">
      <formula>O20=$D$3</formula>
    </cfRule>
  </conditionalFormatting>
  <conditionalFormatting sqref="B19:B22">
    <cfRule type="expression" dxfId="3451" priority="1005">
      <formula>B19="CN"</formula>
    </cfRule>
  </conditionalFormatting>
  <conditionalFormatting sqref="P20:P22 L20:L22 H20:H22">
    <cfRule type="cellIs" dxfId="3450" priority="1004" operator="greaterThan">
      <formula>0</formula>
    </cfRule>
  </conditionalFormatting>
  <conditionalFormatting sqref="X19:X22">
    <cfRule type="expression" dxfId="3449" priority="1001">
      <formula>X19=$M$3</formula>
    </cfRule>
    <cfRule type="expression" dxfId="3448" priority="1002">
      <formula>X19=$I$3</formula>
    </cfRule>
    <cfRule type="expression" dxfId="3447" priority="1003">
      <formula>X19=$D$3</formula>
    </cfRule>
  </conditionalFormatting>
  <conditionalFormatting sqref="Y19:Y22">
    <cfRule type="cellIs" dxfId="3446" priority="1000" operator="greaterThan">
      <formula>0</formula>
    </cfRule>
  </conditionalFormatting>
  <conditionalFormatting sqref="G24:G26">
    <cfRule type="expression" dxfId="3445" priority="997">
      <formula>G24=$M$3</formula>
    </cfRule>
    <cfRule type="expression" dxfId="3444" priority="998">
      <formula>G24=$I$3</formula>
    </cfRule>
    <cfRule type="expression" dxfId="3443" priority="999">
      <formula>G24=$D$3</formula>
    </cfRule>
  </conditionalFormatting>
  <conditionalFormatting sqref="K24:K26">
    <cfRule type="expression" dxfId="3442" priority="994">
      <formula>K24=$M$3</formula>
    </cfRule>
    <cfRule type="expression" dxfId="3441" priority="995">
      <formula>K24=$I$3</formula>
    </cfRule>
    <cfRule type="expression" dxfId="3440" priority="996">
      <formula>K24=$D$3</formula>
    </cfRule>
  </conditionalFormatting>
  <conditionalFormatting sqref="O24:O26">
    <cfRule type="expression" dxfId="3439" priority="991">
      <formula>O24=$M$3</formula>
    </cfRule>
    <cfRule type="expression" dxfId="3438" priority="992">
      <formula>O24=$I$3</formula>
    </cfRule>
    <cfRule type="expression" dxfId="3437" priority="993">
      <formula>O24=$D$3</formula>
    </cfRule>
  </conditionalFormatting>
  <conditionalFormatting sqref="B23:B26">
    <cfRule type="expression" dxfId="3436" priority="990">
      <formula>B23="CN"</formula>
    </cfRule>
  </conditionalFormatting>
  <conditionalFormatting sqref="P24:P26 L24:L26 H24:H26">
    <cfRule type="cellIs" dxfId="3435" priority="989" operator="greaterThan">
      <formula>0</formula>
    </cfRule>
  </conditionalFormatting>
  <conditionalFormatting sqref="X23:X26">
    <cfRule type="expression" dxfId="3434" priority="986">
      <formula>X23=$M$3</formula>
    </cfRule>
    <cfRule type="expression" dxfId="3433" priority="987">
      <formula>X23=$I$3</formula>
    </cfRule>
    <cfRule type="expression" dxfId="3432" priority="988">
      <formula>X23=$D$3</formula>
    </cfRule>
  </conditionalFormatting>
  <conditionalFormatting sqref="Y23:Y26">
    <cfRule type="cellIs" dxfId="3431" priority="985" operator="greaterThan">
      <formula>0</formula>
    </cfRule>
  </conditionalFormatting>
  <conditionalFormatting sqref="G27:G30">
    <cfRule type="expression" dxfId="3430" priority="982">
      <formula>G27=$M$3</formula>
    </cfRule>
    <cfRule type="expression" dxfId="3429" priority="983">
      <formula>G27=$I$3</formula>
    </cfRule>
    <cfRule type="expression" dxfId="3428" priority="984">
      <formula>G27=$D$3</formula>
    </cfRule>
  </conditionalFormatting>
  <conditionalFormatting sqref="K27:K30">
    <cfRule type="expression" dxfId="3427" priority="979">
      <formula>K27=$M$3</formula>
    </cfRule>
    <cfRule type="expression" dxfId="3426" priority="980">
      <formula>K27=$I$3</formula>
    </cfRule>
    <cfRule type="expression" dxfId="3425" priority="981">
      <formula>K27=$D$3</formula>
    </cfRule>
  </conditionalFormatting>
  <conditionalFormatting sqref="O28:O30">
    <cfRule type="expression" dxfId="3424" priority="976">
      <formula>O28=$M$3</formula>
    </cfRule>
    <cfRule type="expression" dxfId="3423" priority="977">
      <formula>O28=$I$3</formula>
    </cfRule>
    <cfRule type="expression" dxfId="3422" priority="978">
      <formula>O28=$D$3</formula>
    </cfRule>
  </conditionalFormatting>
  <conditionalFormatting sqref="B27:B30">
    <cfRule type="expression" dxfId="3421" priority="975">
      <formula>B27="CN"</formula>
    </cfRule>
  </conditionalFormatting>
  <conditionalFormatting sqref="P28:P30 L27:L30 H27:H30">
    <cfRule type="cellIs" dxfId="3420" priority="974" operator="greaterThan">
      <formula>0</formula>
    </cfRule>
  </conditionalFormatting>
  <conditionalFormatting sqref="X27:X30">
    <cfRule type="expression" dxfId="3419" priority="971">
      <formula>X27=$M$3</formula>
    </cfRule>
    <cfRule type="expression" dxfId="3418" priority="972">
      <formula>X27=$I$3</formula>
    </cfRule>
    <cfRule type="expression" dxfId="3417" priority="973">
      <formula>X27=$D$3</formula>
    </cfRule>
  </conditionalFormatting>
  <conditionalFormatting sqref="Y27:Y30">
    <cfRule type="cellIs" dxfId="3416" priority="970" operator="greaterThan">
      <formula>0</formula>
    </cfRule>
  </conditionalFormatting>
  <conditionalFormatting sqref="G33:G34">
    <cfRule type="expression" dxfId="3415" priority="967">
      <formula>G33=$M$3</formula>
    </cfRule>
    <cfRule type="expression" dxfId="3414" priority="968">
      <formula>G33=$I$3</formula>
    </cfRule>
    <cfRule type="expression" dxfId="3413" priority="969">
      <formula>G33=$D$3</formula>
    </cfRule>
  </conditionalFormatting>
  <conditionalFormatting sqref="K31:K34">
    <cfRule type="expression" dxfId="3412" priority="964">
      <formula>K31=$M$3</formula>
    </cfRule>
    <cfRule type="expression" dxfId="3411" priority="965">
      <formula>K31=$I$3</formula>
    </cfRule>
    <cfRule type="expression" dxfId="3410" priority="966">
      <formula>K31=$D$3</formula>
    </cfRule>
  </conditionalFormatting>
  <conditionalFormatting sqref="O32:O34">
    <cfRule type="expression" dxfId="3409" priority="961">
      <formula>O32=$M$3</formula>
    </cfRule>
    <cfRule type="expression" dxfId="3408" priority="962">
      <formula>O32=$I$3</formula>
    </cfRule>
    <cfRule type="expression" dxfId="3407" priority="963">
      <formula>O32=$D$3</formula>
    </cfRule>
  </conditionalFormatting>
  <conditionalFormatting sqref="B31:B34">
    <cfRule type="expression" dxfId="3406" priority="960">
      <formula>B31="CN"</formula>
    </cfRule>
  </conditionalFormatting>
  <conditionalFormatting sqref="P32:P34 L31:L34 H33:H34">
    <cfRule type="cellIs" dxfId="3405" priority="959" operator="greaterThan">
      <formula>0</formula>
    </cfRule>
  </conditionalFormatting>
  <conditionalFormatting sqref="X31:X34">
    <cfRule type="expression" dxfId="3404" priority="956">
      <formula>X31=$M$3</formula>
    </cfRule>
    <cfRule type="expression" dxfId="3403" priority="957">
      <formula>X31=$I$3</formula>
    </cfRule>
    <cfRule type="expression" dxfId="3402" priority="958">
      <formula>X31=$D$3</formula>
    </cfRule>
  </conditionalFormatting>
  <conditionalFormatting sqref="Y31:Y34">
    <cfRule type="cellIs" dxfId="3401" priority="955" operator="greaterThan">
      <formula>0</formula>
    </cfRule>
  </conditionalFormatting>
  <conditionalFormatting sqref="G38">
    <cfRule type="expression" dxfId="3400" priority="952">
      <formula>G38=$M$3</formula>
    </cfRule>
    <cfRule type="expression" dxfId="3399" priority="953">
      <formula>G38=$I$3</formula>
    </cfRule>
    <cfRule type="expression" dxfId="3398" priority="954">
      <formula>G38=$D$3</formula>
    </cfRule>
  </conditionalFormatting>
  <conditionalFormatting sqref="K36:K38">
    <cfRule type="expression" dxfId="3397" priority="949">
      <formula>K36=$M$3</formula>
    </cfRule>
    <cfRule type="expression" dxfId="3396" priority="950">
      <formula>K36=$I$3</formula>
    </cfRule>
    <cfRule type="expression" dxfId="3395" priority="951">
      <formula>K36=$D$3</formula>
    </cfRule>
  </conditionalFormatting>
  <conditionalFormatting sqref="O36:O38">
    <cfRule type="expression" dxfId="3394" priority="946">
      <formula>O36=$M$3</formula>
    </cfRule>
    <cfRule type="expression" dxfId="3393" priority="947">
      <formula>O36=$I$3</formula>
    </cfRule>
    <cfRule type="expression" dxfId="3392" priority="948">
      <formula>O36=$D$3</formula>
    </cfRule>
  </conditionalFormatting>
  <conditionalFormatting sqref="B35:B38">
    <cfRule type="expression" dxfId="3391" priority="945">
      <formula>B35="CN"</formula>
    </cfRule>
  </conditionalFormatting>
  <conditionalFormatting sqref="P36:P38 L36:L38 H38">
    <cfRule type="cellIs" dxfId="3390" priority="944" operator="greaterThan">
      <formula>0</formula>
    </cfRule>
  </conditionalFormatting>
  <conditionalFormatting sqref="X35:X38">
    <cfRule type="expression" dxfId="3389" priority="941">
      <formula>X35=$M$3</formula>
    </cfRule>
    <cfRule type="expression" dxfId="3388" priority="942">
      <formula>X35=$I$3</formula>
    </cfRule>
    <cfRule type="expression" dxfId="3387" priority="943">
      <formula>X35=$D$3</formula>
    </cfRule>
  </conditionalFormatting>
  <conditionalFormatting sqref="Y35:Y38">
    <cfRule type="cellIs" dxfId="3386" priority="940" operator="greaterThan">
      <formula>0</formula>
    </cfRule>
  </conditionalFormatting>
  <conditionalFormatting sqref="G39:G42">
    <cfRule type="expression" dxfId="3385" priority="937">
      <formula>G39=$M$3</formula>
    </cfRule>
    <cfRule type="expression" dxfId="3384" priority="938">
      <formula>G39=$I$3</formula>
    </cfRule>
    <cfRule type="expression" dxfId="3383" priority="939">
      <formula>G39=$D$3</formula>
    </cfRule>
  </conditionalFormatting>
  <conditionalFormatting sqref="K40:K42">
    <cfRule type="expression" dxfId="3382" priority="934">
      <formula>K40=$M$3</formula>
    </cfRule>
    <cfRule type="expression" dxfId="3381" priority="935">
      <formula>K40=$I$3</formula>
    </cfRule>
    <cfRule type="expression" dxfId="3380" priority="936">
      <formula>K40=$D$3</formula>
    </cfRule>
  </conditionalFormatting>
  <conditionalFormatting sqref="O40:O42">
    <cfRule type="expression" dxfId="3379" priority="931">
      <formula>O40=$M$3</formula>
    </cfRule>
    <cfRule type="expression" dxfId="3378" priority="932">
      <formula>O40=$I$3</formula>
    </cfRule>
    <cfRule type="expression" dxfId="3377" priority="933">
      <formula>O40=$D$3</formula>
    </cfRule>
  </conditionalFormatting>
  <conditionalFormatting sqref="B39:B42">
    <cfRule type="expression" dxfId="3376" priority="930">
      <formula>B39="CN"</formula>
    </cfRule>
  </conditionalFormatting>
  <conditionalFormatting sqref="P40:P42 L40:L42 H39:H42">
    <cfRule type="cellIs" dxfId="3375" priority="929" operator="greaterThan">
      <formula>0</formula>
    </cfRule>
  </conditionalFormatting>
  <conditionalFormatting sqref="X39:X42">
    <cfRule type="expression" dxfId="3374" priority="926">
      <formula>X39=$M$3</formula>
    </cfRule>
    <cfRule type="expression" dxfId="3373" priority="927">
      <formula>X39=$I$3</formula>
    </cfRule>
    <cfRule type="expression" dxfId="3372" priority="928">
      <formula>X39=$D$3</formula>
    </cfRule>
  </conditionalFormatting>
  <conditionalFormatting sqref="Y39:Y42">
    <cfRule type="cellIs" dxfId="3371" priority="925" operator="greaterThan">
      <formula>0</formula>
    </cfRule>
  </conditionalFormatting>
  <conditionalFormatting sqref="G44:G46">
    <cfRule type="expression" dxfId="3370" priority="922">
      <formula>G44=$M$3</formula>
    </cfRule>
    <cfRule type="expression" dxfId="3369" priority="923">
      <formula>G44=$I$3</formula>
    </cfRule>
    <cfRule type="expression" dxfId="3368" priority="924">
      <formula>G44=$D$3</formula>
    </cfRule>
  </conditionalFormatting>
  <conditionalFormatting sqref="K44:K46">
    <cfRule type="expression" dxfId="3367" priority="919">
      <formula>K44=$M$3</formula>
    </cfRule>
    <cfRule type="expression" dxfId="3366" priority="920">
      <formula>K44=$I$3</formula>
    </cfRule>
    <cfRule type="expression" dxfId="3365" priority="921">
      <formula>K44=$D$3</formula>
    </cfRule>
  </conditionalFormatting>
  <conditionalFormatting sqref="O44:O46">
    <cfRule type="expression" dxfId="3364" priority="916">
      <formula>O44=$M$3</formula>
    </cfRule>
    <cfRule type="expression" dxfId="3363" priority="917">
      <formula>O44=$I$3</formula>
    </cfRule>
    <cfRule type="expression" dxfId="3362" priority="918">
      <formula>O44=$D$3</formula>
    </cfRule>
  </conditionalFormatting>
  <conditionalFormatting sqref="B43:B46">
    <cfRule type="expression" dxfId="3361" priority="915">
      <formula>B43="CN"</formula>
    </cfRule>
  </conditionalFormatting>
  <conditionalFormatting sqref="P44:P46 L44:L46 H44:H46">
    <cfRule type="cellIs" dxfId="3360" priority="914" operator="greaterThan">
      <formula>0</formula>
    </cfRule>
  </conditionalFormatting>
  <conditionalFormatting sqref="X43:X46">
    <cfRule type="expression" dxfId="3359" priority="911">
      <formula>X43=$M$3</formula>
    </cfRule>
    <cfRule type="expression" dxfId="3358" priority="912">
      <formula>X43=$I$3</formula>
    </cfRule>
    <cfRule type="expression" dxfId="3357" priority="913">
      <formula>X43=$D$3</formula>
    </cfRule>
  </conditionalFormatting>
  <conditionalFormatting sqref="Y43:Y46">
    <cfRule type="cellIs" dxfId="3356" priority="910" operator="greaterThan">
      <formula>0</formula>
    </cfRule>
  </conditionalFormatting>
  <conditionalFormatting sqref="G47:G50">
    <cfRule type="expression" dxfId="3355" priority="907">
      <formula>G47=$M$3</formula>
    </cfRule>
    <cfRule type="expression" dxfId="3354" priority="908">
      <formula>G47=$I$3</formula>
    </cfRule>
    <cfRule type="expression" dxfId="3353" priority="909">
      <formula>G47=$D$3</formula>
    </cfRule>
  </conditionalFormatting>
  <conditionalFormatting sqref="K48:K50">
    <cfRule type="expression" dxfId="3352" priority="904">
      <formula>K48=$M$3</formula>
    </cfRule>
    <cfRule type="expression" dxfId="3351" priority="905">
      <formula>K48=$I$3</formula>
    </cfRule>
    <cfRule type="expression" dxfId="3350" priority="906">
      <formula>K48=$D$3</formula>
    </cfRule>
  </conditionalFormatting>
  <conditionalFormatting sqref="B47:B50">
    <cfRule type="expression" dxfId="3349" priority="900">
      <formula>B47="CN"</formula>
    </cfRule>
  </conditionalFormatting>
  <conditionalFormatting sqref="L48:L50 H47:H50">
    <cfRule type="cellIs" dxfId="3348" priority="899" operator="greaterThan">
      <formula>0</formula>
    </cfRule>
  </conditionalFormatting>
  <conditionalFormatting sqref="X47:X50">
    <cfRule type="expression" dxfId="3347" priority="896">
      <formula>X47=$M$3</formula>
    </cfRule>
    <cfRule type="expression" dxfId="3346" priority="897">
      <formula>X47=$I$3</formula>
    </cfRule>
    <cfRule type="expression" dxfId="3345" priority="898">
      <formula>X47=$D$3</formula>
    </cfRule>
  </conditionalFormatting>
  <conditionalFormatting sqref="Y47:Y50">
    <cfRule type="cellIs" dxfId="3344" priority="895" operator="greaterThan">
      <formula>0</formula>
    </cfRule>
  </conditionalFormatting>
  <conditionalFormatting sqref="G51:G54">
    <cfRule type="expression" dxfId="3343" priority="892">
      <formula>G51=$M$3</formula>
    </cfRule>
    <cfRule type="expression" dxfId="3342" priority="893">
      <formula>G51=$I$3</formula>
    </cfRule>
    <cfRule type="expression" dxfId="3341" priority="894">
      <formula>G51=$D$3</formula>
    </cfRule>
  </conditionalFormatting>
  <conditionalFormatting sqref="K52:K53">
    <cfRule type="expression" dxfId="3340" priority="889">
      <formula>K52=$M$3</formula>
    </cfRule>
    <cfRule type="expression" dxfId="3339" priority="890">
      <formula>K52=$I$3</formula>
    </cfRule>
    <cfRule type="expression" dxfId="3338" priority="891">
      <formula>K52=$D$3</formula>
    </cfRule>
  </conditionalFormatting>
  <conditionalFormatting sqref="B51:B54">
    <cfRule type="expression" dxfId="3337" priority="885">
      <formula>B51="CN"</formula>
    </cfRule>
  </conditionalFormatting>
  <conditionalFormatting sqref="L52:L53 H51:H54">
    <cfRule type="cellIs" dxfId="3336" priority="884" operator="greaterThan">
      <formula>0</formula>
    </cfRule>
  </conditionalFormatting>
  <conditionalFormatting sqref="X52:X54">
    <cfRule type="expression" dxfId="3335" priority="881">
      <formula>X52=$M$3</formula>
    </cfRule>
    <cfRule type="expression" dxfId="3334" priority="882">
      <formula>X52=$I$3</formula>
    </cfRule>
    <cfRule type="expression" dxfId="3333" priority="883">
      <formula>X52=$D$3</formula>
    </cfRule>
  </conditionalFormatting>
  <conditionalFormatting sqref="Y52:Y54">
    <cfRule type="cellIs" dxfId="3332" priority="880" operator="greaterThan">
      <formula>0</formula>
    </cfRule>
  </conditionalFormatting>
  <conditionalFormatting sqref="G56:G58">
    <cfRule type="expression" dxfId="3331" priority="877">
      <formula>G56=$M$3</formula>
    </cfRule>
    <cfRule type="expression" dxfId="3330" priority="878">
      <formula>G56=$I$3</formula>
    </cfRule>
    <cfRule type="expression" dxfId="3329" priority="879">
      <formula>G56=$D$3</formula>
    </cfRule>
  </conditionalFormatting>
  <conditionalFormatting sqref="K57:K58">
    <cfRule type="expression" dxfId="3328" priority="874">
      <formula>K57=$M$3</formula>
    </cfRule>
    <cfRule type="expression" dxfId="3327" priority="875">
      <formula>K57=$I$3</formula>
    </cfRule>
    <cfRule type="expression" dxfId="3326" priority="876">
      <formula>K57=$D$3</formula>
    </cfRule>
  </conditionalFormatting>
  <conditionalFormatting sqref="B55:B58">
    <cfRule type="expression" dxfId="3325" priority="873">
      <formula>B55="CN"</formula>
    </cfRule>
  </conditionalFormatting>
  <conditionalFormatting sqref="L57:L58 H56:H58">
    <cfRule type="cellIs" dxfId="3324" priority="872" operator="greaterThan">
      <formula>0</formula>
    </cfRule>
  </conditionalFormatting>
  <conditionalFormatting sqref="X56:X58">
    <cfRule type="expression" dxfId="3323" priority="869">
      <formula>X56=$M$3</formula>
    </cfRule>
    <cfRule type="expression" dxfId="3322" priority="870">
      <formula>X56=$I$3</formula>
    </cfRule>
    <cfRule type="expression" dxfId="3321" priority="871">
      <formula>X56=$D$3</formula>
    </cfRule>
  </conditionalFormatting>
  <conditionalFormatting sqref="Y56:Y58">
    <cfRule type="cellIs" dxfId="3320" priority="868" operator="greaterThan">
      <formula>0</formula>
    </cfRule>
  </conditionalFormatting>
  <conditionalFormatting sqref="G60:G62">
    <cfRule type="expression" dxfId="3319" priority="865">
      <formula>G60=$M$3</formula>
    </cfRule>
    <cfRule type="expression" dxfId="3318" priority="866">
      <formula>G60=$I$3</formula>
    </cfRule>
    <cfRule type="expression" dxfId="3317" priority="867">
      <formula>G60=$D$3</formula>
    </cfRule>
  </conditionalFormatting>
  <conditionalFormatting sqref="K60:K62">
    <cfRule type="expression" dxfId="3316" priority="862">
      <formula>K60=$M$3</formula>
    </cfRule>
    <cfRule type="expression" dxfId="3315" priority="863">
      <formula>K60=$I$3</formula>
    </cfRule>
    <cfRule type="expression" dxfId="3314" priority="864">
      <formula>K60=$D$3</formula>
    </cfRule>
  </conditionalFormatting>
  <conditionalFormatting sqref="B59:B62">
    <cfRule type="expression" dxfId="3313" priority="858">
      <formula>B59="CN"</formula>
    </cfRule>
  </conditionalFormatting>
  <conditionalFormatting sqref="L60:L62 H60:H62">
    <cfRule type="cellIs" dxfId="3312" priority="857" operator="greaterThan">
      <formula>0</formula>
    </cfRule>
  </conditionalFormatting>
  <conditionalFormatting sqref="X60:X62">
    <cfRule type="expression" dxfId="3311" priority="854">
      <formula>X60=$M$3</formula>
    </cfRule>
    <cfRule type="expression" dxfId="3310" priority="855">
      <formula>X60=$I$3</formula>
    </cfRule>
    <cfRule type="expression" dxfId="3309" priority="856">
      <formula>X60=$D$3</formula>
    </cfRule>
  </conditionalFormatting>
  <conditionalFormatting sqref="Y60:Y62">
    <cfRule type="cellIs" dxfId="3308" priority="853" operator="greaterThan">
      <formula>0</formula>
    </cfRule>
  </conditionalFormatting>
  <conditionalFormatting sqref="G64:G66">
    <cfRule type="expression" dxfId="3307" priority="850">
      <formula>G64=$M$3</formula>
    </cfRule>
    <cfRule type="expression" dxfId="3306" priority="851">
      <formula>G64=$I$3</formula>
    </cfRule>
    <cfRule type="expression" dxfId="3305" priority="852">
      <formula>G64=$D$3</formula>
    </cfRule>
  </conditionalFormatting>
  <conditionalFormatting sqref="K64:K66">
    <cfRule type="expression" dxfId="3304" priority="847">
      <formula>K64=$M$3</formula>
    </cfRule>
    <cfRule type="expression" dxfId="3303" priority="848">
      <formula>K64=$I$3</formula>
    </cfRule>
    <cfRule type="expression" dxfId="3302" priority="849">
      <formula>K64=$D$3</formula>
    </cfRule>
  </conditionalFormatting>
  <conditionalFormatting sqref="B63:B66">
    <cfRule type="expression" dxfId="3301" priority="843">
      <formula>B63="CN"</formula>
    </cfRule>
  </conditionalFormatting>
  <conditionalFormatting sqref="L64:L66 H64:H66">
    <cfRule type="cellIs" dxfId="3300" priority="842" operator="greaterThan">
      <formula>0</formula>
    </cfRule>
  </conditionalFormatting>
  <conditionalFormatting sqref="X64:X66">
    <cfRule type="expression" dxfId="3299" priority="839">
      <formula>X64=$M$3</formula>
    </cfRule>
    <cfRule type="expression" dxfId="3298" priority="840">
      <formula>X64=$I$3</formula>
    </cfRule>
    <cfRule type="expression" dxfId="3297" priority="841">
      <formula>X64=$D$3</formula>
    </cfRule>
  </conditionalFormatting>
  <conditionalFormatting sqref="Y64:Y66">
    <cfRule type="cellIs" dxfId="3296" priority="838" operator="greaterThan">
      <formula>0</formula>
    </cfRule>
  </conditionalFormatting>
  <conditionalFormatting sqref="G67:G70">
    <cfRule type="expression" dxfId="3295" priority="835">
      <formula>G67=$M$3</formula>
    </cfRule>
    <cfRule type="expression" dxfId="3294" priority="836">
      <formula>G67=$I$3</formula>
    </cfRule>
    <cfRule type="expression" dxfId="3293" priority="837">
      <formula>G67=$D$3</formula>
    </cfRule>
  </conditionalFormatting>
  <conditionalFormatting sqref="K68:K70">
    <cfRule type="expression" dxfId="3292" priority="832">
      <formula>K68=$M$3</formula>
    </cfRule>
    <cfRule type="expression" dxfId="3291" priority="833">
      <formula>K68=$I$3</formula>
    </cfRule>
    <cfRule type="expression" dxfId="3290" priority="834">
      <formula>K68=$D$3</formula>
    </cfRule>
  </conditionalFormatting>
  <conditionalFormatting sqref="B67:B70">
    <cfRule type="expression" dxfId="3289" priority="828">
      <formula>B67="CN"</formula>
    </cfRule>
  </conditionalFormatting>
  <conditionalFormatting sqref="L68:L70 H67:H70">
    <cfRule type="cellIs" dxfId="3288" priority="827" operator="greaterThan">
      <formula>0</formula>
    </cfRule>
  </conditionalFormatting>
  <conditionalFormatting sqref="X68:X70">
    <cfRule type="expression" dxfId="3287" priority="824">
      <formula>X68=$M$3</formula>
    </cfRule>
    <cfRule type="expression" dxfId="3286" priority="825">
      <formula>X68=$I$3</formula>
    </cfRule>
    <cfRule type="expression" dxfId="3285" priority="826">
      <formula>X68=$D$3</formula>
    </cfRule>
  </conditionalFormatting>
  <conditionalFormatting sqref="Y68:Y70">
    <cfRule type="cellIs" dxfId="3284" priority="823" operator="greaterThan">
      <formula>0</formula>
    </cfRule>
  </conditionalFormatting>
  <conditionalFormatting sqref="G71:G74">
    <cfRule type="expression" dxfId="3283" priority="820">
      <formula>G71=$M$3</formula>
    </cfRule>
    <cfRule type="expression" dxfId="3282" priority="821">
      <formula>G71=$I$3</formula>
    </cfRule>
    <cfRule type="expression" dxfId="3281" priority="822">
      <formula>G71=$D$3</formula>
    </cfRule>
  </conditionalFormatting>
  <conditionalFormatting sqref="K72:K74">
    <cfRule type="expression" dxfId="3280" priority="817">
      <formula>K72=$M$3</formula>
    </cfRule>
    <cfRule type="expression" dxfId="3279" priority="818">
      <formula>K72=$I$3</formula>
    </cfRule>
    <cfRule type="expression" dxfId="3278" priority="819">
      <formula>K72=$D$3</formula>
    </cfRule>
  </conditionalFormatting>
  <conditionalFormatting sqref="B71:B74">
    <cfRule type="expression" dxfId="3277" priority="813">
      <formula>B71="CN"</formula>
    </cfRule>
  </conditionalFormatting>
  <conditionalFormatting sqref="L72:L74 H71:H74">
    <cfRule type="cellIs" dxfId="3276" priority="812" operator="greaterThan">
      <formula>0</formula>
    </cfRule>
  </conditionalFormatting>
  <conditionalFormatting sqref="X71:X74">
    <cfRule type="expression" dxfId="3275" priority="809">
      <formula>X71=$M$3</formula>
    </cfRule>
    <cfRule type="expression" dxfId="3274" priority="810">
      <formula>X71=$I$3</formula>
    </cfRule>
    <cfRule type="expression" dxfId="3273" priority="811">
      <formula>X71=$D$3</formula>
    </cfRule>
  </conditionalFormatting>
  <conditionalFormatting sqref="Y71:Y74">
    <cfRule type="cellIs" dxfId="3272" priority="808" operator="greaterThan">
      <formula>0</formula>
    </cfRule>
  </conditionalFormatting>
  <conditionalFormatting sqref="G75 G77:G78">
    <cfRule type="expression" dxfId="3271" priority="805">
      <formula>G75=$M$3</formula>
    </cfRule>
    <cfRule type="expression" dxfId="3270" priority="806">
      <formula>G75=$I$3</formula>
    </cfRule>
    <cfRule type="expression" dxfId="3269" priority="807">
      <formula>G75=$D$3</formula>
    </cfRule>
  </conditionalFormatting>
  <conditionalFormatting sqref="K76:K78">
    <cfRule type="expression" dxfId="3268" priority="802">
      <formula>K76=$M$3</formula>
    </cfRule>
    <cfRule type="expression" dxfId="3267" priority="803">
      <formula>K76=$I$3</formula>
    </cfRule>
    <cfRule type="expression" dxfId="3266" priority="804">
      <formula>K76=$D$3</formula>
    </cfRule>
  </conditionalFormatting>
  <conditionalFormatting sqref="O76:O78">
    <cfRule type="expression" dxfId="3265" priority="799">
      <formula>O76=$M$3</formula>
    </cfRule>
    <cfRule type="expression" dxfId="3264" priority="800">
      <formula>O76=$I$3</formula>
    </cfRule>
    <cfRule type="expression" dxfId="3263" priority="801">
      <formula>O76=$D$3</formula>
    </cfRule>
  </conditionalFormatting>
  <conditionalFormatting sqref="B75:B78">
    <cfRule type="expression" dxfId="3262" priority="798">
      <formula>B75="CN"</formula>
    </cfRule>
  </conditionalFormatting>
  <conditionalFormatting sqref="P76:P78 L76:L78 H75 H77:H78">
    <cfRule type="cellIs" dxfId="3261" priority="797" operator="greaterThan">
      <formula>0</formula>
    </cfRule>
  </conditionalFormatting>
  <conditionalFormatting sqref="X75:X78">
    <cfRule type="expression" dxfId="3260" priority="794">
      <formula>X75=$M$3</formula>
    </cfRule>
    <cfRule type="expression" dxfId="3259" priority="795">
      <formula>X75=$I$3</formula>
    </cfRule>
    <cfRule type="expression" dxfId="3258" priority="796">
      <formula>X75=$D$3</formula>
    </cfRule>
  </conditionalFormatting>
  <conditionalFormatting sqref="Y75:Y78">
    <cfRule type="cellIs" dxfId="3257" priority="793" operator="greaterThan">
      <formula>0</formula>
    </cfRule>
  </conditionalFormatting>
  <conditionalFormatting sqref="G80:G82">
    <cfRule type="expression" dxfId="3256" priority="790">
      <formula>G80=$M$3</formula>
    </cfRule>
    <cfRule type="expression" dxfId="3255" priority="791">
      <formula>G80=$I$3</formula>
    </cfRule>
    <cfRule type="expression" dxfId="3254" priority="792">
      <formula>G80=$D$3</formula>
    </cfRule>
  </conditionalFormatting>
  <conditionalFormatting sqref="K93:K94">
    <cfRule type="expression" dxfId="3253" priority="787">
      <formula>K93=$M$3</formula>
    </cfRule>
    <cfRule type="expression" dxfId="3252" priority="788">
      <formula>K93=$I$3</formula>
    </cfRule>
    <cfRule type="expression" dxfId="3251" priority="789">
      <formula>K93=$D$3</formula>
    </cfRule>
  </conditionalFormatting>
  <conditionalFormatting sqref="O80:O82">
    <cfRule type="expression" dxfId="3250" priority="784">
      <formula>O80=$M$3</formula>
    </cfRule>
    <cfRule type="expression" dxfId="3249" priority="785">
      <formula>O80=$I$3</formula>
    </cfRule>
    <cfRule type="expression" dxfId="3248" priority="786">
      <formula>O80=$D$3</formula>
    </cfRule>
  </conditionalFormatting>
  <conditionalFormatting sqref="B79:B82">
    <cfRule type="expression" dxfId="3247" priority="783">
      <formula>B79="CN"</formula>
    </cfRule>
  </conditionalFormatting>
  <conditionalFormatting sqref="P80:P82 L93:L94 H80:H82">
    <cfRule type="cellIs" dxfId="3246" priority="782" operator="greaterThan">
      <formula>0</formula>
    </cfRule>
  </conditionalFormatting>
  <conditionalFormatting sqref="X79:X82">
    <cfRule type="expression" dxfId="3245" priority="779">
      <formula>X79=$M$3</formula>
    </cfRule>
    <cfRule type="expression" dxfId="3244" priority="780">
      <formula>X79=$I$3</formula>
    </cfRule>
    <cfRule type="expression" dxfId="3243" priority="781">
      <formula>X79=$D$3</formula>
    </cfRule>
  </conditionalFormatting>
  <conditionalFormatting sqref="Y79:Y82">
    <cfRule type="cellIs" dxfId="3242" priority="778" operator="greaterThan">
      <formula>0</formula>
    </cfRule>
  </conditionalFormatting>
  <conditionalFormatting sqref="G84:G86">
    <cfRule type="expression" dxfId="3241" priority="775">
      <formula>G84=$M$3</formula>
    </cfRule>
    <cfRule type="expression" dxfId="3240" priority="776">
      <formula>G84=$I$3</formula>
    </cfRule>
    <cfRule type="expression" dxfId="3239" priority="777">
      <formula>G84=$D$3</formula>
    </cfRule>
  </conditionalFormatting>
  <conditionalFormatting sqref="K85:K86">
    <cfRule type="expression" dxfId="3238" priority="772">
      <formula>K85=$M$3</formula>
    </cfRule>
    <cfRule type="expression" dxfId="3237" priority="773">
      <formula>K85=$I$3</formula>
    </cfRule>
    <cfRule type="expression" dxfId="3236" priority="774">
      <formula>K85=$D$3</formula>
    </cfRule>
  </conditionalFormatting>
  <conditionalFormatting sqref="O104:O106">
    <cfRule type="expression" dxfId="3235" priority="769">
      <formula>O104=$M$3</formula>
    </cfRule>
    <cfRule type="expression" dxfId="3234" priority="770">
      <formula>O104=$I$3</formula>
    </cfRule>
    <cfRule type="expression" dxfId="3233" priority="771">
      <formula>O104=$D$3</formula>
    </cfRule>
  </conditionalFormatting>
  <conditionalFormatting sqref="B83:B86">
    <cfRule type="expression" dxfId="3232" priority="768">
      <formula>B83="CN"</formula>
    </cfRule>
  </conditionalFormatting>
  <conditionalFormatting sqref="P104:P106 L85:L86 H84:H86">
    <cfRule type="cellIs" dxfId="3231" priority="767" operator="greaterThan">
      <formula>0</formula>
    </cfRule>
  </conditionalFormatting>
  <conditionalFormatting sqref="X83:X86">
    <cfRule type="expression" dxfId="3230" priority="764">
      <formula>X83=$M$3</formula>
    </cfRule>
    <cfRule type="expression" dxfId="3229" priority="765">
      <formula>X83=$I$3</formula>
    </cfRule>
    <cfRule type="expression" dxfId="3228" priority="766">
      <formula>X83=$D$3</formula>
    </cfRule>
  </conditionalFormatting>
  <conditionalFormatting sqref="Y83:Y86">
    <cfRule type="cellIs" dxfId="3227" priority="763" operator="greaterThan">
      <formula>0</formula>
    </cfRule>
  </conditionalFormatting>
  <conditionalFormatting sqref="G87 G89:G90">
    <cfRule type="expression" dxfId="3226" priority="760">
      <formula>G87=$M$3</formula>
    </cfRule>
    <cfRule type="expression" dxfId="3225" priority="761">
      <formula>G87=$I$3</formula>
    </cfRule>
    <cfRule type="expression" dxfId="3224" priority="762">
      <formula>G87=$D$3</formula>
    </cfRule>
  </conditionalFormatting>
  <conditionalFormatting sqref="K88:K90">
    <cfRule type="expression" dxfId="3223" priority="757">
      <formula>K88=$M$3</formula>
    </cfRule>
    <cfRule type="expression" dxfId="3222" priority="758">
      <formula>K88=$I$3</formula>
    </cfRule>
    <cfRule type="expression" dxfId="3221" priority="759">
      <formula>K88=$D$3</formula>
    </cfRule>
  </conditionalFormatting>
  <conditionalFormatting sqref="O108:O110">
    <cfRule type="expression" dxfId="3220" priority="754">
      <formula>O108=$M$3</formula>
    </cfRule>
    <cfRule type="expression" dxfId="3219" priority="755">
      <formula>O108=$I$3</formula>
    </cfRule>
    <cfRule type="expression" dxfId="3218" priority="756">
      <formula>O108=$D$3</formula>
    </cfRule>
  </conditionalFormatting>
  <conditionalFormatting sqref="B87:B90">
    <cfRule type="expression" dxfId="3217" priority="753">
      <formula>B87="CN"</formula>
    </cfRule>
  </conditionalFormatting>
  <conditionalFormatting sqref="P108:P110 L88:L90 H87:H90">
    <cfRule type="cellIs" dxfId="3216" priority="752" operator="greaterThan">
      <formula>0</formula>
    </cfRule>
  </conditionalFormatting>
  <conditionalFormatting sqref="X87:X90">
    <cfRule type="expression" dxfId="3215" priority="749">
      <formula>X87=$M$3</formula>
    </cfRule>
    <cfRule type="expression" dxfId="3214" priority="750">
      <formula>X87=$I$3</formula>
    </cfRule>
    <cfRule type="expression" dxfId="3213" priority="751">
      <formula>X87=$D$3</formula>
    </cfRule>
  </conditionalFormatting>
  <conditionalFormatting sqref="Y87:Y90">
    <cfRule type="cellIs" dxfId="3212" priority="748" operator="greaterThan">
      <formula>0</formula>
    </cfRule>
  </conditionalFormatting>
  <conditionalFormatting sqref="G91:G94">
    <cfRule type="expression" dxfId="3211" priority="745">
      <formula>G91=$M$3</formula>
    </cfRule>
    <cfRule type="expression" dxfId="3210" priority="746">
      <formula>G91=$I$3</formula>
    </cfRule>
    <cfRule type="expression" dxfId="3209" priority="747">
      <formula>G91=$D$3</formula>
    </cfRule>
  </conditionalFormatting>
  <conditionalFormatting sqref="O113:O114">
    <cfRule type="expression" dxfId="3208" priority="742">
      <formula>O113=$M$3</formula>
    </cfRule>
    <cfRule type="expression" dxfId="3207" priority="743">
      <formula>O113=$I$3</formula>
    </cfRule>
    <cfRule type="expression" dxfId="3206" priority="744">
      <formula>O113=$D$3</formula>
    </cfRule>
  </conditionalFormatting>
  <conditionalFormatting sqref="B91:B94">
    <cfRule type="expression" dxfId="3205" priority="741">
      <formula>B91="CN"</formula>
    </cfRule>
  </conditionalFormatting>
  <conditionalFormatting sqref="P113:P114 H91:H94">
    <cfRule type="cellIs" dxfId="3204" priority="740" operator="greaterThan">
      <formula>0</formula>
    </cfRule>
  </conditionalFormatting>
  <conditionalFormatting sqref="X91:X94">
    <cfRule type="expression" dxfId="3203" priority="737">
      <formula>X91=$M$3</formula>
    </cfRule>
    <cfRule type="expression" dxfId="3202" priority="738">
      <formula>X91=$I$3</formula>
    </cfRule>
    <cfRule type="expression" dxfId="3201" priority="739">
      <formula>X91=$D$3</formula>
    </cfRule>
  </conditionalFormatting>
  <conditionalFormatting sqref="Y91:Y94">
    <cfRule type="cellIs" dxfId="3200" priority="736" operator="greaterThan">
      <formula>0</formula>
    </cfRule>
  </conditionalFormatting>
  <conditionalFormatting sqref="K96:K98">
    <cfRule type="expression" dxfId="3199" priority="733">
      <formula>K96=$M$3</formula>
    </cfRule>
    <cfRule type="expression" dxfId="3198" priority="734">
      <formula>K96=$I$3</formula>
    </cfRule>
    <cfRule type="expression" dxfId="3197" priority="735">
      <formula>K96=$D$3</formula>
    </cfRule>
  </conditionalFormatting>
  <conditionalFormatting sqref="O96:O98">
    <cfRule type="expression" dxfId="3196" priority="730">
      <formula>O96=$M$3</formula>
    </cfRule>
    <cfRule type="expression" dxfId="3195" priority="731">
      <formula>O96=$I$3</formula>
    </cfRule>
    <cfRule type="expression" dxfId="3194" priority="732">
      <formula>O96=$D$3</formula>
    </cfRule>
  </conditionalFormatting>
  <conditionalFormatting sqref="B95:B98">
    <cfRule type="expression" dxfId="3193" priority="729">
      <formula>B95="CN"</formula>
    </cfRule>
  </conditionalFormatting>
  <conditionalFormatting sqref="P96:P98 L96:L98">
    <cfRule type="cellIs" dxfId="3192" priority="728" operator="greaterThan">
      <formula>0</formula>
    </cfRule>
  </conditionalFormatting>
  <conditionalFormatting sqref="X95:X98">
    <cfRule type="expression" dxfId="3191" priority="725">
      <formula>X95=$M$3</formula>
    </cfRule>
    <cfRule type="expression" dxfId="3190" priority="726">
      <formula>X95=$I$3</formula>
    </cfRule>
    <cfRule type="expression" dxfId="3189" priority="727">
      <formula>X95=$D$3</formula>
    </cfRule>
  </conditionalFormatting>
  <conditionalFormatting sqref="Y95:Y98">
    <cfRule type="cellIs" dxfId="3188" priority="724" operator="greaterThan">
      <formula>0</formula>
    </cfRule>
  </conditionalFormatting>
  <conditionalFormatting sqref="G100:G102">
    <cfRule type="expression" dxfId="3187" priority="721">
      <formula>G100=$M$3</formula>
    </cfRule>
    <cfRule type="expression" dxfId="3186" priority="722">
      <formula>G100=$I$3</formula>
    </cfRule>
    <cfRule type="expression" dxfId="3185" priority="723">
      <formula>G100=$D$3</formula>
    </cfRule>
  </conditionalFormatting>
  <conditionalFormatting sqref="B99:B102">
    <cfRule type="expression" dxfId="3184" priority="714">
      <formula>B99="CN"</formula>
    </cfRule>
  </conditionalFormatting>
  <conditionalFormatting sqref="H100:H102">
    <cfRule type="cellIs" dxfId="3183" priority="713" operator="greaterThan">
      <formula>0</formula>
    </cfRule>
  </conditionalFormatting>
  <conditionalFormatting sqref="X99:X102">
    <cfRule type="expression" dxfId="3182" priority="710">
      <formula>X99=$M$3</formula>
    </cfRule>
    <cfRule type="expression" dxfId="3181" priority="711">
      <formula>X99=$I$3</formula>
    </cfRule>
    <cfRule type="expression" dxfId="3180" priority="712">
      <formula>X99=$D$3</formula>
    </cfRule>
  </conditionalFormatting>
  <conditionalFormatting sqref="Y99:Y102">
    <cfRule type="cellIs" dxfId="3179" priority="709" operator="greaterThan">
      <formula>0</formula>
    </cfRule>
  </conditionalFormatting>
  <conditionalFormatting sqref="G103:G106">
    <cfRule type="expression" dxfId="3178" priority="706">
      <formula>G103=$M$3</formula>
    </cfRule>
    <cfRule type="expression" dxfId="3177" priority="707">
      <formula>G103=$I$3</formula>
    </cfRule>
    <cfRule type="expression" dxfId="3176" priority="708">
      <formula>G103=$D$3</formula>
    </cfRule>
  </conditionalFormatting>
  <conditionalFormatting sqref="K104:K106">
    <cfRule type="expression" dxfId="3175" priority="703">
      <formula>K104=$M$3</formula>
    </cfRule>
    <cfRule type="expression" dxfId="3174" priority="704">
      <formula>K104=$I$3</formula>
    </cfRule>
    <cfRule type="expression" dxfId="3173" priority="705">
      <formula>K104=$D$3</formula>
    </cfRule>
  </conditionalFormatting>
  <conditionalFormatting sqref="B103:B106">
    <cfRule type="expression" dxfId="3172" priority="699">
      <formula>B103="CN"</formula>
    </cfRule>
  </conditionalFormatting>
  <conditionalFormatting sqref="L104:L106 H103:H106">
    <cfRule type="cellIs" dxfId="3171" priority="698" operator="greaterThan">
      <formula>0</formula>
    </cfRule>
  </conditionalFormatting>
  <conditionalFormatting sqref="X103:X106">
    <cfRule type="expression" dxfId="3170" priority="695">
      <formula>X103=$M$3</formula>
    </cfRule>
    <cfRule type="expression" dxfId="3169" priority="696">
      <formula>X103=$I$3</formula>
    </cfRule>
    <cfRule type="expression" dxfId="3168" priority="697">
      <formula>X103=$D$3</formula>
    </cfRule>
  </conditionalFormatting>
  <conditionalFormatting sqref="Y103:Y106">
    <cfRule type="cellIs" dxfId="3167" priority="694" operator="greaterThan">
      <formula>0</formula>
    </cfRule>
  </conditionalFormatting>
  <conditionalFormatting sqref="G107:G110">
    <cfRule type="expression" dxfId="3166" priority="691">
      <formula>G107=$M$3</formula>
    </cfRule>
    <cfRule type="expression" dxfId="3165" priority="692">
      <formula>G107=$I$3</formula>
    </cfRule>
    <cfRule type="expression" dxfId="3164" priority="693">
      <formula>G107=$D$3</formula>
    </cfRule>
  </conditionalFormatting>
  <conditionalFormatting sqref="K108:K110">
    <cfRule type="expression" dxfId="3163" priority="688">
      <formula>K108=$M$3</formula>
    </cfRule>
    <cfRule type="expression" dxfId="3162" priority="689">
      <formula>K108=$I$3</formula>
    </cfRule>
    <cfRule type="expression" dxfId="3161" priority="690">
      <formula>K108=$D$3</formula>
    </cfRule>
  </conditionalFormatting>
  <conditionalFormatting sqref="B107:B110">
    <cfRule type="expression" dxfId="3160" priority="684">
      <formula>B107="CN"</formula>
    </cfRule>
  </conditionalFormatting>
  <conditionalFormatting sqref="L108:L110 H107:H110">
    <cfRule type="cellIs" dxfId="3159" priority="683" operator="greaterThan">
      <formula>0</formula>
    </cfRule>
  </conditionalFormatting>
  <conditionalFormatting sqref="X107:X110">
    <cfRule type="expression" dxfId="3158" priority="680">
      <formula>X107=$M$3</formula>
    </cfRule>
    <cfRule type="expression" dxfId="3157" priority="681">
      <formula>X107=$I$3</formula>
    </cfRule>
    <cfRule type="expression" dxfId="3156" priority="682">
      <formula>X107=$D$3</formula>
    </cfRule>
  </conditionalFormatting>
  <conditionalFormatting sqref="Y107:Y110">
    <cfRule type="cellIs" dxfId="3155" priority="679" operator="greaterThan">
      <formula>0</formula>
    </cfRule>
  </conditionalFormatting>
  <conditionalFormatting sqref="K112:K114">
    <cfRule type="expression" dxfId="3154" priority="673">
      <formula>K112=$M$3</formula>
    </cfRule>
    <cfRule type="expression" dxfId="3153" priority="674">
      <formula>K112=$I$3</formula>
    </cfRule>
    <cfRule type="expression" dxfId="3152" priority="675">
      <formula>K112=$D$3</formula>
    </cfRule>
  </conditionalFormatting>
  <conditionalFormatting sqref="B111:B114">
    <cfRule type="expression" dxfId="3151" priority="669">
      <formula>B111="CN"</formula>
    </cfRule>
  </conditionalFormatting>
  <conditionalFormatting sqref="L112:L114">
    <cfRule type="cellIs" dxfId="3150" priority="668" operator="greaterThan">
      <formula>0</formula>
    </cfRule>
  </conditionalFormatting>
  <conditionalFormatting sqref="X111:X114">
    <cfRule type="expression" dxfId="3149" priority="665">
      <formula>X111=$M$3</formula>
    </cfRule>
    <cfRule type="expression" dxfId="3148" priority="666">
      <formula>X111=$I$3</formula>
    </cfRule>
    <cfRule type="expression" dxfId="3147" priority="667">
      <formula>X111=$D$3</formula>
    </cfRule>
  </conditionalFormatting>
  <conditionalFormatting sqref="Y111:Y114">
    <cfRule type="cellIs" dxfId="3146" priority="664" operator="greaterThan">
      <formula>0</formula>
    </cfRule>
  </conditionalFormatting>
  <conditionalFormatting sqref="G116:G118">
    <cfRule type="expression" dxfId="3145" priority="661">
      <formula>G116=$M$3</formula>
    </cfRule>
    <cfRule type="expression" dxfId="3144" priority="662">
      <formula>G116=$I$3</formula>
    </cfRule>
    <cfRule type="expression" dxfId="3143" priority="663">
      <formula>G116=$D$3</formula>
    </cfRule>
  </conditionalFormatting>
  <conditionalFormatting sqref="K116:K118">
    <cfRule type="expression" dxfId="3142" priority="658">
      <formula>K116=$M$3</formula>
    </cfRule>
    <cfRule type="expression" dxfId="3141" priority="659">
      <formula>K116=$I$3</formula>
    </cfRule>
    <cfRule type="expression" dxfId="3140" priority="660">
      <formula>K116=$D$3</formula>
    </cfRule>
  </conditionalFormatting>
  <conditionalFormatting sqref="B115:B118">
    <cfRule type="expression" dxfId="3139" priority="654">
      <formula>B115="CN"</formula>
    </cfRule>
  </conditionalFormatting>
  <conditionalFormatting sqref="L116:L118 H116:H118">
    <cfRule type="cellIs" dxfId="3138" priority="653" operator="greaterThan">
      <formula>0</formula>
    </cfRule>
  </conditionalFormatting>
  <conditionalFormatting sqref="X115:X118">
    <cfRule type="expression" dxfId="3137" priority="650">
      <formula>X115=$M$3</formula>
    </cfRule>
    <cfRule type="expression" dxfId="3136" priority="651">
      <formula>X115=$I$3</formula>
    </cfRule>
    <cfRule type="expression" dxfId="3135" priority="652">
      <formula>X115=$D$3</formula>
    </cfRule>
  </conditionalFormatting>
  <conditionalFormatting sqref="Y115:Y118">
    <cfRule type="cellIs" dxfId="3134" priority="649" operator="greaterThan">
      <formula>0</formula>
    </cfRule>
  </conditionalFormatting>
  <conditionalFormatting sqref="K120:K122">
    <cfRule type="expression" dxfId="3133" priority="646">
      <formula>K120=$M$3</formula>
    </cfRule>
    <cfRule type="expression" dxfId="3132" priority="647">
      <formula>K120=$I$3</formula>
    </cfRule>
    <cfRule type="expression" dxfId="3131" priority="648">
      <formula>K120=$D$3</formula>
    </cfRule>
  </conditionalFormatting>
  <conditionalFormatting sqref="O120:O122">
    <cfRule type="expression" dxfId="3130" priority="643">
      <formula>O120=$M$3</formula>
    </cfRule>
    <cfRule type="expression" dxfId="3129" priority="644">
      <formula>O120=$I$3</formula>
    </cfRule>
    <cfRule type="expression" dxfId="3128" priority="645">
      <formula>O120=$D$3</formula>
    </cfRule>
  </conditionalFormatting>
  <conditionalFormatting sqref="B119:B122">
    <cfRule type="expression" dxfId="3127" priority="642">
      <formula>B119="CN"</formula>
    </cfRule>
  </conditionalFormatting>
  <conditionalFormatting sqref="P120:P122 L120:L122">
    <cfRule type="cellIs" dxfId="3126" priority="641" operator="greaterThan">
      <formula>0</formula>
    </cfRule>
  </conditionalFormatting>
  <conditionalFormatting sqref="X119:X122">
    <cfRule type="expression" dxfId="3125" priority="638">
      <formula>X119=$M$3</formula>
    </cfRule>
    <cfRule type="expression" dxfId="3124" priority="639">
      <formula>X119=$I$3</formula>
    </cfRule>
    <cfRule type="expression" dxfId="3123" priority="640">
      <formula>X119=$D$3</formula>
    </cfRule>
  </conditionalFormatting>
  <conditionalFormatting sqref="Y119:Y122">
    <cfRule type="cellIs" dxfId="3122" priority="637" operator="greaterThan">
      <formula>0</formula>
    </cfRule>
  </conditionalFormatting>
  <conditionalFormatting sqref="G119:G122">
    <cfRule type="expression" dxfId="3121" priority="634">
      <formula>G119=$M$3</formula>
    </cfRule>
    <cfRule type="expression" dxfId="3120" priority="635">
      <formula>G119=$I$3</formula>
    </cfRule>
    <cfRule type="expression" dxfId="3119" priority="636">
      <formula>G119=$D$3</formula>
    </cfRule>
  </conditionalFormatting>
  <conditionalFormatting sqref="K124:K126">
    <cfRule type="expression" dxfId="3118" priority="631">
      <formula>K124=$M$3</formula>
    </cfRule>
    <cfRule type="expression" dxfId="3117" priority="632">
      <formula>K124=$I$3</formula>
    </cfRule>
    <cfRule type="expression" dxfId="3116" priority="633">
      <formula>K124=$D$3</formula>
    </cfRule>
  </conditionalFormatting>
  <conditionalFormatting sqref="O124:O126">
    <cfRule type="expression" dxfId="3115" priority="628">
      <formula>O124=$M$3</formula>
    </cfRule>
    <cfRule type="expression" dxfId="3114" priority="629">
      <formula>O124=$I$3</formula>
    </cfRule>
    <cfRule type="expression" dxfId="3113" priority="630">
      <formula>O124=$D$3</formula>
    </cfRule>
  </conditionalFormatting>
  <conditionalFormatting sqref="S124:T126">
    <cfRule type="expression" dxfId="3112" priority="625">
      <formula>S124=$M$3</formula>
    </cfRule>
    <cfRule type="expression" dxfId="3111" priority="626">
      <formula>S124=$I$3</formula>
    </cfRule>
    <cfRule type="expression" dxfId="3110" priority="627">
      <formula>S124=$D$3</formula>
    </cfRule>
  </conditionalFormatting>
  <conditionalFormatting sqref="B123:B126">
    <cfRule type="expression" dxfId="3109" priority="624">
      <formula>B123="CN"</formula>
    </cfRule>
  </conditionalFormatting>
  <conditionalFormatting sqref="U124:U126 P124:P126 L124:L126 H119:H122">
    <cfRule type="cellIs" dxfId="3108" priority="623" operator="greaterThan">
      <formula>0</formula>
    </cfRule>
  </conditionalFormatting>
  <conditionalFormatting sqref="X123:X126">
    <cfRule type="expression" dxfId="3107" priority="620">
      <formula>X123=$M$3</formula>
    </cfRule>
    <cfRule type="expression" dxfId="3106" priority="621">
      <formula>X123=$I$3</formula>
    </cfRule>
    <cfRule type="expression" dxfId="3105" priority="622">
      <formula>X123=$D$3</formula>
    </cfRule>
  </conditionalFormatting>
  <conditionalFormatting sqref="Y123:Y126">
    <cfRule type="cellIs" dxfId="3104" priority="619" operator="greaterThan">
      <formula>0</formula>
    </cfRule>
  </conditionalFormatting>
  <conditionalFormatting sqref="K128:K130">
    <cfRule type="expression" dxfId="3103" priority="616">
      <formula>K128=$M$3</formula>
    </cfRule>
    <cfRule type="expression" dxfId="3102" priority="617">
      <formula>K128=$I$3</formula>
    </cfRule>
    <cfRule type="expression" dxfId="3101" priority="618">
      <formula>K128=$D$3</formula>
    </cfRule>
  </conditionalFormatting>
  <conditionalFormatting sqref="O127:O130">
    <cfRule type="expression" dxfId="3100" priority="613">
      <formula>O127=$M$3</formula>
    </cfRule>
    <cfRule type="expression" dxfId="3099" priority="614">
      <formula>O127=$I$3</formula>
    </cfRule>
    <cfRule type="expression" dxfId="3098" priority="615">
      <formula>O127=$D$3</formula>
    </cfRule>
  </conditionalFormatting>
  <conditionalFormatting sqref="S127:T130">
    <cfRule type="expression" dxfId="3097" priority="610">
      <formula>S127=$M$3</formula>
    </cfRule>
    <cfRule type="expression" dxfId="3096" priority="611">
      <formula>S127=$I$3</formula>
    </cfRule>
    <cfRule type="expression" dxfId="3095" priority="612">
      <formula>S127=$D$3</formula>
    </cfRule>
  </conditionalFormatting>
  <conditionalFormatting sqref="B127:B130">
    <cfRule type="expression" dxfId="3094" priority="609">
      <formula>B127="CN"</formula>
    </cfRule>
  </conditionalFormatting>
  <conditionalFormatting sqref="U127:U130 P127:P130 L128:L130">
    <cfRule type="cellIs" dxfId="3093" priority="608" operator="greaterThan">
      <formula>0</formula>
    </cfRule>
  </conditionalFormatting>
  <conditionalFormatting sqref="X127:X130">
    <cfRule type="expression" dxfId="3092" priority="605">
      <formula>X127=$M$3</formula>
    </cfRule>
    <cfRule type="expression" dxfId="3091" priority="606">
      <formula>X127=$I$3</formula>
    </cfRule>
    <cfRule type="expression" dxfId="3090" priority="607">
      <formula>X127=$D$3</formula>
    </cfRule>
  </conditionalFormatting>
  <conditionalFormatting sqref="Y127:Y130">
    <cfRule type="cellIs" dxfId="3089" priority="604" operator="greaterThan">
      <formula>0</formula>
    </cfRule>
  </conditionalFormatting>
  <conditionalFormatting sqref="G132:G146 G149:G266">
    <cfRule type="expression" dxfId="3088" priority="601">
      <formula>G132=$M$3</formula>
    </cfRule>
    <cfRule type="expression" dxfId="3087" priority="602">
      <formula>G132=$I$3</formula>
    </cfRule>
    <cfRule type="expression" dxfId="3086" priority="603">
      <formula>G132=$D$3</formula>
    </cfRule>
  </conditionalFormatting>
  <conditionalFormatting sqref="K132:K134 K136:K138 K140:K146 K148:K150 K152:K154 K156:K158 K160:K162 K164:K166 K168:K170 K172:K174 K176:K178 K180:K182 K184:K186 K251:K266">
    <cfRule type="expression" dxfId="3085" priority="598">
      <formula>K132=$M$3</formula>
    </cfRule>
    <cfRule type="expression" dxfId="3084" priority="599">
      <formula>K132=$I$3</formula>
    </cfRule>
    <cfRule type="expression" dxfId="3083" priority="600">
      <formula>K132=$D$3</formula>
    </cfRule>
  </conditionalFormatting>
  <conditionalFormatting sqref="O251:O266">
    <cfRule type="expression" dxfId="3082" priority="595">
      <formula>O251=$M$3</formula>
    </cfRule>
    <cfRule type="expression" dxfId="3081" priority="596">
      <formula>O251=$I$3</formula>
    </cfRule>
    <cfRule type="expression" dxfId="3080" priority="597">
      <formula>O251=$D$3</formula>
    </cfRule>
  </conditionalFormatting>
  <conditionalFormatting sqref="S131:T266">
    <cfRule type="expression" dxfId="3079" priority="592">
      <formula>S131=$M$3</formula>
    </cfRule>
    <cfRule type="expression" dxfId="3078" priority="593">
      <formula>S131=$I$3</formula>
    </cfRule>
    <cfRule type="expression" dxfId="3077" priority="594">
      <formula>S131=$D$3</formula>
    </cfRule>
  </conditionalFormatting>
  <conditionalFormatting sqref="B131:B266">
    <cfRule type="expression" dxfId="3076" priority="591">
      <formula>B131="CN"</formula>
    </cfRule>
  </conditionalFormatting>
  <conditionalFormatting sqref="L132:L134 L136:L138 L140:L146 L148:L150 L152:L154 L156:L158 L160:L162 L164:L166 L168:L170 L172:L174 U131:U266 L176:L178 L180:L182 L184:L186 L251:L266 P251:P266 H132:H146 H149:H266">
    <cfRule type="cellIs" dxfId="3075" priority="590" operator="greaterThan">
      <formula>0</formula>
    </cfRule>
  </conditionalFormatting>
  <conditionalFormatting sqref="X131:X266">
    <cfRule type="expression" dxfId="3074" priority="587">
      <formula>X131=$M$3</formula>
    </cfRule>
    <cfRule type="expression" dxfId="3073" priority="588">
      <formula>X131=$I$3</formula>
    </cfRule>
    <cfRule type="expression" dxfId="3072" priority="589">
      <formula>X131=$D$3</formula>
    </cfRule>
  </conditionalFormatting>
  <conditionalFormatting sqref="Y131:Y266">
    <cfRule type="cellIs" dxfId="3071" priority="586" operator="greaterThan">
      <formula>0</formula>
    </cfRule>
  </conditionalFormatting>
  <conditionalFormatting sqref="O19">
    <cfRule type="expression" dxfId="3070" priority="583">
      <formula>O19=$M$3</formula>
    </cfRule>
    <cfRule type="expression" dxfId="3069" priority="584">
      <formula>O19=$I$3</formula>
    </cfRule>
    <cfRule type="expression" dxfId="3068" priority="585">
      <formula>O19=$D$3</formula>
    </cfRule>
  </conditionalFormatting>
  <conditionalFormatting sqref="P19">
    <cfRule type="cellIs" dxfId="3067" priority="582" operator="greaterThan">
      <formula>0</formula>
    </cfRule>
  </conditionalFormatting>
  <conditionalFormatting sqref="O23">
    <cfRule type="expression" dxfId="3066" priority="579">
      <formula>O23=$M$3</formula>
    </cfRule>
    <cfRule type="expression" dxfId="3065" priority="580">
      <formula>O23=$I$3</formula>
    </cfRule>
    <cfRule type="expression" dxfId="3064" priority="581">
      <formula>O23=$D$3</formula>
    </cfRule>
  </conditionalFormatting>
  <conditionalFormatting sqref="P23">
    <cfRule type="cellIs" dxfId="3063" priority="578" operator="greaterThan">
      <formula>0</formula>
    </cfRule>
  </conditionalFormatting>
  <conditionalFormatting sqref="O27">
    <cfRule type="expression" dxfId="3062" priority="575">
      <formula>O27=$M$3</formula>
    </cfRule>
    <cfRule type="expression" dxfId="3061" priority="576">
      <formula>O27=$I$3</formula>
    </cfRule>
    <cfRule type="expression" dxfId="3060" priority="577">
      <formula>O27=$D$3</formula>
    </cfRule>
  </conditionalFormatting>
  <conditionalFormatting sqref="P27">
    <cfRule type="cellIs" dxfId="3059" priority="574" operator="greaterThan">
      <formula>0</formula>
    </cfRule>
  </conditionalFormatting>
  <conditionalFormatting sqref="O31">
    <cfRule type="expression" dxfId="3058" priority="571">
      <formula>O31=$M$3</formula>
    </cfRule>
    <cfRule type="expression" dxfId="3057" priority="572">
      <formula>O31=$I$3</formula>
    </cfRule>
    <cfRule type="expression" dxfId="3056" priority="573">
      <formula>O31=$D$3</formula>
    </cfRule>
  </conditionalFormatting>
  <conditionalFormatting sqref="P31">
    <cfRule type="cellIs" dxfId="3055" priority="570" operator="greaterThan">
      <formula>0</formula>
    </cfRule>
  </conditionalFormatting>
  <conditionalFormatting sqref="O35">
    <cfRule type="expression" dxfId="3054" priority="567">
      <formula>O35=$M$3</formula>
    </cfRule>
    <cfRule type="expression" dxfId="3053" priority="568">
      <formula>O35=$I$3</formula>
    </cfRule>
    <cfRule type="expression" dxfId="3052" priority="569">
      <formula>O35=$D$3</formula>
    </cfRule>
  </conditionalFormatting>
  <conditionalFormatting sqref="P35">
    <cfRule type="cellIs" dxfId="3051" priority="566" operator="greaterThan">
      <formula>0</formula>
    </cfRule>
  </conditionalFormatting>
  <conditionalFormatting sqref="O39">
    <cfRule type="expression" dxfId="3050" priority="563">
      <formula>O39=$M$3</formula>
    </cfRule>
    <cfRule type="expression" dxfId="3049" priority="564">
      <formula>O39=$I$3</formula>
    </cfRule>
    <cfRule type="expression" dxfId="3048" priority="565">
      <formula>O39=$D$3</formula>
    </cfRule>
  </conditionalFormatting>
  <conditionalFormatting sqref="P39">
    <cfRule type="cellIs" dxfId="3047" priority="562" operator="greaterThan">
      <formula>0</formula>
    </cfRule>
  </conditionalFormatting>
  <conditionalFormatting sqref="O75">
    <cfRule type="expression" dxfId="3046" priority="539">
      <formula>O75=$M$3</formula>
    </cfRule>
    <cfRule type="expression" dxfId="3045" priority="540">
      <formula>O75=$I$3</formula>
    </cfRule>
    <cfRule type="expression" dxfId="3044" priority="541">
      <formula>O75=$D$3</formula>
    </cfRule>
  </conditionalFormatting>
  <conditionalFormatting sqref="P75">
    <cfRule type="cellIs" dxfId="3043" priority="538" operator="greaterThan">
      <formula>0</formula>
    </cfRule>
  </conditionalFormatting>
  <conditionalFormatting sqref="O79">
    <cfRule type="expression" dxfId="3042" priority="535">
      <formula>O79=$M$3</formula>
    </cfRule>
    <cfRule type="expression" dxfId="3041" priority="536">
      <formula>O79=$I$3</formula>
    </cfRule>
    <cfRule type="expression" dxfId="3040" priority="537">
      <formula>O79=$D$3</formula>
    </cfRule>
  </conditionalFormatting>
  <conditionalFormatting sqref="P79">
    <cfRule type="cellIs" dxfId="3039" priority="534" operator="greaterThan">
      <formula>0</formula>
    </cfRule>
  </conditionalFormatting>
  <conditionalFormatting sqref="O107">
    <cfRule type="expression" dxfId="3038" priority="531">
      <formula>O107=$M$3</formula>
    </cfRule>
    <cfRule type="expression" dxfId="3037" priority="532">
      <formula>O107=$I$3</formula>
    </cfRule>
    <cfRule type="expression" dxfId="3036" priority="533">
      <formula>O107=$D$3</formula>
    </cfRule>
  </conditionalFormatting>
  <conditionalFormatting sqref="P107">
    <cfRule type="cellIs" dxfId="3035" priority="530" operator="greaterThan">
      <formula>0</formula>
    </cfRule>
  </conditionalFormatting>
  <conditionalFormatting sqref="O111">
    <cfRule type="expression" dxfId="3034" priority="527">
      <formula>O111=$M$3</formula>
    </cfRule>
    <cfRule type="expression" dxfId="3033" priority="528">
      <formula>O111=$I$3</formula>
    </cfRule>
    <cfRule type="expression" dxfId="3032" priority="529">
      <formula>O111=$D$3</formula>
    </cfRule>
  </conditionalFormatting>
  <conditionalFormatting sqref="P111">
    <cfRule type="cellIs" dxfId="3031" priority="526" operator="greaterThan">
      <formula>0</formula>
    </cfRule>
  </conditionalFormatting>
  <conditionalFormatting sqref="K11:K12">
    <cfRule type="expression" dxfId="3030" priority="523">
      <formula>K11=$M$3</formula>
    </cfRule>
    <cfRule type="expression" dxfId="3029" priority="524">
      <formula>K11=$I$3</formula>
    </cfRule>
    <cfRule type="expression" dxfId="3028" priority="525">
      <formula>K11=$D$3</formula>
    </cfRule>
  </conditionalFormatting>
  <conditionalFormatting sqref="O12">
    <cfRule type="expression" dxfId="3027" priority="520">
      <formula>O12=$M$3</formula>
    </cfRule>
    <cfRule type="expression" dxfId="3026" priority="521">
      <formula>O12=$I$3</formula>
    </cfRule>
    <cfRule type="expression" dxfId="3025" priority="522">
      <formula>O12=$D$3</formula>
    </cfRule>
  </conditionalFormatting>
  <conditionalFormatting sqref="P12 L11:L12">
    <cfRule type="cellIs" dxfId="3024" priority="519" operator="greaterThan">
      <formula>0</formula>
    </cfRule>
  </conditionalFormatting>
  <conditionalFormatting sqref="O11">
    <cfRule type="expression" dxfId="3023" priority="516">
      <formula>O11=$M$3</formula>
    </cfRule>
    <cfRule type="expression" dxfId="3022" priority="517">
      <formula>O11=$I$3</formula>
    </cfRule>
    <cfRule type="expression" dxfId="3021" priority="518">
      <formula>O11=$D$3</formula>
    </cfRule>
  </conditionalFormatting>
  <conditionalFormatting sqref="P11">
    <cfRule type="cellIs" dxfId="3020" priority="515" operator="greaterThan">
      <formula>0</formula>
    </cfRule>
  </conditionalFormatting>
  <conditionalFormatting sqref="K92">
    <cfRule type="expression" dxfId="3019" priority="512">
      <formula>K92=$M$3</formula>
    </cfRule>
    <cfRule type="expression" dxfId="3018" priority="513">
      <formula>K92=$I$3</formula>
    </cfRule>
    <cfRule type="expression" dxfId="3017" priority="514">
      <formula>K92=$D$3</formula>
    </cfRule>
  </conditionalFormatting>
  <conditionalFormatting sqref="L92">
    <cfRule type="cellIs" dxfId="3016" priority="511" operator="greaterThan">
      <formula>0</formula>
    </cfRule>
  </conditionalFormatting>
  <conditionalFormatting sqref="S27:T30">
    <cfRule type="expression" dxfId="3015" priority="492">
      <formula>S27=$M$3</formula>
    </cfRule>
    <cfRule type="expression" dxfId="3014" priority="493">
      <formula>S27=$I$3</formula>
    </cfRule>
    <cfRule type="expression" dxfId="3013" priority="494">
      <formula>S27=$D$3</formula>
    </cfRule>
  </conditionalFormatting>
  <conditionalFormatting sqref="U27:U30">
    <cfRule type="cellIs" dxfId="3012" priority="491" operator="greaterThan">
      <formula>0</formula>
    </cfRule>
  </conditionalFormatting>
  <conditionalFormatting sqref="S19:T22">
    <cfRule type="expression" dxfId="3011" priority="500">
      <formula>S19=$M$3</formula>
    </cfRule>
    <cfRule type="expression" dxfId="3010" priority="501">
      <formula>S19=$I$3</formula>
    </cfRule>
    <cfRule type="expression" dxfId="3009" priority="502">
      <formula>S19=$D$3</formula>
    </cfRule>
  </conditionalFormatting>
  <conditionalFormatting sqref="U19:U22">
    <cfRule type="cellIs" dxfId="3008" priority="499" operator="greaterThan">
      <formula>0</formula>
    </cfRule>
  </conditionalFormatting>
  <conditionalFormatting sqref="S13:T14">
    <cfRule type="expression" dxfId="3007" priority="508">
      <formula>S13=$M$3</formula>
    </cfRule>
    <cfRule type="expression" dxfId="3006" priority="509">
      <formula>S13=$I$3</formula>
    </cfRule>
    <cfRule type="expression" dxfId="3005" priority="510">
      <formula>S13=$D$3</formula>
    </cfRule>
  </conditionalFormatting>
  <conditionalFormatting sqref="U13:U14">
    <cfRule type="cellIs" dxfId="3004" priority="507" operator="greaterThan">
      <formula>0</formula>
    </cfRule>
  </conditionalFormatting>
  <conditionalFormatting sqref="S15:T18">
    <cfRule type="expression" dxfId="3003" priority="504">
      <formula>S15=$M$3</formula>
    </cfRule>
    <cfRule type="expression" dxfId="3002" priority="505">
      <formula>S15=$I$3</formula>
    </cfRule>
    <cfRule type="expression" dxfId="3001" priority="506">
      <formula>S15=$D$3</formula>
    </cfRule>
  </conditionalFormatting>
  <conditionalFormatting sqref="U15:U18">
    <cfRule type="cellIs" dxfId="3000" priority="503" operator="greaterThan">
      <formula>0</formula>
    </cfRule>
  </conditionalFormatting>
  <conditionalFormatting sqref="S23:T26">
    <cfRule type="expression" dxfId="2999" priority="496">
      <formula>S23=$M$3</formula>
    </cfRule>
    <cfRule type="expression" dxfId="2998" priority="497">
      <formula>S23=$I$3</formula>
    </cfRule>
    <cfRule type="expression" dxfId="2997" priority="498">
      <formula>S23=$D$3</formula>
    </cfRule>
  </conditionalFormatting>
  <conditionalFormatting sqref="U23:U26">
    <cfRule type="cellIs" dxfId="2996" priority="495" operator="greaterThan">
      <formula>0</formula>
    </cfRule>
  </conditionalFormatting>
  <conditionalFormatting sqref="S31:T34">
    <cfRule type="expression" dxfId="2995" priority="488">
      <formula>S31=$M$3</formula>
    </cfRule>
    <cfRule type="expression" dxfId="2994" priority="489">
      <formula>S31=$I$3</formula>
    </cfRule>
    <cfRule type="expression" dxfId="2993" priority="490">
      <formula>S31=$D$3</formula>
    </cfRule>
  </conditionalFormatting>
  <conditionalFormatting sqref="U31:U34">
    <cfRule type="cellIs" dxfId="2992" priority="487" operator="greaterThan">
      <formula>0</formula>
    </cfRule>
  </conditionalFormatting>
  <conditionalFormatting sqref="S35:T38">
    <cfRule type="expression" dxfId="2991" priority="484">
      <formula>S35=$M$3</formula>
    </cfRule>
    <cfRule type="expression" dxfId="2990" priority="485">
      <formula>S35=$I$3</formula>
    </cfRule>
    <cfRule type="expression" dxfId="2989" priority="486">
      <formula>S35=$D$3</formula>
    </cfRule>
  </conditionalFormatting>
  <conditionalFormatting sqref="U35:U38">
    <cfRule type="cellIs" dxfId="2988" priority="483" operator="greaterThan">
      <formula>0</formula>
    </cfRule>
  </conditionalFormatting>
  <conditionalFormatting sqref="S39:T42">
    <cfRule type="expression" dxfId="2987" priority="480">
      <formula>S39=$M$3</formula>
    </cfRule>
    <cfRule type="expression" dxfId="2986" priority="481">
      <formula>S39=$I$3</formula>
    </cfRule>
    <cfRule type="expression" dxfId="2985" priority="482">
      <formula>S39=$D$3</formula>
    </cfRule>
  </conditionalFormatting>
  <conditionalFormatting sqref="U39:U42">
    <cfRule type="cellIs" dxfId="2984" priority="479" operator="greaterThan">
      <formula>0</formula>
    </cfRule>
  </conditionalFormatting>
  <conditionalFormatting sqref="S43:T46">
    <cfRule type="expression" dxfId="2983" priority="476">
      <formula>S43=$M$3</formula>
    </cfRule>
    <cfRule type="expression" dxfId="2982" priority="477">
      <formula>S43=$I$3</formula>
    </cfRule>
    <cfRule type="expression" dxfId="2981" priority="478">
      <formula>S43=$D$3</formula>
    </cfRule>
  </conditionalFormatting>
  <conditionalFormatting sqref="U43:U46">
    <cfRule type="cellIs" dxfId="2980" priority="475" operator="greaterThan">
      <formula>0</formula>
    </cfRule>
  </conditionalFormatting>
  <conditionalFormatting sqref="S47:T50">
    <cfRule type="expression" dxfId="2979" priority="472">
      <formula>S47=$M$3</formula>
    </cfRule>
    <cfRule type="expression" dxfId="2978" priority="473">
      <formula>S47=$I$3</formula>
    </cfRule>
    <cfRule type="expression" dxfId="2977" priority="474">
      <formula>S47=$D$3</formula>
    </cfRule>
  </conditionalFormatting>
  <conditionalFormatting sqref="U47:U50">
    <cfRule type="cellIs" dxfId="2976" priority="471" operator="greaterThan">
      <formula>0</formula>
    </cfRule>
  </conditionalFormatting>
  <conditionalFormatting sqref="S52:T54">
    <cfRule type="expression" dxfId="2975" priority="468">
      <formula>S52=$M$3</formula>
    </cfRule>
    <cfRule type="expression" dxfId="2974" priority="469">
      <formula>S52=$I$3</formula>
    </cfRule>
    <cfRule type="expression" dxfId="2973" priority="470">
      <formula>S52=$D$3</formula>
    </cfRule>
  </conditionalFormatting>
  <conditionalFormatting sqref="U52:U54">
    <cfRule type="cellIs" dxfId="2972" priority="467" operator="greaterThan">
      <formula>0</formula>
    </cfRule>
  </conditionalFormatting>
  <conditionalFormatting sqref="S56:T58">
    <cfRule type="expression" dxfId="2971" priority="464">
      <formula>S56=$M$3</formula>
    </cfRule>
    <cfRule type="expression" dxfId="2970" priority="465">
      <formula>S56=$I$3</formula>
    </cfRule>
    <cfRule type="expression" dxfId="2969" priority="466">
      <formula>S56=$D$3</formula>
    </cfRule>
  </conditionalFormatting>
  <conditionalFormatting sqref="U56:U58">
    <cfRule type="cellIs" dxfId="2968" priority="463" operator="greaterThan">
      <formula>0</formula>
    </cfRule>
  </conditionalFormatting>
  <conditionalFormatting sqref="S59:T62">
    <cfRule type="expression" dxfId="2967" priority="460">
      <formula>S59=$M$3</formula>
    </cfRule>
    <cfRule type="expression" dxfId="2966" priority="461">
      <formula>S59=$I$3</formula>
    </cfRule>
    <cfRule type="expression" dxfId="2965" priority="462">
      <formula>S59=$D$3</formula>
    </cfRule>
  </conditionalFormatting>
  <conditionalFormatting sqref="U59:U62">
    <cfRule type="cellIs" dxfId="2964" priority="459" operator="greaterThan">
      <formula>0</formula>
    </cfRule>
  </conditionalFormatting>
  <conditionalFormatting sqref="S63:T66">
    <cfRule type="expression" dxfId="2963" priority="456">
      <formula>S63=$M$3</formula>
    </cfRule>
    <cfRule type="expression" dxfId="2962" priority="457">
      <formula>S63=$I$3</formula>
    </cfRule>
    <cfRule type="expression" dxfId="2961" priority="458">
      <formula>S63=$D$3</formula>
    </cfRule>
  </conditionalFormatting>
  <conditionalFormatting sqref="U63:U66">
    <cfRule type="cellIs" dxfId="2960" priority="455" operator="greaterThan">
      <formula>0</formula>
    </cfRule>
  </conditionalFormatting>
  <conditionalFormatting sqref="S67:T70">
    <cfRule type="expression" dxfId="2959" priority="452">
      <formula>S67=$M$3</formula>
    </cfRule>
    <cfRule type="expression" dxfId="2958" priority="453">
      <formula>S67=$I$3</formula>
    </cfRule>
    <cfRule type="expression" dxfId="2957" priority="454">
      <formula>S67=$D$3</formula>
    </cfRule>
  </conditionalFormatting>
  <conditionalFormatting sqref="U67:U70">
    <cfRule type="cellIs" dxfId="2956" priority="451" operator="greaterThan">
      <formula>0</formula>
    </cfRule>
  </conditionalFormatting>
  <conditionalFormatting sqref="S71:T74">
    <cfRule type="expression" dxfId="2955" priority="448">
      <formula>S71=$M$3</formula>
    </cfRule>
    <cfRule type="expression" dxfId="2954" priority="449">
      <formula>S71=$I$3</formula>
    </cfRule>
    <cfRule type="expression" dxfId="2953" priority="450">
      <formula>S71=$D$3</formula>
    </cfRule>
  </conditionalFormatting>
  <conditionalFormatting sqref="U71:U74">
    <cfRule type="cellIs" dxfId="2952" priority="447" operator="greaterThan">
      <formula>0</formula>
    </cfRule>
  </conditionalFormatting>
  <conditionalFormatting sqref="S76:T78">
    <cfRule type="expression" dxfId="2951" priority="444">
      <formula>S76=$M$3</formula>
    </cfRule>
    <cfRule type="expression" dxfId="2950" priority="445">
      <formula>S76=$I$3</formula>
    </cfRule>
    <cfRule type="expression" dxfId="2949" priority="446">
      <formula>S76=$D$3</formula>
    </cfRule>
  </conditionalFormatting>
  <conditionalFormatting sqref="U76:U78">
    <cfRule type="cellIs" dxfId="2948" priority="443" operator="greaterThan">
      <formula>0</formula>
    </cfRule>
  </conditionalFormatting>
  <conditionalFormatting sqref="S80:T82">
    <cfRule type="expression" dxfId="2947" priority="440">
      <formula>S80=$M$3</formula>
    </cfRule>
    <cfRule type="expression" dxfId="2946" priority="441">
      <formula>S80=$I$3</formula>
    </cfRule>
    <cfRule type="expression" dxfId="2945" priority="442">
      <formula>S80=$D$3</formula>
    </cfRule>
  </conditionalFormatting>
  <conditionalFormatting sqref="U80:U82">
    <cfRule type="cellIs" dxfId="2944" priority="439" operator="greaterThan">
      <formula>0</formula>
    </cfRule>
  </conditionalFormatting>
  <conditionalFormatting sqref="S84:T86">
    <cfRule type="expression" dxfId="2943" priority="436">
      <formula>S84=$M$3</formula>
    </cfRule>
    <cfRule type="expression" dxfId="2942" priority="437">
      <formula>S84=$I$3</formula>
    </cfRule>
    <cfRule type="expression" dxfId="2941" priority="438">
      <formula>S84=$D$3</formula>
    </cfRule>
  </conditionalFormatting>
  <conditionalFormatting sqref="U84:U86">
    <cfRule type="cellIs" dxfId="2940" priority="435" operator="greaterThan">
      <formula>0</formula>
    </cfRule>
  </conditionalFormatting>
  <conditionalFormatting sqref="S88:T90">
    <cfRule type="expression" dxfId="2939" priority="432">
      <formula>S88=$M$3</formula>
    </cfRule>
    <cfRule type="expression" dxfId="2938" priority="433">
      <formula>S88=$I$3</formula>
    </cfRule>
    <cfRule type="expression" dxfId="2937" priority="434">
      <formula>S88=$D$3</formula>
    </cfRule>
  </conditionalFormatting>
  <conditionalFormatting sqref="U88:U90">
    <cfRule type="cellIs" dxfId="2936" priority="431" operator="greaterThan">
      <formula>0</formula>
    </cfRule>
  </conditionalFormatting>
  <conditionalFormatting sqref="S92:T94">
    <cfRule type="expression" dxfId="2935" priority="428">
      <formula>S92=$M$3</formula>
    </cfRule>
    <cfRule type="expression" dxfId="2934" priority="429">
      <formula>S92=$I$3</formula>
    </cfRule>
    <cfRule type="expression" dxfId="2933" priority="430">
      <formula>S92=$D$3</formula>
    </cfRule>
  </conditionalFormatting>
  <conditionalFormatting sqref="U92:U94">
    <cfRule type="cellIs" dxfId="2932" priority="427" operator="greaterThan">
      <formula>0</formula>
    </cfRule>
  </conditionalFormatting>
  <conditionalFormatting sqref="S96:T98">
    <cfRule type="expression" dxfId="2931" priority="424">
      <formula>S96=$M$3</formula>
    </cfRule>
    <cfRule type="expression" dxfId="2930" priority="425">
      <formula>S96=$I$3</formula>
    </cfRule>
    <cfRule type="expression" dxfId="2929" priority="426">
      <formula>S96=$D$3</formula>
    </cfRule>
  </conditionalFormatting>
  <conditionalFormatting sqref="U96:U98">
    <cfRule type="cellIs" dxfId="2928" priority="423" operator="greaterThan">
      <formula>0</formula>
    </cfRule>
  </conditionalFormatting>
  <conditionalFormatting sqref="S100:T102">
    <cfRule type="expression" dxfId="2927" priority="420">
      <formula>S100=$M$3</formula>
    </cfRule>
    <cfRule type="expression" dxfId="2926" priority="421">
      <formula>S100=$I$3</formula>
    </cfRule>
    <cfRule type="expression" dxfId="2925" priority="422">
      <formula>S100=$D$3</formula>
    </cfRule>
  </conditionalFormatting>
  <conditionalFormatting sqref="U100:U102">
    <cfRule type="cellIs" dxfId="2924" priority="419" operator="greaterThan">
      <formula>0</formula>
    </cfRule>
  </conditionalFormatting>
  <conditionalFormatting sqref="S104:T106">
    <cfRule type="expression" dxfId="2923" priority="416">
      <formula>S104=$M$3</formula>
    </cfRule>
    <cfRule type="expression" dxfId="2922" priority="417">
      <formula>S104=$I$3</formula>
    </cfRule>
    <cfRule type="expression" dxfId="2921" priority="418">
      <formula>S104=$D$3</formula>
    </cfRule>
  </conditionalFormatting>
  <conditionalFormatting sqref="U104:U106">
    <cfRule type="cellIs" dxfId="2920" priority="415" operator="greaterThan">
      <formula>0</formula>
    </cfRule>
  </conditionalFormatting>
  <conditionalFormatting sqref="S108:T110">
    <cfRule type="expression" dxfId="2919" priority="412">
      <formula>S108=$M$3</formula>
    </cfRule>
    <cfRule type="expression" dxfId="2918" priority="413">
      <formula>S108=$I$3</formula>
    </cfRule>
    <cfRule type="expression" dxfId="2917" priority="414">
      <formula>S108=$D$3</formula>
    </cfRule>
  </conditionalFormatting>
  <conditionalFormatting sqref="U108:U110">
    <cfRule type="cellIs" dxfId="2916" priority="411" operator="greaterThan">
      <formula>0</formula>
    </cfRule>
  </conditionalFormatting>
  <conditionalFormatting sqref="S112:T114">
    <cfRule type="expression" dxfId="2915" priority="408">
      <formula>S112=$M$3</formula>
    </cfRule>
    <cfRule type="expression" dxfId="2914" priority="409">
      <formula>S112=$I$3</formula>
    </cfRule>
    <cfRule type="expression" dxfId="2913" priority="410">
      <formula>S112=$D$3</formula>
    </cfRule>
  </conditionalFormatting>
  <conditionalFormatting sqref="U112:U114">
    <cfRule type="cellIs" dxfId="2912" priority="407" operator="greaterThan">
      <formula>0</formula>
    </cfRule>
  </conditionalFormatting>
  <conditionalFormatting sqref="S115:T118">
    <cfRule type="expression" dxfId="2911" priority="404">
      <formula>S115=$M$3</formula>
    </cfRule>
    <cfRule type="expression" dxfId="2910" priority="405">
      <formula>S115=$I$3</formula>
    </cfRule>
    <cfRule type="expression" dxfId="2909" priority="406">
      <formula>S115=$D$3</formula>
    </cfRule>
  </conditionalFormatting>
  <conditionalFormatting sqref="U115:U118">
    <cfRule type="cellIs" dxfId="2908" priority="403" operator="greaterThan">
      <formula>0</formula>
    </cfRule>
  </conditionalFormatting>
  <conditionalFormatting sqref="S120:T122">
    <cfRule type="expression" dxfId="2907" priority="400">
      <formula>S120=$M$3</formula>
    </cfRule>
    <cfRule type="expression" dxfId="2906" priority="401">
      <formula>S120=$I$3</formula>
    </cfRule>
    <cfRule type="expression" dxfId="2905" priority="402">
      <formula>S120=$D$3</formula>
    </cfRule>
  </conditionalFormatting>
  <conditionalFormatting sqref="U120:U122">
    <cfRule type="cellIs" dxfId="2904" priority="399" operator="greaterThan">
      <formula>0</formula>
    </cfRule>
  </conditionalFormatting>
  <conditionalFormatting sqref="S11:T12">
    <cfRule type="expression" dxfId="2903" priority="396">
      <formula>S11=$M$3</formula>
    </cfRule>
    <cfRule type="expression" dxfId="2902" priority="397">
      <formula>S11=$I$3</formula>
    </cfRule>
    <cfRule type="expression" dxfId="2901" priority="398">
      <formula>S11=$D$3</formula>
    </cfRule>
  </conditionalFormatting>
  <conditionalFormatting sqref="U11:U12">
    <cfRule type="cellIs" dxfId="2900" priority="395" operator="greaterThan">
      <formula>0</formula>
    </cfRule>
  </conditionalFormatting>
  <conditionalFormatting sqref="S75:T75">
    <cfRule type="expression" dxfId="2899" priority="392">
      <formula>S75=$M$3</formula>
    </cfRule>
    <cfRule type="expression" dxfId="2898" priority="393">
      <formula>S75=$I$3</formula>
    </cfRule>
    <cfRule type="expression" dxfId="2897" priority="394">
      <formula>S75=$D$3</formula>
    </cfRule>
  </conditionalFormatting>
  <conditionalFormatting sqref="U75">
    <cfRule type="cellIs" dxfId="2896" priority="391" operator="greaterThan">
      <formula>0</formula>
    </cfRule>
  </conditionalFormatting>
  <conditionalFormatting sqref="S79:T79">
    <cfRule type="expression" dxfId="2895" priority="388">
      <formula>S79=$M$3</formula>
    </cfRule>
    <cfRule type="expression" dxfId="2894" priority="389">
      <formula>S79=$I$3</formula>
    </cfRule>
    <cfRule type="expression" dxfId="2893" priority="390">
      <formula>S79=$D$3</formula>
    </cfRule>
  </conditionalFormatting>
  <conditionalFormatting sqref="U79">
    <cfRule type="cellIs" dxfId="2892" priority="387" operator="greaterThan">
      <formula>0</formula>
    </cfRule>
  </conditionalFormatting>
  <conditionalFormatting sqref="S83:T83">
    <cfRule type="expression" dxfId="2891" priority="384">
      <formula>S83=$M$3</formula>
    </cfRule>
    <cfRule type="expression" dxfId="2890" priority="385">
      <formula>S83=$I$3</formula>
    </cfRule>
    <cfRule type="expression" dxfId="2889" priority="386">
      <formula>S83=$D$3</formula>
    </cfRule>
  </conditionalFormatting>
  <conditionalFormatting sqref="U83">
    <cfRule type="cellIs" dxfId="2888" priority="383" operator="greaterThan">
      <formula>0</formula>
    </cfRule>
  </conditionalFormatting>
  <conditionalFormatting sqref="S91:T91">
    <cfRule type="expression" dxfId="2887" priority="380">
      <formula>S91=$M$3</formula>
    </cfRule>
    <cfRule type="expression" dxfId="2886" priority="381">
      <formula>S91=$I$3</formula>
    </cfRule>
    <cfRule type="expression" dxfId="2885" priority="382">
      <formula>S91=$D$3</formula>
    </cfRule>
  </conditionalFormatting>
  <conditionalFormatting sqref="U91">
    <cfRule type="cellIs" dxfId="2884" priority="379" operator="greaterThan">
      <formula>0</formula>
    </cfRule>
  </conditionalFormatting>
  <conditionalFormatting sqref="S95:T95">
    <cfRule type="expression" dxfId="2883" priority="376">
      <formula>S95=$M$3</formula>
    </cfRule>
    <cfRule type="expression" dxfId="2882" priority="377">
      <formula>S95=$I$3</formula>
    </cfRule>
    <cfRule type="expression" dxfId="2881" priority="378">
      <formula>S95=$D$3</formula>
    </cfRule>
  </conditionalFormatting>
  <conditionalFormatting sqref="U95">
    <cfRule type="cellIs" dxfId="2880" priority="375" operator="greaterThan">
      <formula>0</formula>
    </cfRule>
  </conditionalFormatting>
  <conditionalFormatting sqref="S99:T99">
    <cfRule type="expression" dxfId="2879" priority="372">
      <formula>S99=$M$3</formula>
    </cfRule>
    <cfRule type="expression" dxfId="2878" priority="373">
      <formula>S99=$I$3</formula>
    </cfRule>
    <cfRule type="expression" dxfId="2877" priority="374">
      <formula>S99=$D$3</formula>
    </cfRule>
  </conditionalFormatting>
  <conditionalFormatting sqref="U99">
    <cfRule type="cellIs" dxfId="2876" priority="371" operator="greaterThan">
      <formula>0</formula>
    </cfRule>
  </conditionalFormatting>
  <conditionalFormatting sqref="S103:T103">
    <cfRule type="expression" dxfId="2875" priority="368">
      <formula>S103=$M$3</formula>
    </cfRule>
    <cfRule type="expression" dxfId="2874" priority="369">
      <formula>S103=$I$3</formula>
    </cfRule>
    <cfRule type="expression" dxfId="2873" priority="370">
      <formula>S103=$D$3</formula>
    </cfRule>
  </conditionalFormatting>
  <conditionalFormatting sqref="U103">
    <cfRule type="cellIs" dxfId="2872" priority="367" operator="greaterThan">
      <formula>0</formula>
    </cfRule>
  </conditionalFormatting>
  <conditionalFormatting sqref="S107:T107">
    <cfRule type="expression" dxfId="2871" priority="364">
      <formula>S107=$M$3</formula>
    </cfRule>
    <cfRule type="expression" dxfId="2870" priority="365">
      <formula>S107=$I$3</formula>
    </cfRule>
    <cfRule type="expression" dxfId="2869" priority="366">
      <formula>S107=$D$3</formula>
    </cfRule>
  </conditionalFormatting>
  <conditionalFormatting sqref="U107">
    <cfRule type="cellIs" dxfId="2868" priority="363" operator="greaterThan">
      <formula>0</formula>
    </cfRule>
  </conditionalFormatting>
  <conditionalFormatting sqref="S111:T111">
    <cfRule type="expression" dxfId="2867" priority="360">
      <formula>S111=$M$3</formula>
    </cfRule>
    <cfRule type="expression" dxfId="2866" priority="361">
      <formula>S111=$I$3</formula>
    </cfRule>
    <cfRule type="expression" dxfId="2865" priority="362">
      <formula>S111=$D$3</formula>
    </cfRule>
  </conditionalFormatting>
  <conditionalFormatting sqref="U111">
    <cfRule type="cellIs" dxfId="2864" priority="359" operator="greaterThan">
      <formula>0</formula>
    </cfRule>
  </conditionalFormatting>
  <conditionalFormatting sqref="S119:T119">
    <cfRule type="expression" dxfId="2863" priority="356">
      <formula>S119=$M$3</formula>
    </cfRule>
    <cfRule type="expression" dxfId="2862" priority="357">
      <formula>S119=$I$3</formula>
    </cfRule>
    <cfRule type="expression" dxfId="2861" priority="358">
      <formula>S119=$D$3</formula>
    </cfRule>
  </conditionalFormatting>
  <conditionalFormatting sqref="U119">
    <cfRule type="cellIs" dxfId="2860" priority="355" operator="greaterThan">
      <formula>0</formula>
    </cfRule>
  </conditionalFormatting>
  <conditionalFormatting sqref="S123:T123">
    <cfRule type="expression" dxfId="2859" priority="352">
      <formula>S123=$M$3</formula>
    </cfRule>
    <cfRule type="expression" dxfId="2858" priority="353">
      <formula>S123=$I$3</formula>
    </cfRule>
    <cfRule type="expression" dxfId="2857" priority="354">
      <formula>S123=$D$3</formula>
    </cfRule>
  </conditionalFormatting>
  <conditionalFormatting sqref="U123">
    <cfRule type="cellIs" dxfId="2856" priority="351" operator="greaterThan">
      <formula>0</formula>
    </cfRule>
  </conditionalFormatting>
  <conditionalFormatting sqref="K15">
    <cfRule type="expression" dxfId="2855" priority="348">
      <formula>K15=$M$3</formula>
    </cfRule>
    <cfRule type="expression" dxfId="2854" priority="349">
      <formula>K15=$I$3</formula>
    </cfRule>
    <cfRule type="expression" dxfId="2853" priority="350">
      <formula>K15=$D$3</formula>
    </cfRule>
  </conditionalFormatting>
  <conditionalFormatting sqref="L15">
    <cfRule type="cellIs" dxfId="2852" priority="347" operator="greaterThan">
      <formula>0</formula>
    </cfRule>
  </conditionalFormatting>
  <conditionalFormatting sqref="K19">
    <cfRule type="expression" dxfId="2851" priority="344">
      <formula>K19=$M$3</formula>
    </cfRule>
    <cfRule type="expression" dxfId="2850" priority="345">
      <formula>K19=$I$3</formula>
    </cfRule>
    <cfRule type="expression" dxfId="2849" priority="346">
      <formula>K19=$D$3</formula>
    </cfRule>
  </conditionalFormatting>
  <conditionalFormatting sqref="L19">
    <cfRule type="cellIs" dxfId="2848" priority="343" operator="greaterThan">
      <formula>0</formula>
    </cfRule>
  </conditionalFormatting>
  <conditionalFormatting sqref="K23">
    <cfRule type="expression" dxfId="2847" priority="340">
      <formula>K23=$M$3</formula>
    </cfRule>
    <cfRule type="expression" dxfId="2846" priority="341">
      <formula>K23=$I$3</formula>
    </cfRule>
    <cfRule type="expression" dxfId="2845" priority="342">
      <formula>K23=$D$3</formula>
    </cfRule>
  </conditionalFormatting>
  <conditionalFormatting sqref="L23">
    <cfRule type="cellIs" dxfId="2844" priority="339" operator="greaterThan">
      <formula>0</formula>
    </cfRule>
  </conditionalFormatting>
  <conditionalFormatting sqref="K35">
    <cfRule type="expression" dxfId="2843" priority="336">
      <formula>K35=$M$3</formula>
    </cfRule>
    <cfRule type="expression" dxfId="2842" priority="337">
      <formula>K35=$I$3</formula>
    </cfRule>
    <cfRule type="expression" dxfId="2841" priority="338">
      <formula>K35=$D$3</formula>
    </cfRule>
  </conditionalFormatting>
  <conditionalFormatting sqref="L35">
    <cfRule type="cellIs" dxfId="2840" priority="335" operator="greaterThan">
      <formula>0</formula>
    </cfRule>
  </conditionalFormatting>
  <conditionalFormatting sqref="K39">
    <cfRule type="expression" dxfId="2839" priority="332">
      <formula>K39=$M$3</formula>
    </cfRule>
    <cfRule type="expression" dxfId="2838" priority="333">
      <formula>K39=$I$3</formula>
    </cfRule>
    <cfRule type="expression" dxfId="2837" priority="334">
      <formula>K39=$D$3</formula>
    </cfRule>
  </conditionalFormatting>
  <conditionalFormatting sqref="L39">
    <cfRule type="cellIs" dxfId="2836" priority="331" operator="greaterThan">
      <formula>0</formula>
    </cfRule>
  </conditionalFormatting>
  <conditionalFormatting sqref="K43">
    <cfRule type="expression" dxfId="2835" priority="328">
      <formula>K43=$M$3</formula>
    </cfRule>
    <cfRule type="expression" dxfId="2834" priority="329">
      <formula>K43=$I$3</formula>
    </cfRule>
    <cfRule type="expression" dxfId="2833" priority="330">
      <formula>K43=$D$3</formula>
    </cfRule>
  </conditionalFormatting>
  <conditionalFormatting sqref="L43">
    <cfRule type="cellIs" dxfId="2832" priority="327" operator="greaterThan">
      <formula>0</formula>
    </cfRule>
  </conditionalFormatting>
  <conditionalFormatting sqref="K47">
    <cfRule type="expression" dxfId="2831" priority="324">
      <formula>K47=$M$3</formula>
    </cfRule>
    <cfRule type="expression" dxfId="2830" priority="325">
      <formula>K47=$I$3</formula>
    </cfRule>
    <cfRule type="expression" dxfId="2829" priority="326">
      <formula>K47=$D$3</formula>
    </cfRule>
  </conditionalFormatting>
  <conditionalFormatting sqref="L47">
    <cfRule type="cellIs" dxfId="2828" priority="323" operator="greaterThan">
      <formula>0</formula>
    </cfRule>
  </conditionalFormatting>
  <conditionalFormatting sqref="G35">
    <cfRule type="expression" dxfId="2827" priority="284">
      <formula>G35=$M$3</formula>
    </cfRule>
    <cfRule type="expression" dxfId="2826" priority="285">
      <formula>G35=$I$3</formula>
    </cfRule>
    <cfRule type="expression" dxfId="2825" priority="286">
      <formula>G35=$D$3</formula>
    </cfRule>
  </conditionalFormatting>
  <conditionalFormatting sqref="H35">
    <cfRule type="cellIs" dxfId="2824" priority="283" operator="greaterThan">
      <formula>0</formula>
    </cfRule>
  </conditionalFormatting>
  <conditionalFormatting sqref="K119">
    <cfRule type="expression" dxfId="2823" priority="308">
      <formula>K119=$M$3</formula>
    </cfRule>
    <cfRule type="expression" dxfId="2822" priority="309">
      <formula>K119=$I$3</formula>
    </cfRule>
    <cfRule type="expression" dxfId="2821" priority="310">
      <formula>K119=$D$3</formula>
    </cfRule>
  </conditionalFormatting>
  <conditionalFormatting sqref="L119">
    <cfRule type="cellIs" dxfId="2820" priority="307" operator="greaterThan">
      <formula>0</formula>
    </cfRule>
  </conditionalFormatting>
  <conditionalFormatting sqref="G19">
    <cfRule type="expression" dxfId="2819" priority="316">
      <formula>G19=$M$3</formula>
    </cfRule>
    <cfRule type="expression" dxfId="2818" priority="317">
      <formula>G19=$I$3</formula>
    </cfRule>
    <cfRule type="expression" dxfId="2817" priority="318">
      <formula>G19=$D$3</formula>
    </cfRule>
  </conditionalFormatting>
  <conditionalFormatting sqref="H19">
    <cfRule type="cellIs" dxfId="2816" priority="315" operator="greaterThan">
      <formula>0</formula>
    </cfRule>
  </conditionalFormatting>
  <conditionalFormatting sqref="G23">
    <cfRule type="expression" dxfId="2815" priority="312">
      <formula>G23=$M$3</formula>
    </cfRule>
    <cfRule type="expression" dxfId="2814" priority="313">
      <formula>G23=$I$3</formula>
    </cfRule>
    <cfRule type="expression" dxfId="2813" priority="314">
      <formula>G23=$D$3</formula>
    </cfRule>
  </conditionalFormatting>
  <conditionalFormatting sqref="H23">
    <cfRule type="cellIs" dxfId="2812" priority="311" operator="greaterThan">
      <formula>0</formula>
    </cfRule>
  </conditionalFormatting>
  <conditionalFormatting sqref="K51">
    <cfRule type="expression" dxfId="2811" priority="304">
      <formula>K51=$M$3</formula>
    </cfRule>
    <cfRule type="expression" dxfId="2810" priority="305">
      <formula>K51=$I$3</formula>
    </cfRule>
    <cfRule type="expression" dxfId="2809" priority="306">
      <formula>K51=$D$3</formula>
    </cfRule>
  </conditionalFormatting>
  <conditionalFormatting sqref="L51">
    <cfRule type="cellIs" dxfId="2808" priority="303" operator="greaterThan">
      <formula>0</formula>
    </cfRule>
  </conditionalFormatting>
  <conditionalFormatting sqref="G32">
    <cfRule type="expression" dxfId="2807" priority="300">
      <formula>G32=$M$3</formula>
    </cfRule>
    <cfRule type="expression" dxfId="2806" priority="301">
      <formula>G32=$I$3</formula>
    </cfRule>
    <cfRule type="expression" dxfId="2805" priority="302">
      <formula>G32=$D$3</formula>
    </cfRule>
  </conditionalFormatting>
  <conditionalFormatting sqref="H32">
    <cfRule type="cellIs" dxfId="2804" priority="299" operator="greaterThan">
      <formula>0</formula>
    </cfRule>
  </conditionalFormatting>
  <conditionalFormatting sqref="G43">
    <cfRule type="expression" dxfId="2803" priority="296">
      <formula>G43=$M$3</formula>
    </cfRule>
    <cfRule type="expression" dxfId="2802" priority="297">
      <formula>G43=$I$3</formula>
    </cfRule>
    <cfRule type="expression" dxfId="2801" priority="298">
      <formula>G43=$D$3</formula>
    </cfRule>
  </conditionalFormatting>
  <conditionalFormatting sqref="H43">
    <cfRule type="cellIs" dxfId="2800" priority="295" operator="greaterThan">
      <formula>0</formula>
    </cfRule>
  </conditionalFormatting>
  <conditionalFormatting sqref="G31">
    <cfRule type="expression" dxfId="2799" priority="292">
      <formula>G31=$M$3</formula>
    </cfRule>
    <cfRule type="expression" dxfId="2798" priority="293">
      <formula>G31=$I$3</formula>
    </cfRule>
    <cfRule type="expression" dxfId="2797" priority="294">
      <formula>G31=$D$3</formula>
    </cfRule>
  </conditionalFormatting>
  <conditionalFormatting sqref="H31">
    <cfRule type="cellIs" dxfId="2796" priority="291" operator="greaterThan">
      <formula>0</formula>
    </cfRule>
  </conditionalFormatting>
  <conditionalFormatting sqref="G37">
    <cfRule type="expression" dxfId="2795" priority="288">
      <formula>G37=$M$3</formula>
    </cfRule>
    <cfRule type="expression" dxfId="2794" priority="289">
      <formula>G37=$I$3</formula>
    </cfRule>
    <cfRule type="expression" dxfId="2793" priority="290">
      <formula>G37=$D$3</formula>
    </cfRule>
  </conditionalFormatting>
  <conditionalFormatting sqref="H37">
    <cfRule type="cellIs" dxfId="2792" priority="287" operator="greaterThan">
      <formula>0</formula>
    </cfRule>
  </conditionalFormatting>
  <conditionalFormatting sqref="G36">
    <cfRule type="expression" dxfId="2791" priority="280">
      <formula>G36=$M$3</formula>
    </cfRule>
    <cfRule type="expression" dxfId="2790" priority="281">
      <formula>G36=$I$3</formula>
    </cfRule>
    <cfRule type="expression" dxfId="2789" priority="282">
      <formula>G36=$D$3</formula>
    </cfRule>
  </conditionalFormatting>
  <conditionalFormatting sqref="H36">
    <cfRule type="cellIs" dxfId="2788" priority="279" operator="greaterThan">
      <formula>0</formula>
    </cfRule>
  </conditionalFormatting>
  <conditionalFormatting sqref="X51">
    <cfRule type="expression" dxfId="2787" priority="276">
      <formula>X51=$M$3</formula>
    </cfRule>
    <cfRule type="expression" dxfId="2786" priority="277">
      <formula>X51=$I$3</formula>
    </cfRule>
    <cfRule type="expression" dxfId="2785" priority="278">
      <formula>X51=$D$3</formula>
    </cfRule>
  </conditionalFormatting>
  <conditionalFormatting sqref="Y51">
    <cfRule type="cellIs" dxfId="2784" priority="275" operator="greaterThan">
      <formula>0</formula>
    </cfRule>
  </conditionalFormatting>
  <conditionalFormatting sqref="X55">
    <cfRule type="expression" dxfId="2783" priority="272">
      <formula>X55=$M$3</formula>
    </cfRule>
    <cfRule type="expression" dxfId="2782" priority="273">
      <formula>X55=$I$3</formula>
    </cfRule>
    <cfRule type="expression" dxfId="2781" priority="274">
      <formula>X55=$D$3</formula>
    </cfRule>
  </conditionalFormatting>
  <conditionalFormatting sqref="Y55">
    <cfRule type="cellIs" dxfId="2780" priority="271" operator="greaterThan">
      <formula>0</formula>
    </cfRule>
  </conditionalFormatting>
  <conditionalFormatting sqref="X59">
    <cfRule type="expression" dxfId="2779" priority="268">
      <formula>X59=$M$3</formula>
    </cfRule>
    <cfRule type="expression" dxfId="2778" priority="269">
      <formula>X59=$I$3</formula>
    </cfRule>
    <cfRule type="expression" dxfId="2777" priority="270">
      <formula>X59=$D$3</formula>
    </cfRule>
  </conditionalFormatting>
  <conditionalFormatting sqref="Y59">
    <cfRule type="cellIs" dxfId="2776" priority="267" operator="greaterThan">
      <formula>0</formula>
    </cfRule>
  </conditionalFormatting>
  <conditionalFormatting sqref="X63">
    <cfRule type="expression" dxfId="2775" priority="264">
      <formula>X63=$M$3</formula>
    </cfRule>
    <cfRule type="expression" dxfId="2774" priority="265">
      <formula>X63=$I$3</formula>
    </cfRule>
    <cfRule type="expression" dxfId="2773" priority="266">
      <formula>X63=$D$3</formula>
    </cfRule>
  </conditionalFormatting>
  <conditionalFormatting sqref="Y63">
    <cfRule type="cellIs" dxfId="2772" priority="263" operator="greaterThan">
      <formula>0</formula>
    </cfRule>
  </conditionalFormatting>
  <conditionalFormatting sqref="Y67">
    <cfRule type="cellIs" dxfId="2771" priority="262" operator="greaterThan">
      <formula>0</formula>
    </cfRule>
  </conditionalFormatting>
  <conditionalFormatting sqref="X67">
    <cfRule type="expression" dxfId="2770" priority="259">
      <formula>X67=$M$3</formula>
    </cfRule>
    <cfRule type="expression" dxfId="2769" priority="260">
      <formula>X67=$I$3</formula>
    </cfRule>
    <cfRule type="expression" dxfId="2768" priority="261">
      <formula>X67=$D$3</formula>
    </cfRule>
  </conditionalFormatting>
  <conditionalFormatting sqref="U51">
    <cfRule type="cellIs" dxfId="2767" priority="258" operator="greaterThan">
      <formula>0</formula>
    </cfRule>
  </conditionalFormatting>
  <conditionalFormatting sqref="S55:T55">
    <cfRule type="expression" dxfId="2766" priority="255">
      <formula>S55=$M$3</formula>
    </cfRule>
    <cfRule type="expression" dxfId="2765" priority="256">
      <formula>S55=$I$3</formula>
    </cfRule>
    <cfRule type="expression" dxfId="2764" priority="257">
      <formula>S55=$D$3</formula>
    </cfRule>
  </conditionalFormatting>
  <conditionalFormatting sqref="U55">
    <cfRule type="cellIs" dxfId="2763" priority="254" operator="greaterThan">
      <formula>0</formula>
    </cfRule>
  </conditionalFormatting>
  <conditionalFormatting sqref="O43">
    <cfRule type="expression" dxfId="2762" priority="251">
      <formula>O43=$M$3</formula>
    </cfRule>
    <cfRule type="expression" dxfId="2761" priority="252">
      <formula>O43=$I$3</formula>
    </cfRule>
    <cfRule type="expression" dxfId="2760" priority="253">
      <formula>O43=$D$3</formula>
    </cfRule>
  </conditionalFormatting>
  <conditionalFormatting sqref="P43">
    <cfRule type="cellIs" dxfId="2759" priority="250" operator="greaterThan">
      <formula>0</formula>
    </cfRule>
  </conditionalFormatting>
  <conditionalFormatting sqref="S51:T51">
    <cfRule type="expression" dxfId="2758" priority="247">
      <formula>S51=$M$3</formula>
    </cfRule>
    <cfRule type="expression" dxfId="2757" priority="248">
      <formula>S51=$I$3</formula>
    </cfRule>
    <cfRule type="expression" dxfId="2756" priority="249">
      <formula>S51=$D$3</formula>
    </cfRule>
  </conditionalFormatting>
  <conditionalFormatting sqref="G127:G130">
    <cfRule type="expression" dxfId="2755" priority="244">
      <formula>G127=$M$3</formula>
    </cfRule>
    <cfRule type="expression" dxfId="2754" priority="245">
      <formula>G127=$I$3</formula>
    </cfRule>
    <cfRule type="expression" dxfId="2753" priority="246">
      <formula>G127=$D$3</formula>
    </cfRule>
  </conditionalFormatting>
  <conditionalFormatting sqref="H127:H130">
    <cfRule type="cellIs" dxfId="2752" priority="243" operator="greaterThan">
      <formula>0</formula>
    </cfRule>
  </conditionalFormatting>
  <conditionalFormatting sqref="G131">
    <cfRule type="expression" dxfId="2751" priority="240">
      <formula>G131=$M$3</formula>
    </cfRule>
    <cfRule type="expression" dxfId="2750" priority="241">
      <formula>G131=$I$3</formula>
    </cfRule>
    <cfRule type="expression" dxfId="2749" priority="242">
      <formula>G131=$D$3</formula>
    </cfRule>
  </conditionalFormatting>
  <conditionalFormatting sqref="H131">
    <cfRule type="cellIs" dxfId="2748" priority="239" operator="greaterThan">
      <formula>0</formula>
    </cfRule>
  </conditionalFormatting>
  <conditionalFormatting sqref="G55">
    <cfRule type="expression" dxfId="2747" priority="236">
      <formula>G55=$M$3</formula>
    </cfRule>
    <cfRule type="expression" dxfId="2746" priority="237">
      <formula>G55=$I$3</formula>
    </cfRule>
    <cfRule type="expression" dxfId="2745" priority="238">
      <formula>G55=$D$3</formula>
    </cfRule>
  </conditionalFormatting>
  <conditionalFormatting sqref="H55">
    <cfRule type="cellIs" dxfId="2744" priority="235" operator="greaterThan">
      <formula>0</formula>
    </cfRule>
  </conditionalFormatting>
  <conditionalFormatting sqref="G59">
    <cfRule type="expression" dxfId="2743" priority="232">
      <formula>G59=$M$3</formula>
    </cfRule>
    <cfRule type="expression" dxfId="2742" priority="233">
      <formula>G59=$I$3</formula>
    </cfRule>
    <cfRule type="expression" dxfId="2741" priority="234">
      <formula>G59=$D$3</formula>
    </cfRule>
  </conditionalFormatting>
  <conditionalFormatting sqref="H59">
    <cfRule type="cellIs" dxfId="2740" priority="231" operator="greaterThan">
      <formula>0</formula>
    </cfRule>
  </conditionalFormatting>
  <conditionalFormatting sqref="G63">
    <cfRule type="expression" dxfId="2739" priority="228">
      <formula>G63=$M$3</formula>
    </cfRule>
    <cfRule type="expression" dxfId="2738" priority="229">
      <formula>G63=$I$3</formula>
    </cfRule>
    <cfRule type="expression" dxfId="2737" priority="230">
      <formula>G63=$D$3</formula>
    </cfRule>
  </conditionalFormatting>
  <conditionalFormatting sqref="H63">
    <cfRule type="cellIs" dxfId="2736" priority="227" operator="greaterThan">
      <formula>0</formula>
    </cfRule>
  </conditionalFormatting>
  <conditionalFormatting sqref="G76">
    <cfRule type="expression" dxfId="2735" priority="224">
      <formula>G76=$M$3</formula>
    </cfRule>
    <cfRule type="expression" dxfId="2734" priority="225">
      <formula>G76=$I$3</formula>
    </cfRule>
    <cfRule type="expression" dxfId="2733" priority="226">
      <formula>G76=$D$3</formula>
    </cfRule>
  </conditionalFormatting>
  <conditionalFormatting sqref="H76">
    <cfRule type="cellIs" dxfId="2732" priority="223" operator="greaterThan">
      <formula>0</formula>
    </cfRule>
  </conditionalFormatting>
  <conditionalFormatting sqref="G79">
    <cfRule type="expression" dxfId="2731" priority="220">
      <formula>G79=$M$3</formula>
    </cfRule>
    <cfRule type="expression" dxfId="2730" priority="221">
      <formula>G79=$I$3</formula>
    </cfRule>
    <cfRule type="expression" dxfId="2729" priority="222">
      <formula>G79=$D$3</formula>
    </cfRule>
  </conditionalFormatting>
  <conditionalFormatting sqref="H79">
    <cfRule type="cellIs" dxfId="2728" priority="219" operator="greaterThan">
      <formula>0</formula>
    </cfRule>
  </conditionalFormatting>
  <conditionalFormatting sqref="G83">
    <cfRule type="expression" dxfId="2727" priority="216">
      <formula>G83=$M$3</formula>
    </cfRule>
    <cfRule type="expression" dxfId="2726" priority="217">
      <formula>G83=$I$3</formula>
    </cfRule>
    <cfRule type="expression" dxfId="2725" priority="218">
      <formula>G83=$D$3</formula>
    </cfRule>
  </conditionalFormatting>
  <conditionalFormatting sqref="H83">
    <cfRule type="cellIs" dxfId="2724" priority="215" operator="greaterThan">
      <formula>0</formula>
    </cfRule>
  </conditionalFormatting>
  <conditionalFormatting sqref="O99:O103">
    <cfRule type="expression" dxfId="2723" priority="180">
      <formula>O99=$M$3</formula>
    </cfRule>
    <cfRule type="expression" dxfId="2722" priority="181">
      <formula>O99=$I$3</formula>
    </cfRule>
    <cfRule type="expression" dxfId="2721" priority="182">
      <formula>O99=$D$3</formula>
    </cfRule>
  </conditionalFormatting>
  <conditionalFormatting sqref="P99:P103">
    <cfRule type="cellIs" dxfId="2720" priority="179" operator="greaterThan">
      <formula>0</formula>
    </cfRule>
  </conditionalFormatting>
  <conditionalFormatting sqref="K84">
    <cfRule type="expression" dxfId="2719" priority="212">
      <formula>K84=$M$3</formula>
    </cfRule>
    <cfRule type="expression" dxfId="2718" priority="213">
      <formula>K84=$I$3</formula>
    </cfRule>
    <cfRule type="expression" dxfId="2717" priority="214">
      <formula>K84=$D$3</formula>
    </cfRule>
  </conditionalFormatting>
  <conditionalFormatting sqref="L84">
    <cfRule type="cellIs" dxfId="2716" priority="211" operator="greaterThan">
      <formula>0</formula>
    </cfRule>
  </conditionalFormatting>
  <conditionalFormatting sqref="K123">
    <cfRule type="expression" dxfId="2715" priority="208">
      <formula>K123=$M$3</formula>
    </cfRule>
    <cfRule type="expression" dxfId="2714" priority="209">
      <formula>K123=$I$3</formula>
    </cfRule>
    <cfRule type="expression" dxfId="2713" priority="210">
      <formula>K123=$D$3</formula>
    </cfRule>
  </conditionalFormatting>
  <conditionalFormatting sqref="L123">
    <cfRule type="cellIs" dxfId="2712" priority="207" operator="greaterThan">
      <formula>0</formula>
    </cfRule>
  </conditionalFormatting>
  <conditionalFormatting sqref="K127">
    <cfRule type="expression" dxfId="2711" priority="204">
      <formula>K127=$M$3</formula>
    </cfRule>
    <cfRule type="expression" dxfId="2710" priority="205">
      <formula>K127=$I$3</formula>
    </cfRule>
    <cfRule type="expression" dxfId="2709" priority="206">
      <formula>K127=$D$3</formula>
    </cfRule>
  </conditionalFormatting>
  <conditionalFormatting sqref="L127">
    <cfRule type="cellIs" dxfId="2708" priority="203" operator="greaterThan">
      <formula>0</formula>
    </cfRule>
  </conditionalFormatting>
  <conditionalFormatting sqref="K131">
    <cfRule type="expression" dxfId="2707" priority="200">
      <formula>K131=$M$3</formula>
    </cfRule>
    <cfRule type="expression" dxfId="2706" priority="201">
      <formula>K131=$I$3</formula>
    </cfRule>
    <cfRule type="expression" dxfId="2705" priority="202">
      <formula>K131=$D$3</formula>
    </cfRule>
  </conditionalFormatting>
  <conditionalFormatting sqref="L131">
    <cfRule type="cellIs" dxfId="2704" priority="199" operator="greaterThan">
      <formula>0</formula>
    </cfRule>
  </conditionalFormatting>
  <conditionalFormatting sqref="K135">
    <cfRule type="expression" dxfId="2703" priority="196">
      <formula>K135=$M$3</formula>
    </cfRule>
    <cfRule type="expression" dxfId="2702" priority="197">
      <formula>K135=$I$3</formula>
    </cfRule>
    <cfRule type="expression" dxfId="2701" priority="198">
      <formula>K135=$D$3</formula>
    </cfRule>
  </conditionalFormatting>
  <conditionalFormatting sqref="L135">
    <cfRule type="cellIs" dxfId="2700" priority="195" operator="greaterThan">
      <formula>0</formula>
    </cfRule>
  </conditionalFormatting>
  <conditionalFormatting sqref="O112">
    <cfRule type="expression" dxfId="2699" priority="188">
      <formula>O112=$M$3</formula>
    </cfRule>
    <cfRule type="expression" dxfId="2698" priority="189">
      <formula>O112=$I$3</formula>
    </cfRule>
    <cfRule type="expression" dxfId="2697" priority="190">
      <formula>O112=$D$3</formula>
    </cfRule>
  </conditionalFormatting>
  <conditionalFormatting sqref="P112">
    <cfRule type="cellIs" dxfId="2696" priority="187" operator="greaterThan">
      <formula>0</formula>
    </cfRule>
  </conditionalFormatting>
  <conditionalFormatting sqref="O115:O118">
    <cfRule type="expression" dxfId="2695" priority="184">
      <formula>O115=$M$3</formula>
    </cfRule>
    <cfRule type="expression" dxfId="2694" priority="185">
      <formula>O115=$I$3</formula>
    </cfRule>
    <cfRule type="expression" dxfId="2693" priority="186">
      <formula>O115=$D$3</formula>
    </cfRule>
  </conditionalFormatting>
  <conditionalFormatting sqref="P115:P118">
    <cfRule type="cellIs" dxfId="2692" priority="183" operator="greaterThan">
      <formula>0</formula>
    </cfRule>
  </conditionalFormatting>
  <conditionalFormatting sqref="O119">
    <cfRule type="expression" dxfId="2691" priority="160">
      <formula>O119=$M$3</formula>
    </cfRule>
    <cfRule type="expression" dxfId="2690" priority="161">
      <formula>O119=$I$3</formula>
    </cfRule>
    <cfRule type="expression" dxfId="2689" priority="162">
      <formula>O119=$D$3</formula>
    </cfRule>
  </conditionalFormatting>
  <conditionalFormatting sqref="P119">
    <cfRule type="cellIs" dxfId="2688" priority="159" operator="greaterThan">
      <formula>0</formula>
    </cfRule>
  </conditionalFormatting>
  <conditionalFormatting sqref="O123">
    <cfRule type="expression" dxfId="2687" priority="156">
      <formula>O123=$M$3</formula>
    </cfRule>
    <cfRule type="expression" dxfId="2686" priority="157">
      <formula>O123=$I$3</formula>
    </cfRule>
    <cfRule type="expression" dxfId="2685" priority="158">
      <formula>O123=$D$3</formula>
    </cfRule>
  </conditionalFormatting>
  <conditionalFormatting sqref="P123">
    <cfRule type="cellIs" dxfId="2684" priority="155" operator="greaterThan">
      <formula>0</formula>
    </cfRule>
  </conditionalFormatting>
  <conditionalFormatting sqref="K55">
    <cfRule type="expression" dxfId="2683" priority="152">
      <formula>K55=$M$3</formula>
    </cfRule>
    <cfRule type="expression" dxfId="2682" priority="153">
      <formula>K55=$I$3</formula>
    </cfRule>
    <cfRule type="expression" dxfId="2681" priority="154">
      <formula>K55=$D$3</formula>
    </cfRule>
  </conditionalFormatting>
  <conditionalFormatting sqref="L55">
    <cfRule type="cellIs" dxfId="2680" priority="151" operator="greaterThan">
      <formula>0</formula>
    </cfRule>
  </conditionalFormatting>
  <conditionalFormatting sqref="K54">
    <cfRule type="expression" dxfId="2679" priority="148">
      <formula>K54=$M$3</formula>
    </cfRule>
    <cfRule type="expression" dxfId="2678" priority="149">
      <formula>K54=$I$3</formula>
    </cfRule>
    <cfRule type="expression" dxfId="2677" priority="150">
      <formula>K54=$D$3</formula>
    </cfRule>
  </conditionalFormatting>
  <conditionalFormatting sqref="L54">
    <cfRule type="cellIs" dxfId="2676" priority="147" operator="greaterThan">
      <formula>0</formula>
    </cfRule>
  </conditionalFormatting>
  <conditionalFormatting sqref="L91">
    <cfRule type="cellIs" dxfId="2675" priority="111" operator="greaterThan">
      <formula>0</formula>
    </cfRule>
  </conditionalFormatting>
  <conditionalFormatting sqref="K59">
    <cfRule type="expression" dxfId="2674" priority="144">
      <formula>K59=$M$3</formula>
    </cfRule>
    <cfRule type="expression" dxfId="2673" priority="145">
      <formula>K59=$I$3</formula>
    </cfRule>
    <cfRule type="expression" dxfId="2672" priority="146">
      <formula>K59=$D$3</formula>
    </cfRule>
  </conditionalFormatting>
  <conditionalFormatting sqref="L59">
    <cfRule type="cellIs" dxfId="2671" priority="143" operator="greaterThan">
      <formula>0</formula>
    </cfRule>
  </conditionalFormatting>
  <conditionalFormatting sqref="K63">
    <cfRule type="expression" dxfId="2670" priority="140">
      <formula>K63=$M$3</formula>
    </cfRule>
    <cfRule type="expression" dxfId="2669" priority="141">
      <formula>K63=$I$3</formula>
    </cfRule>
    <cfRule type="expression" dxfId="2668" priority="142">
      <formula>K63=$D$3</formula>
    </cfRule>
  </conditionalFormatting>
  <conditionalFormatting sqref="L63">
    <cfRule type="cellIs" dxfId="2667" priority="139" operator="greaterThan">
      <formula>0</formula>
    </cfRule>
  </conditionalFormatting>
  <conditionalFormatting sqref="K67">
    <cfRule type="expression" dxfId="2666" priority="136">
      <formula>K67=$M$3</formula>
    </cfRule>
    <cfRule type="expression" dxfId="2665" priority="137">
      <formula>K67=$I$3</formula>
    </cfRule>
    <cfRule type="expression" dxfId="2664" priority="138">
      <formula>K67=$D$3</formula>
    </cfRule>
  </conditionalFormatting>
  <conditionalFormatting sqref="L67">
    <cfRule type="cellIs" dxfId="2663" priority="135" operator="greaterThan">
      <formula>0</formula>
    </cfRule>
  </conditionalFormatting>
  <conditionalFormatting sqref="K71">
    <cfRule type="expression" dxfId="2662" priority="132">
      <formula>K71=$M$3</formula>
    </cfRule>
    <cfRule type="expression" dxfId="2661" priority="133">
      <formula>K71=$I$3</formula>
    </cfRule>
    <cfRule type="expression" dxfId="2660" priority="134">
      <formula>K71=$D$3</formula>
    </cfRule>
  </conditionalFormatting>
  <conditionalFormatting sqref="L71">
    <cfRule type="cellIs" dxfId="2659" priority="131" operator="greaterThan">
      <formula>0</formula>
    </cfRule>
  </conditionalFormatting>
  <conditionalFormatting sqref="K75">
    <cfRule type="expression" dxfId="2658" priority="128">
      <formula>K75=$M$3</formula>
    </cfRule>
    <cfRule type="expression" dxfId="2657" priority="129">
      <formula>K75=$I$3</formula>
    </cfRule>
    <cfRule type="expression" dxfId="2656" priority="130">
      <formula>K75=$D$3</formula>
    </cfRule>
  </conditionalFormatting>
  <conditionalFormatting sqref="L75">
    <cfRule type="cellIs" dxfId="2655" priority="127" operator="greaterThan">
      <formula>0</formula>
    </cfRule>
  </conditionalFormatting>
  <conditionalFormatting sqref="K79">
    <cfRule type="expression" dxfId="2654" priority="124">
      <formula>K79=$M$3</formula>
    </cfRule>
    <cfRule type="expression" dxfId="2653" priority="125">
      <formula>K79=$I$3</formula>
    </cfRule>
    <cfRule type="expression" dxfId="2652" priority="126">
      <formula>K79=$D$3</formula>
    </cfRule>
  </conditionalFormatting>
  <conditionalFormatting sqref="L79">
    <cfRule type="cellIs" dxfId="2651" priority="123" operator="greaterThan">
      <formula>0</formula>
    </cfRule>
  </conditionalFormatting>
  <conditionalFormatting sqref="K83">
    <cfRule type="expression" dxfId="2650" priority="120">
      <formula>K83=$M$3</formula>
    </cfRule>
    <cfRule type="expression" dxfId="2649" priority="121">
      <formula>K83=$I$3</formula>
    </cfRule>
    <cfRule type="expression" dxfId="2648" priority="122">
      <formula>K83=$D$3</formula>
    </cfRule>
  </conditionalFormatting>
  <conditionalFormatting sqref="L83">
    <cfRule type="cellIs" dxfId="2647" priority="119" operator="greaterThan">
      <formula>0</formula>
    </cfRule>
  </conditionalFormatting>
  <conditionalFormatting sqref="K87">
    <cfRule type="expression" dxfId="2646" priority="116">
      <formula>K87=$M$3</formula>
    </cfRule>
    <cfRule type="expression" dxfId="2645" priority="117">
      <formula>K87=$I$3</formula>
    </cfRule>
    <cfRule type="expression" dxfId="2644" priority="118">
      <formula>K87=$D$3</formula>
    </cfRule>
  </conditionalFormatting>
  <conditionalFormatting sqref="L87">
    <cfRule type="cellIs" dxfId="2643" priority="115" operator="greaterThan">
      <formula>0</formula>
    </cfRule>
  </conditionalFormatting>
  <conditionalFormatting sqref="K91">
    <cfRule type="expression" dxfId="2642" priority="112">
      <formula>K91=$M$3</formula>
    </cfRule>
    <cfRule type="expression" dxfId="2641" priority="113">
      <formula>K91=$I$3</formula>
    </cfRule>
    <cfRule type="expression" dxfId="2640" priority="114">
      <formula>K91=$D$3</formula>
    </cfRule>
  </conditionalFormatting>
  <conditionalFormatting sqref="K95">
    <cfRule type="expression" dxfId="2639" priority="108">
      <formula>K95=$M$3</formula>
    </cfRule>
    <cfRule type="expression" dxfId="2638" priority="109">
      <formula>K95=$I$3</formula>
    </cfRule>
    <cfRule type="expression" dxfId="2637" priority="110">
      <formula>K95=$D$3</formula>
    </cfRule>
  </conditionalFormatting>
  <conditionalFormatting sqref="L95">
    <cfRule type="cellIs" dxfId="2636" priority="107" operator="greaterThan">
      <formula>0</formula>
    </cfRule>
  </conditionalFormatting>
  <conditionalFormatting sqref="K99">
    <cfRule type="expression" dxfId="2635" priority="104">
      <formula>K99=$M$3</formula>
    </cfRule>
    <cfRule type="expression" dxfId="2634" priority="105">
      <formula>K99=$I$3</formula>
    </cfRule>
    <cfRule type="expression" dxfId="2633" priority="106">
      <formula>K99=$D$3</formula>
    </cfRule>
  </conditionalFormatting>
  <conditionalFormatting sqref="L99">
    <cfRule type="cellIs" dxfId="2632" priority="103" operator="greaterThan">
      <formula>0</formula>
    </cfRule>
  </conditionalFormatting>
  <conditionalFormatting sqref="K103">
    <cfRule type="expression" dxfId="2631" priority="100">
      <formula>K103=$M$3</formula>
    </cfRule>
    <cfRule type="expression" dxfId="2630" priority="101">
      <formula>K103=$I$3</formula>
    </cfRule>
    <cfRule type="expression" dxfId="2629" priority="102">
      <formula>K103=$D$3</formula>
    </cfRule>
  </conditionalFormatting>
  <conditionalFormatting sqref="L103">
    <cfRule type="cellIs" dxfId="2628" priority="99" operator="greaterThan">
      <formula>0</formula>
    </cfRule>
  </conditionalFormatting>
  <conditionalFormatting sqref="K107">
    <cfRule type="expression" dxfId="2627" priority="96">
      <formula>K107=$M$3</formula>
    </cfRule>
    <cfRule type="expression" dxfId="2626" priority="97">
      <formula>K107=$I$3</formula>
    </cfRule>
    <cfRule type="expression" dxfId="2625" priority="98">
      <formula>K107=$D$3</formula>
    </cfRule>
  </conditionalFormatting>
  <conditionalFormatting sqref="L107">
    <cfRule type="cellIs" dxfId="2624" priority="95" operator="greaterThan">
      <formula>0</formula>
    </cfRule>
  </conditionalFormatting>
  <conditionalFormatting sqref="K111">
    <cfRule type="expression" dxfId="2623" priority="92">
      <formula>K111=$M$3</formula>
    </cfRule>
    <cfRule type="expression" dxfId="2622" priority="93">
      <formula>K111=$I$3</formula>
    </cfRule>
    <cfRule type="expression" dxfId="2621" priority="94">
      <formula>K111=$D$3</formula>
    </cfRule>
  </conditionalFormatting>
  <conditionalFormatting sqref="L111">
    <cfRule type="cellIs" dxfId="2620" priority="91" operator="greaterThan">
      <formula>0</formula>
    </cfRule>
  </conditionalFormatting>
  <conditionalFormatting sqref="K115">
    <cfRule type="expression" dxfId="2619" priority="88">
      <formula>K115=$M$3</formula>
    </cfRule>
    <cfRule type="expression" dxfId="2618" priority="89">
      <formula>K115=$I$3</formula>
    </cfRule>
    <cfRule type="expression" dxfId="2617" priority="90">
      <formula>K115=$D$3</formula>
    </cfRule>
  </conditionalFormatting>
  <conditionalFormatting sqref="L115">
    <cfRule type="cellIs" dxfId="2616" priority="87" operator="greaterThan">
      <formula>0</formula>
    </cfRule>
  </conditionalFormatting>
  <conditionalFormatting sqref="O83">
    <cfRule type="expression" dxfId="2615" priority="84">
      <formula>O83=$M$3</formula>
    </cfRule>
    <cfRule type="expression" dxfId="2614" priority="85">
      <formula>O83=$I$3</formula>
    </cfRule>
    <cfRule type="expression" dxfId="2613" priority="86">
      <formula>O83=$D$3</formula>
    </cfRule>
  </conditionalFormatting>
  <conditionalFormatting sqref="P83">
    <cfRule type="cellIs" dxfId="2612" priority="83" operator="greaterThan">
      <formula>0</formula>
    </cfRule>
  </conditionalFormatting>
  <conditionalFormatting sqref="G95:G99">
    <cfRule type="expression" dxfId="2611" priority="80">
      <formula>G95=$M$3</formula>
    </cfRule>
    <cfRule type="expression" dxfId="2610" priority="81">
      <formula>G95=$I$3</formula>
    </cfRule>
    <cfRule type="expression" dxfId="2609" priority="82">
      <formula>G95=$D$3</formula>
    </cfRule>
  </conditionalFormatting>
  <conditionalFormatting sqref="H95:H99">
    <cfRule type="cellIs" dxfId="2608" priority="79" operator="greaterThan">
      <formula>0</formula>
    </cfRule>
  </conditionalFormatting>
  <conditionalFormatting sqref="G88">
    <cfRule type="expression" dxfId="2607" priority="65">
      <formula>G88=$M$3</formula>
    </cfRule>
    <cfRule type="expression" dxfId="2606" priority="66">
      <formula>G88=$I$3</formula>
    </cfRule>
    <cfRule type="expression" dxfId="2605" priority="67">
      <formula>G88=$D$3</formula>
    </cfRule>
  </conditionalFormatting>
  <conditionalFormatting sqref="G115">
    <cfRule type="expression" dxfId="2604" priority="62">
      <formula>G115=$M$3</formula>
    </cfRule>
    <cfRule type="expression" dxfId="2603" priority="63">
      <formula>G115=$I$3</formula>
    </cfRule>
    <cfRule type="expression" dxfId="2602" priority="64">
      <formula>G115=$D$3</formula>
    </cfRule>
  </conditionalFormatting>
  <conditionalFormatting sqref="H115">
    <cfRule type="cellIs" dxfId="2601" priority="61" operator="greaterThan">
      <formula>0</formula>
    </cfRule>
  </conditionalFormatting>
  <conditionalFormatting sqref="G112:G114">
    <cfRule type="expression" dxfId="2600" priority="58">
      <formula>G112=$M$3</formula>
    </cfRule>
    <cfRule type="expression" dxfId="2599" priority="59">
      <formula>G112=$I$3</formula>
    </cfRule>
    <cfRule type="expression" dxfId="2598" priority="60">
      <formula>G112=$D$3</formula>
    </cfRule>
  </conditionalFormatting>
  <conditionalFormatting sqref="H112:H114">
    <cfRule type="cellIs" dxfId="2597" priority="57" operator="greaterThan">
      <formula>0</formula>
    </cfRule>
  </conditionalFormatting>
  <conditionalFormatting sqref="G111">
    <cfRule type="expression" dxfId="2596" priority="54">
      <formula>G111=$M$3</formula>
    </cfRule>
    <cfRule type="expression" dxfId="2595" priority="55">
      <formula>G111=$I$3</formula>
    </cfRule>
    <cfRule type="expression" dxfId="2594" priority="56">
      <formula>G111=$D$3</formula>
    </cfRule>
  </conditionalFormatting>
  <conditionalFormatting sqref="H111">
    <cfRule type="cellIs" dxfId="2593" priority="53" operator="greaterThan">
      <formula>0</formula>
    </cfRule>
  </conditionalFormatting>
  <conditionalFormatting sqref="P95">
    <cfRule type="cellIs" dxfId="2592" priority="52" operator="greaterThan">
      <formula>0</formula>
    </cfRule>
  </conditionalFormatting>
  <conditionalFormatting sqref="P91:P92">
    <cfRule type="cellIs" dxfId="2591" priority="51" operator="greaterThan">
      <formula>0</formula>
    </cfRule>
  </conditionalFormatting>
  <conditionalFormatting sqref="P84:P85">
    <cfRule type="cellIs" dxfId="2590" priority="50" operator="greaterThan">
      <formula>0</formula>
    </cfRule>
  </conditionalFormatting>
  <conditionalFormatting sqref="P87">
    <cfRule type="cellIs" dxfId="2589" priority="49" operator="greaterThan">
      <formula>0</formula>
    </cfRule>
  </conditionalFormatting>
  <conditionalFormatting sqref="K139">
    <cfRule type="expression" dxfId="2588" priority="46">
      <formula>K139=$M$3</formula>
    </cfRule>
    <cfRule type="expression" dxfId="2587" priority="47">
      <formula>K139=$I$3</formula>
    </cfRule>
    <cfRule type="expression" dxfId="2586" priority="48">
      <formula>K139=$D$3</formula>
    </cfRule>
  </conditionalFormatting>
  <conditionalFormatting sqref="L139">
    <cfRule type="cellIs" dxfId="2585" priority="45" operator="greaterThan">
      <formula>0</formula>
    </cfRule>
  </conditionalFormatting>
  <conditionalFormatting sqref="K147">
    <cfRule type="expression" dxfId="2584" priority="42">
      <formula>K147=$M$3</formula>
    </cfRule>
    <cfRule type="expression" dxfId="2583" priority="43">
      <formula>K147=$I$3</formula>
    </cfRule>
    <cfRule type="expression" dxfId="2582" priority="44">
      <formula>K147=$D$3</formula>
    </cfRule>
  </conditionalFormatting>
  <conditionalFormatting sqref="L147">
    <cfRule type="cellIs" dxfId="2581" priority="41" operator="greaterThan">
      <formula>0</formula>
    </cfRule>
  </conditionalFormatting>
  <conditionalFormatting sqref="K151">
    <cfRule type="expression" dxfId="2580" priority="38">
      <formula>K151=$M$3</formula>
    </cfRule>
    <cfRule type="expression" dxfId="2579" priority="39">
      <formula>K151=$I$3</formula>
    </cfRule>
    <cfRule type="expression" dxfId="2578" priority="40">
      <formula>K151=$D$3</formula>
    </cfRule>
  </conditionalFormatting>
  <conditionalFormatting sqref="L151">
    <cfRule type="cellIs" dxfId="2577" priority="37" operator="greaterThan">
      <formula>0</formula>
    </cfRule>
  </conditionalFormatting>
  <conditionalFormatting sqref="K155">
    <cfRule type="expression" dxfId="2576" priority="34">
      <formula>K155=$M$3</formula>
    </cfRule>
    <cfRule type="expression" dxfId="2575" priority="35">
      <formula>K155=$I$3</formula>
    </cfRule>
    <cfRule type="expression" dxfId="2574" priority="36">
      <formula>K155=$D$3</formula>
    </cfRule>
  </conditionalFormatting>
  <conditionalFormatting sqref="L155">
    <cfRule type="cellIs" dxfId="2573" priority="33" operator="greaterThan">
      <formula>0</formula>
    </cfRule>
  </conditionalFormatting>
  <conditionalFormatting sqref="K159 K163 K167 K171 K175">
    <cfRule type="expression" dxfId="2572" priority="30">
      <formula>K159=$M$3</formula>
    </cfRule>
    <cfRule type="expression" dxfId="2571" priority="31">
      <formula>K159=$I$3</formula>
    </cfRule>
    <cfRule type="expression" dxfId="2570" priority="32">
      <formula>K159=$D$3</formula>
    </cfRule>
  </conditionalFormatting>
  <conditionalFormatting sqref="L159 L163 L167 L171 L175">
    <cfRule type="cellIs" dxfId="2569" priority="29" operator="greaterThan">
      <formula>0</formula>
    </cfRule>
  </conditionalFormatting>
  <conditionalFormatting sqref="K179">
    <cfRule type="expression" dxfId="2568" priority="26">
      <formula>K179=$M$3</formula>
    </cfRule>
    <cfRule type="expression" dxfId="2567" priority="27">
      <formula>K179=$I$3</formula>
    </cfRule>
    <cfRule type="expression" dxfId="2566" priority="28">
      <formula>K179=$D$3</formula>
    </cfRule>
  </conditionalFormatting>
  <conditionalFormatting sqref="L179">
    <cfRule type="cellIs" dxfId="2565" priority="25" operator="greaterThan">
      <formula>0</formula>
    </cfRule>
  </conditionalFormatting>
  <conditionalFormatting sqref="K183">
    <cfRule type="expression" dxfId="2564" priority="22">
      <formula>K183=$M$3</formula>
    </cfRule>
    <cfRule type="expression" dxfId="2563" priority="23">
      <formula>K183=$I$3</formula>
    </cfRule>
    <cfRule type="expression" dxfId="2562" priority="24">
      <formula>K183=$D$3</formula>
    </cfRule>
  </conditionalFormatting>
  <conditionalFormatting sqref="L183">
    <cfRule type="cellIs" dxfId="2561" priority="21" operator="greaterThan">
      <formula>0</formula>
    </cfRule>
  </conditionalFormatting>
  <conditionalFormatting sqref="K187">
    <cfRule type="expression" dxfId="2560" priority="18">
      <formula>K187=$M$3</formula>
    </cfRule>
    <cfRule type="expression" dxfId="2559" priority="19">
      <formula>K187=$I$3</formula>
    </cfRule>
    <cfRule type="expression" dxfId="2558" priority="20">
      <formula>K187=$D$3</formula>
    </cfRule>
  </conditionalFormatting>
  <conditionalFormatting sqref="L187">
    <cfRule type="cellIs" dxfId="2557" priority="17" operator="greaterThan">
      <formula>0</formula>
    </cfRule>
  </conditionalFormatting>
  <conditionalFormatting sqref="O198:O200 K198:K200">
    <cfRule type="expression" dxfId="2556" priority="13">
      <formula>K198=$M$3</formula>
    </cfRule>
    <cfRule type="expression" dxfId="2555" priority="14">
      <formula>K198=$I$3</formula>
    </cfRule>
    <cfRule type="expression" dxfId="2554" priority="15">
      <formula>K198=$D$3</formula>
    </cfRule>
  </conditionalFormatting>
  <conditionalFormatting sqref="L198:L200 P198:P200">
    <cfRule type="cellIs" dxfId="2553" priority="12" operator="greaterThan">
      <formula>0</formula>
    </cfRule>
  </conditionalFormatting>
  <conditionalFormatting sqref="K201:K202">
    <cfRule type="expression" dxfId="2552" priority="9">
      <formula>K201=$M$3</formula>
    </cfRule>
    <cfRule type="expression" dxfId="2551" priority="10">
      <formula>K201=$I$3</formula>
    </cfRule>
    <cfRule type="expression" dxfId="2550" priority="11">
      <formula>K201=$D$3</formula>
    </cfRule>
  </conditionalFormatting>
  <conditionalFormatting sqref="O201:O202">
    <cfRule type="expression" dxfId="2549" priority="6">
      <formula>O201=$M$3</formula>
    </cfRule>
    <cfRule type="expression" dxfId="2548" priority="7">
      <formula>O201=$I$3</formula>
    </cfRule>
    <cfRule type="expression" dxfId="2547" priority="8">
      <formula>O201=$D$3</formula>
    </cfRule>
  </conditionalFormatting>
  <conditionalFormatting sqref="L201:L202 P201:P202">
    <cfRule type="cellIs" dxfId="2546" priority="5" operator="greaterThan">
      <formula>0</formula>
    </cfRule>
  </conditionalFormatting>
  <conditionalFormatting sqref="G147:G148">
    <cfRule type="expression" dxfId="2545" priority="2">
      <formula>G147=$M$3</formula>
    </cfRule>
    <cfRule type="expression" dxfId="2544" priority="3">
      <formula>G147=$I$3</formula>
    </cfRule>
    <cfRule type="expression" dxfId="2543" priority="4">
      <formula>G147=$D$3</formula>
    </cfRule>
  </conditionalFormatting>
  <conditionalFormatting sqref="H147:H148">
    <cfRule type="cellIs" dxfId="2542" priority="1" operator="greaterThan">
      <formula>0</formula>
    </cfRule>
  </conditionalFormatting>
  <printOptions horizontalCentered="1"/>
  <pageMargins left="0" right="0" top="0.25" bottom="0.25" header="0.3" footer="0.3"/>
  <pageSetup paperSize="9" scale="70" orientation="landscape" horizontalDpi="300" verticalDpi="3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AE162"/>
  <sheetViews>
    <sheetView zoomScale="110" zoomScaleNormal="110" zoomScaleSheetLayoutView="85" workbookViewId="0">
      <pane xSplit="2" ySplit="6" topLeftCell="C65" activePane="bottomRight" state="frozen"/>
      <selection pane="topRight" activeCell="C1" sqref="C1"/>
      <selection pane="bottomLeft" activeCell="A7" sqref="A7"/>
      <selection pane="bottomRight" activeCell="D72" sqref="D72"/>
    </sheetView>
  </sheetViews>
  <sheetFormatPr defaultColWidth="8.85546875" defaultRowHeight="12.75" x14ac:dyDescent="0.2"/>
  <cols>
    <col min="1" max="1" width="8.5703125" style="140" customWidth="1"/>
    <col min="2" max="2" width="4.7109375" style="140" bestFit="1" customWidth="1"/>
    <col min="3" max="3" width="12.85546875" style="135" bestFit="1" customWidth="1"/>
    <col min="4" max="4" width="8.7109375" style="168" customWidth="1"/>
    <col min="5" max="5" width="14.42578125" style="135" bestFit="1" customWidth="1"/>
    <col min="6" max="6" width="14.42578125" style="135" hidden="1" customWidth="1"/>
    <col min="7" max="7" width="6.28515625" style="136" customWidth="1"/>
    <col min="8" max="8" width="8.5703125" style="170" customWidth="1"/>
    <col min="9" max="9" width="9" style="178" customWidth="1"/>
    <col min="10" max="10" width="8.140625" style="135" bestFit="1" customWidth="1"/>
    <col min="11" max="11" width="6.28515625" style="138" customWidth="1"/>
    <col min="12" max="12" width="8.5703125" style="170" customWidth="1"/>
    <col min="13" max="13" width="9.42578125" style="178" customWidth="1"/>
    <col min="14" max="14" width="13.85546875" style="135" customWidth="1"/>
    <col min="15" max="15" width="6.28515625" style="138" customWidth="1"/>
    <col min="16" max="16" width="8.5703125" style="170" customWidth="1"/>
    <col min="17" max="17" width="8" style="178" bestFit="1" customWidth="1"/>
    <col min="18" max="18" width="8.140625" style="135" bestFit="1" customWidth="1"/>
    <col min="19" max="19" width="6.28515625" style="198" bestFit="1" customWidth="1"/>
    <col min="20" max="20" width="6.28515625" style="198" customWidth="1"/>
    <col min="21" max="21" width="9.7109375" style="170" bestFit="1" customWidth="1"/>
    <col min="22" max="22" width="8" style="178" bestFit="1" customWidth="1"/>
    <col min="23" max="23" width="6" style="135" customWidth="1"/>
    <col min="24" max="24" width="6.28515625" style="198" bestFit="1" customWidth="1"/>
    <col min="25" max="25" width="9.7109375" style="170" bestFit="1" customWidth="1"/>
    <col min="26" max="16384" width="8.85546875" style="135"/>
  </cols>
  <sheetData>
    <row r="1" spans="1:31" s="143" customFormat="1" ht="25.5" x14ac:dyDescent="0.2">
      <c r="A1" s="361" t="s">
        <v>173</v>
      </c>
      <c r="B1" s="361"/>
      <c r="C1" s="361"/>
      <c r="D1" s="361"/>
      <c r="E1" s="361"/>
      <c r="F1" s="361"/>
      <c r="G1" s="361"/>
      <c r="H1" s="361"/>
      <c r="I1" s="361"/>
      <c r="J1" s="361"/>
      <c r="K1" s="361"/>
      <c r="L1" s="207">
        <v>5</v>
      </c>
      <c r="M1" s="362">
        <v>2023</v>
      </c>
      <c r="N1" s="362"/>
      <c r="O1" s="208"/>
      <c r="P1" s="207"/>
      <c r="Q1" s="209"/>
      <c r="R1" s="207"/>
      <c r="S1" s="248"/>
      <c r="T1" s="248"/>
      <c r="U1" s="207"/>
      <c r="V1" s="209"/>
      <c r="W1" s="207"/>
      <c r="X1" s="248"/>
      <c r="Y1" s="207"/>
    </row>
    <row r="2" spans="1:31" s="147" customFormat="1" ht="1.9" customHeight="1" x14ac:dyDescent="0.2">
      <c r="A2" s="144"/>
      <c r="B2" s="144"/>
      <c r="C2" s="144"/>
      <c r="D2" s="174"/>
      <c r="E2" s="144"/>
      <c r="F2" s="144"/>
      <c r="G2" s="144"/>
      <c r="H2" s="144"/>
      <c r="I2" s="176"/>
      <c r="J2" s="144"/>
      <c r="K2" s="156"/>
      <c r="L2" s="145"/>
      <c r="M2" s="176"/>
      <c r="N2" s="146"/>
      <c r="O2" s="156"/>
      <c r="P2" s="145"/>
      <c r="Q2" s="176"/>
      <c r="R2" s="145"/>
      <c r="S2" s="146"/>
      <c r="T2" s="146"/>
      <c r="U2" s="145"/>
      <c r="V2" s="176"/>
      <c r="W2" s="145"/>
      <c r="X2" s="146"/>
      <c r="Y2" s="145"/>
    </row>
    <row r="3" spans="1:31" s="141" customFormat="1" ht="12" customHeight="1" x14ac:dyDescent="0.2">
      <c r="A3" s="181"/>
      <c r="B3" s="181"/>
      <c r="C3" s="181"/>
      <c r="D3" s="182" t="s">
        <v>97</v>
      </c>
      <c r="E3" s="363" t="s">
        <v>111</v>
      </c>
      <c r="F3" s="363"/>
      <c r="G3" s="363"/>
      <c r="H3" s="364"/>
      <c r="I3" s="183" t="s">
        <v>99</v>
      </c>
      <c r="J3" s="363" t="s">
        <v>112</v>
      </c>
      <c r="K3" s="363"/>
      <c r="L3" s="364"/>
      <c r="M3" s="184" t="s">
        <v>100</v>
      </c>
      <c r="N3" s="363" t="s">
        <v>102</v>
      </c>
      <c r="O3" s="363"/>
      <c r="P3" s="363"/>
      <c r="Q3" s="185"/>
      <c r="R3" s="186"/>
      <c r="S3" s="249"/>
      <c r="T3" s="249"/>
      <c r="U3" s="187"/>
      <c r="V3" s="185"/>
      <c r="W3" s="186"/>
      <c r="X3" s="249"/>
      <c r="Y3" s="187"/>
    </row>
    <row r="4" spans="1:31" s="151" customFormat="1" ht="1.9" customHeight="1" x14ac:dyDescent="0.2">
      <c r="A4" s="142"/>
      <c r="B4" s="142"/>
      <c r="C4" s="142"/>
      <c r="D4" s="175"/>
      <c r="E4" s="142"/>
      <c r="F4" s="142"/>
      <c r="G4" s="142"/>
      <c r="H4" s="169"/>
      <c r="I4" s="177"/>
      <c r="J4" s="142"/>
      <c r="K4" s="157"/>
      <c r="L4" s="171"/>
      <c r="M4" s="177"/>
      <c r="N4" s="148"/>
      <c r="O4" s="157"/>
      <c r="P4" s="171"/>
      <c r="Q4" s="177"/>
      <c r="R4" s="149"/>
      <c r="S4" s="150"/>
      <c r="T4" s="150"/>
      <c r="U4" s="171"/>
      <c r="V4" s="177"/>
      <c r="W4" s="149"/>
      <c r="X4" s="150"/>
      <c r="Y4" s="171"/>
    </row>
    <row r="5" spans="1:31" ht="25.5" x14ac:dyDescent="0.2">
      <c r="A5" s="188" t="s">
        <v>21</v>
      </c>
      <c r="B5" s="189" t="s">
        <v>113</v>
      </c>
      <c r="C5" s="190" t="s">
        <v>110</v>
      </c>
      <c r="D5" s="365" t="s">
        <v>107</v>
      </c>
      <c r="E5" s="365"/>
      <c r="F5" s="365"/>
      <c r="G5" s="365"/>
      <c r="H5" s="365"/>
      <c r="I5" s="366" t="s">
        <v>114</v>
      </c>
      <c r="J5" s="366"/>
      <c r="K5" s="366"/>
      <c r="L5" s="366"/>
      <c r="M5" s="367" t="s">
        <v>108</v>
      </c>
      <c r="N5" s="367"/>
      <c r="O5" s="367"/>
      <c r="P5" s="367"/>
      <c r="Q5" s="368" t="s">
        <v>118</v>
      </c>
      <c r="R5" s="368"/>
      <c r="S5" s="368"/>
      <c r="T5" s="368"/>
      <c r="U5" s="368"/>
      <c r="V5" s="357" t="s">
        <v>122</v>
      </c>
      <c r="W5" s="357"/>
      <c r="X5" s="357"/>
      <c r="Y5" s="357"/>
      <c r="Z5" s="199"/>
      <c r="AA5" s="200"/>
      <c r="AB5" s="200"/>
      <c r="AC5" s="200"/>
      <c r="AD5" s="200"/>
      <c r="AE5" s="200"/>
    </row>
    <row r="6" spans="1:31" ht="18" customHeight="1" x14ac:dyDescent="0.2">
      <c r="A6" s="139" t="s">
        <v>34</v>
      </c>
      <c r="B6" s="167"/>
      <c r="C6" s="137">
        <f>SUM(C7:C756)</f>
        <v>3650750</v>
      </c>
      <c r="D6" s="162" t="s">
        <v>101</v>
      </c>
      <c r="E6" s="172" t="s">
        <v>103</v>
      </c>
      <c r="F6" s="172"/>
      <c r="G6" s="162" t="s">
        <v>106</v>
      </c>
      <c r="H6" s="163" t="s">
        <v>8</v>
      </c>
      <c r="I6" s="192" t="s">
        <v>101</v>
      </c>
      <c r="J6" s="172" t="s">
        <v>103</v>
      </c>
      <c r="K6" s="192" t="s">
        <v>106</v>
      </c>
      <c r="L6" s="193" t="s">
        <v>8</v>
      </c>
      <c r="M6" s="158" t="s">
        <v>101</v>
      </c>
      <c r="N6" s="172" t="s">
        <v>103</v>
      </c>
      <c r="O6" s="158" t="s">
        <v>106</v>
      </c>
      <c r="P6" s="154" t="s">
        <v>8</v>
      </c>
      <c r="Q6" s="160" t="s">
        <v>101</v>
      </c>
      <c r="R6" s="172" t="s">
        <v>103</v>
      </c>
      <c r="S6" s="152" t="s">
        <v>106</v>
      </c>
      <c r="T6" s="152" t="s">
        <v>144</v>
      </c>
      <c r="U6" s="153" t="s">
        <v>8</v>
      </c>
      <c r="V6" s="201" t="s">
        <v>101</v>
      </c>
      <c r="W6" s="202" t="s">
        <v>103</v>
      </c>
      <c r="X6" s="202" t="s">
        <v>106</v>
      </c>
      <c r="Y6" s="203" t="s">
        <v>8</v>
      </c>
    </row>
    <row r="7" spans="1:31" ht="16.149999999999999" hidden="1" customHeight="1" x14ac:dyDescent="0.2">
      <c r="A7" s="370">
        <f>DATE(M1,L1,1)</f>
        <v>45047</v>
      </c>
      <c r="B7" s="369" t="str">
        <f>IF(WEEKDAY(A7)=1,"CN","T"&amp;WEEKDAY(A7))</f>
        <v>T2</v>
      </c>
      <c r="C7" s="180">
        <f t="shared" ref="C7:C70" si="0">SUM(D7:U7)</f>
        <v>0</v>
      </c>
      <c r="D7" s="164" t="s">
        <v>116</v>
      </c>
      <c r="E7" s="173"/>
      <c r="F7" s="173"/>
      <c r="G7" s="166"/>
      <c r="H7" s="165"/>
      <c r="I7" s="194" t="s">
        <v>116</v>
      </c>
      <c r="J7" s="173"/>
      <c r="K7" s="196"/>
      <c r="L7" s="195"/>
      <c r="M7" s="179" t="s">
        <v>116</v>
      </c>
      <c r="N7" s="173"/>
      <c r="O7" s="159"/>
      <c r="P7" s="155"/>
      <c r="Q7" s="212" t="s">
        <v>116</v>
      </c>
      <c r="R7" s="173"/>
      <c r="S7" s="213"/>
      <c r="T7" s="213"/>
      <c r="U7" s="214"/>
      <c r="V7" s="204"/>
      <c r="W7" s="173"/>
      <c r="X7" s="206"/>
      <c r="Y7" s="205"/>
    </row>
    <row r="8" spans="1:31" ht="16.149999999999999" hidden="1" customHeight="1" x14ac:dyDescent="0.2">
      <c r="A8" s="370"/>
      <c r="B8" s="369"/>
      <c r="C8" s="180">
        <f t="shared" si="0"/>
        <v>0</v>
      </c>
      <c r="D8" s="164"/>
      <c r="E8" s="173"/>
      <c r="F8" s="173"/>
      <c r="G8" s="166"/>
      <c r="H8" s="165"/>
      <c r="I8" s="194"/>
      <c r="J8" s="173"/>
      <c r="K8" s="196"/>
      <c r="L8" s="195"/>
      <c r="M8" s="179"/>
      <c r="N8" s="173"/>
      <c r="O8" s="159"/>
      <c r="P8" s="155"/>
      <c r="Q8" s="212"/>
      <c r="R8" s="173"/>
      <c r="S8" s="213"/>
      <c r="T8" s="213"/>
      <c r="U8" s="214"/>
      <c r="V8" s="204"/>
      <c r="W8" s="173"/>
      <c r="X8" s="206"/>
      <c r="Y8" s="205"/>
    </row>
    <row r="9" spans="1:31" ht="16.149999999999999" hidden="1" customHeight="1" x14ac:dyDescent="0.2">
      <c r="A9" s="370"/>
      <c r="B9" s="369"/>
      <c r="C9" s="180">
        <f t="shared" si="0"/>
        <v>0</v>
      </c>
      <c r="D9" s="164"/>
      <c r="E9" s="173"/>
      <c r="F9" s="173"/>
      <c r="G9" s="166"/>
      <c r="H9" s="165"/>
      <c r="I9" s="194"/>
      <c r="J9" s="173"/>
      <c r="K9" s="196"/>
      <c r="L9" s="195"/>
      <c r="M9" s="179"/>
      <c r="N9" s="173"/>
      <c r="O9" s="159"/>
      <c r="P9" s="155"/>
      <c r="Q9" s="212"/>
      <c r="R9" s="173"/>
      <c r="S9" s="213"/>
      <c r="T9" s="213"/>
      <c r="U9" s="214"/>
      <c r="V9" s="204"/>
      <c r="W9" s="173"/>
      <c r="X9" s="206"/>
      <c r="Y9" s="205"/>
    </row>
    <row r="10" spans="1:31" ht="16.149999999999999" hidden="1" customHeight="1" x14ac:dyDescent="0.2">
      <c r="A10" s="370"/>
      <c r="B10" s="369"/>
      <c r="C10" s="180">
        <f t="shared" si="0"/>
        <v>0</v>
      </c>
      <c r="D10" s="164"/>
      <c r="E10" s="173"/>
      <c r="F10" s="173"/>
      <c r="G10" s="166"/>
      <c r="H10" s="165"/>
      <c r="I10" s="194"/>
      <c r="J10" s="173"/>
      <c r="K10" s="196"/>
      <c r="L10" s="195"/>
      <c r="M10" s="179"/>
      <c r="N10" s="173"/>
      <c r="O10" s="159"/>
      <c r="P10" s="155"/>
      <c r="Q10" s="212"/>
      <c r="R10" s="173"/>
      <c r="S10" s="213"/>
      <c r="T10" s="213"/>
      <c r="U10" s="214"/>
      <c r="V10" s="204"/>
      <c r="W10" s="173"/>
      <c r="X10" s="206"/>
      <c r="Y10" s="205"/>
    </row>
    <row r="11" spans="1:31" ht="16.149999999999999" hidden="1" customHeight="1" x14ac:dyDescent="0.2">
      <c r="A11" s="370">
        <f>A7+1</f>
        <v>45048</v>
      </c>
      <c r="B11" s="369" t="str">
        <f>IF(WEEKDAY(A11)=1,"CN","T"&amp;WEEKDAY(A11))</f>
        <v>T3</v>
      </c>
      <c r="C11" s="180">
        <f t="shared" si="0"/>
        <v>76000</v>
      </c>
      <c r="D11" s="164" t="s">
        <v>104</v>
      </c>
      <c r="E11" s="173"/>
      <c r="F11" s="173"/>
      <c r="G11" s="166" t="s">
        <v>99</v>
      </c>
      <c r="H11" s="165">
        <v>11000</v>
      </c>
      <c r="I11" s="194" t="s">
        <v>129</v>
      </c>
      <c r="J11" s="173"/>
      <c r="K11" s="196"/>
      <c r="L11" s="195"/>
      <c r="M11" s="179" t="s">
        <v>115</v>
      </c>
      <c r="N11" s="173" t="s">
        <v>126</v>
      </c>
      <c r="O11" s="159" t="s">
        <v>99</v>
      </c>
      <c r="P11" s="155">
        <v>35000</v>
      </c>
      <c r="Q11" s="212" t="s">
        <v>131</v>
      </c>
      <c r="R11" s="173"/>
      <c r="S11" s="213" t="s">
        <v>99</v>
      </c>
      <c r="T11" s="213"/>
      <c r="U11" s="214">
        <v>30000</v>
      </c>
      <c r="V11" s="204"/>
      <c r="W11" s="173"/>
      <c r="X11" s="206"/>
      <c r="Y11" s="205"/>
    </row>
    <row r="12" spans="1:31" ht="16.149999999999999" hidden="1" customHeight="1" x14ac:dyDescent="0.2">
      <c r="A12" s="370"/>
      <c r="B12" s="369"/>
      <c r="C12" s="180">
        <f t="shared" si="0"/>
        <v>32000</v>
      </c>
      <c r="D12" s="164" t="s">
        <v>115</v>
      </c>
      <c r="E12" s="173" t="s">
        <v>126</v>
      </c>
      <c r="F12" s="173"/>
      <c r="G12" s="166" t="s">
        <v>99</v>
      </c>
      <c r="H12" s="165">
        <v>25000</v>
      </c>
      <c r="I12" s="194"/>
      <c r="J12" s="173"/>
      <c r="K12" s="196"/>
      <c r="L12" s="195"/>
      <c r="M12" s="179"/>
      <c r="N12" s="173"/>
      <c r="O12" s="159"/>
      <c r="P12" s="155"/>
      <c r="Q12" s="212" t="s">
        <v>131</v>
      </c>
      <c r="R12" s="173"/>
      <c r="S12" s="213" t="s">
        <v>99</v>
      </c>
      <c r="T12" s="213"/>
      <c r="U12" s="214">
        <v>7000</v>
      </c>
      <c r="V12" s="204"/>
      <c r="W12" s="173"/>
      <c r="X12" s="206"/>
      <c r="Y12" s="205"/>
    </row>
    <row r="13" spans="1:31" ht="16.149999999999999" hidden="1" customHeight="1" x14ac:dyDescent="0.2">
      <c r="A13" s="370"/>
      <c r="B13" s="369"/>
      <c r="C13" s="180">
        <f t="shared" si="0"/>
        <v>0</v>
      </c>
      <c r="D13" s="164"/>
      <c r="E13" s="173"/>
      <c r="F13" s="173"/>
      <c r="G13" s="166"/>
      <c r="H13" s="165"/>
      <c r="I13" s="194"/>
      <c r="J13" s="173"/>
      <c r="K13" s="196"/>
      <c r="L13" s="195"/>
      <c r="M13" s="179"/>
      <c r="N13" s="173"/>
      <c r="O13" s="159"/>
      <c r="P13" s="155"/>
      <c r="Q13" s="212"/>
      <c r="R13" s="173"/>
      <c r="S13" s="213"/>
      <c r="T13" s="213"/>
      <c r="U13" s="214"/>
      <c r="V13" s="204"/>
      <c r="W13" s="173"/>
      <c r="X13" s="206"/>
      <c r="Y13" s="205"/>
    </row>
    <row r="14" spans="1:31" ht="16.149999999999999" hidden="1" customHeight="1" x14ac:dyDescent="0.2">
      <c r="A14" s="370"/>
      <c r="B14" s="369"/>
      <c r="C14" s="180">
        <f t="shared" si="0"/>
        <v>0</v>
      </c>
      <c r="D14" s="164"/>
      <c r="E14" s="173"/>
      <c r="F14" s="173"/>
      <c r="G14" s="166"/>
      <c r="H14" s="165"/>
      <c r="I14" s="194"/>
      <c r="J14" s="173"/>
      <c r="K14" s="196"/>
      <c r="L14" s="195"/>
      <c r="M14" s="179"/>
      <c r="N14" s="173"/>
      <c r="O14" s="159"/>
      <c r="P14" s="155"/>
      <c r="Q14" s="212"/>
      <c r="R14" s="173"/>
      <c r="S14" s="213"/>
      <c r="T14" s="213"/>
      <c r="U14" s="214"/>
      <c r="V14" s="204"/>
      <c r="W14" s="173"/>
      <c r="X14" s="206"/>
      <c r="Y14" s="205"/>
    </row>
    <row r="15" spans="1:31" ht="16.149999999999999" hidden="1" customHeight="1" x14ac:dyDescent="0.2">
      <c r="A15" s="370">
        <f>A11+1</f>
        <v>45049</v>
      </c>
      <c r="B15" s="369" t="str">
        <f>IF(WEEKDAY(A15)=1,"CN","T"&amp;WEEKDAY(A15))</f>
        <v>T4</v>
      </c>
      <c r="C15" s="180">
        <f t="shared" si="0"/>
        <v>108000</v>
      </c>
      <c r="D15" s="164" t="s">
        <v>115</v>
      </c>
      <c r="E15" s="173" t="s">
        <v>126</v>
      </c>
      <c r="F15" s="173"/>
      <c r="G15" s="166" t="s">
        <v>99</v>
      </c>
      <c r="H15" s="165">
        <v>28000</v>
      </c>
      <c r="I15" s="194" t="s">
        <v>130</v>
      </c>
      <c r="J15" s="173"/>
      <c r="K15" s="196"/>
      <c r="L15" s="195"/>
      <c r="M15" s="179" t="s">
        <v>115</v>
      </c>
      <c r="N15" s="173" t="s">
        <v>126</v>
      </c>
      <c r="O15" s="159" t="s">
        <v>99</v>
      </c>
      <c r="P15" s="155">
        <v>40000</v>
      </c>
      <c r="Q15" s="212" t="s">
        <v>131</v>
      </c>
      <c r="R15" s="173"/>
      <c r="S15" s="213" t="s">
        <v>99</v>
      </c>
      <c r="T15" s="213"/>
      <c r="U15" s="214">
        <v>40000</v>
      </c>
      <c r="V15" s="204"/>
      <c r="W15" s="173"/>
      <c r="X15" s="206"/>
      <c r="Y15" s="205"/>
    </row>
    <row r="16" spans="1:31" ht="16.149999999999999" hidden="1" customHeight="1" x14ac:dyDescent="0.2">
      <c r="A16" s="370"/>
      <c r="B16" s="369"/>
      <c r="C16" s="180">
        <f t="shared" si="0"/>
        <v>12000</v>
      </c>
      <c r="D16" s="164" t="s">
        <v>117</v>
      </c>
      <c r="E16" s="173"/>
      <c r="F16" s="173"/>
      <c r="G16" s="166" t="s">
        <v>99</v>
      </c>
      <c r="H16" s="165">
        <v>12000</v>
      </c>
      <c r="I16" s="194"/>
      <c r="J16" s="173"/>
      <c r="K16" s="196"/>
      <c r="L16" s="195"/>
      <c r="M16" s="179"/>
      <c r="N16" s="173"/>
      <c r="O16" s="159"/>
      <c r="P16" s="155"/>
      <c r="Q16" s="212"/>
      <c r="R16" s="173"/>
      <c r="S16" s="213"/>
      <c r="T16" s="213"/>
      <c r="U16" s="214"/>
      <c r="V16" s="204"/>
      <c r="W16" s="173"/>
      <c r="X16" s="206"/>
      <c r="Y16" s="205"/>
    </row>
    <row r="17" spans="1:25" ht="16.149999999999999" hidden="1" customHeight="1" x14ac:dyDescent="0.2">
      <c r="A17" s="370"/>
      <c r="B17" s="369"/>
      <c r="C17" s="180">
        <f t="shared" si="0"/>
        <v>0</v>
      </c>
      <c r="D17" s="164"/>
      <c r="E17" s="173"/>
      <c r="F17" s="173"/>
      <c r="G17" s="166"/>
      <c r="H17" s="165"/>
      <c r="I17" s="194"/>
      <c r="J17" s="173"/>
      <c r="K17" s="196"/>
      <c r="L17" s="195"/>
      <c r="M17" s="179"/>
      <c r="N17" s="173"/>
      <c r="O17" s="159"/>
      <c r="P17" s="155"/>
      <c r="Q17" s="212"/>
      <c r="R17" s="173"/>
      <c r="S17" s="213"/>
      <c r="T17" s="213"/>
      <c r="U17" s="214"/>
      <c r="V17" s="204"/>
      <c r="W17" s="173"/>
      <c r="X17" s="206"/>
      <c r="Y17" s="205"/>
    </row>
    <row r="18" spans="1:25" ht="16.149999999999999" hidden="1" customHeight="1" x14ac:dyDescent="0.2">
      <c r="A18" s="370"/>
      <c r="B18" s="369"/>
      <c r="C18" s="180">
        <f t="shared" si="0"/>
        <v>0</v>
      </c>
      <c r="D18" s="164"/>
      <c r="E18" s="173"/>
      <c r="F18" s="173"/>
      <c r="G18" s="166"/>
      <c r="H18" s="165"/>
      <c r="I18" s="194"/>
      <c r="J18" s="173"/>
      <c r="K18" s="196"/>
      <c r="L18" s="195"/>
      <c r="M18" s="179"/>
      <c r="N18" s="173"/>
      <c r="O18" s="159"/>
      <c r="P18" s="155"/>
      <c r="Q18" s="212"/>
      <c r="R18" s="173"/>
      <c r="S18" s="213"/>
      <c r="T18" s="213"/>
      <c r="U18" s="214"/>
      <c r="V18" s="204"/>
      <c r="W18" s="173"/>
      <c r="X18" s="206"/>
      <c r="Y18" s="205"/>
    </row>
    <row r="19" spans="1:25" ht="16.149999999999999" hidden="1" customHeight="1" x14ac:dyDescent="0.2">
      <c r="A19" s="370">
        <f>A15+1</f>
        <v>45050</v>
      </c>
      <c r="B19" s="369" t="str">
        <f>IF(WEEKDAY(A19)=1,"CN","T"&amp;WEEKDAY(A19))</f>
        <v>T5</v>
      </c>
      <c r="C19" s="180">
        <f t="shared" si="0"/>
        <v>31000</v>
      </c>
      <c r="D19" s="164" t="s">
        <v>117</v>
      </c>
      <c r="E19" s="173"/>
      <c r="F19" s="173"/>
      <c r="G19" s="166" t="s">
        <v>99</v>
      </c>
      <c r="H19" s="165">
        <v>20000</v>
      </c>
      <c r="I19" s="194" t="s">
        <v>130</v>
      </c>
      <c r="J19" s="173"/>
      <c r="K19" s="196"/>
      <c r="L19" s="195"/>
      <c r="M19" s="179" t="s">
        <v>115</v>
      </c>
      <c r="N19" s="173" t="s">
        <v>126</v>
      </c>
      <c r="O19" s="159" t="s">
        <v>99</v>
      </c>
      <c r="P19" s="155">
        <v>3000</v>
      </c>
      <c r="Q19" s="212" t="s">
        <v>131</v>
      </c>
      <c r="R19" s="173"/>
      <c r="S19" s="213" t="s">
        <v>99</v>
      </c>
      <c r="T19" s="213"/>
      <c r="U19" s="214">
        <v>8000</v>
      </c>
      <c r="V19" s="204"/>
      <c r="W19" s="173"/>
      <c r="X19" s="206"/>
      <c r="Y19" s="205"/>
    </row>
    <row r="20" spans="1:25" ht="16.149999999999999" hidden="1" customHeight="1" x14ac:dyDescent="0.2">
      <c r="A20" s="370"/>
      <c r="B20" s="369"/>
      <c r="C20" s="180">
        <f t="shared" si="0"/>
        <v>56000</v>
      </c>
      <c r="D20" s="164" t="s">
        <v>123</v>
      </c>
      <c r="E20" s="173" t="s">
        <v>120</v>
      </c>
      <c r="F20" s="173"/>
      <c r="G20" s="166" t="s">
        <v>97</v>
      </c>
      <c r="H20" s="165">
        <v>20000</v>
      </c>
      <c r="I20" s="194"/>
      <c r="J20" s="173"/>
      <c r="K20" s="196"/>
      <c r="L20" s="195"/>
      <c r="M20" s="179" t="s">
        <v>117</v>
      </c>
      <c r="N20" s="173"/>
      <c r="O20" s="159" t="s">
        <v>99</v>
      </c>
      <c r="P20" s="155">
        <v>23000</v>
      </c>
      <c r="Q20" s="212" t="s">
        <v>104</v>
      </c>
      <c r="R20" s="173"/>
      <c r="S20" s="213" t="s">
        <v>99</v>
      </c>
      <c r="T20" s="213"/>
      <c r="U20" s="214">
        <v>13000</v>
      </c>
      <c r="V20" s="204"/>
      <c r="W20" s="173"/>
      <c r="X20" s="206"/>
      <c r="Y20" s="205"/>
    </row>
    <row r="21" spans="1:25" ht="16.149999999999999" hidden="1" customHeight="1" x14ac:dyDescent="0.2">
      <c r="A21" s="370"/>
      <c r="B21" s="369"/>
      <c r="C21" s="180">
        <f t="shared" si="0"/>
        <v>24000</v>
      </c>
      <c r="D21" s="164"/>
      <c r="E21" s="173"/>
      <c r="F21" s="173"/>
      <c r="G21" s="166"/>
      <c r="H21" s="165"/>
      <c r="I21" s="194"/>
      <c r="J21" s="173"/>
      <c r="K21" s="196"/>
      <c r="L21" s="195"/>
      <c r="M21" s="179" t="s">
        <v>105</v>
      </c>
      <c r="N21" s="173"/>
      <c r="O21" s="159" t="s">
        <v>97</v>
      </c>
      <c r="P21" s="155">
        <v>5000</v>
      </c>
      <c r="Q21" s="212" t="s">
        <v>117</v>
      </c>
      <c r="R21" s="173"/>
      <c r="S21" s="213" t="s">
        <v>97</v>
      </c>
      <c r="T21" s="213"/>
      <c r="U21" s="214">
        <v>19000</v>
      </c>
      <c r="V21" s="204"/>
      <c r="W21" s="173"/>
      <c r="X21" s="206"/>
      <c r="Y21" s="205"/>
    </row>
    <row r="22" spans="1:25" ht="16.149999999999999" hidden="1" customHeight="1" x14ac:dyDescent="0.2">
      <c r="A22" s="370"/>
      <c r="B22" s="369"/>
      <c r="C22" s="180">
        <f t="shared" si="0"/>
        <v>8000</v>
      </c>
      <c r="D22" s="164"/>
      <c r="E22" s="173"/>
      <c r="F22" s="173"/>
      <c r="G22" s="166"/>
      <c r="H22" s="165"/>
      <c r="I22" s="194"/>
      <c r="J22" s="173"/>
      <c r="K22" s="196"/>
      <c r="L22" s="195"/>
      <c r="M22" s="179" t="s">
        <v>119</v>
      </c>
      <c r="N22" s="173"/>
      <c r="O22" s="159" t="s">
        <v>97</v>
      </c>
      <c r="P22" s="155">
        <v>8000</v>
      </c>
      <c r="Q22" s="212"/>
      <c r="R22" s="173"/>
      <c r="S22" s="213"/>
      <c r="T22" s="213"/>
      <c r="U22" s="214"/>
      <c r="V22" s="204"/>
      <c r="W22" s="173"/>
      <c r="X22" s="206"/>
      <c r="Y22" s="205"/>
    </row>
    <row r="23" spans="1:25" ht="16.149999999999999" hidden="1" customHeight="1" x14ac:dyDescent="0.2">
      <c r="A23" s="370">
        <f>A19+1</f>
        <v>45051</v>
      </c>
      <c r="B23" s="369" t="str">
        <f>IF(WEEKDAY(A23)=1,"CN","T"&amp;WEEKDAY(A23))</f>
        <v>T6</v>
      </c>
      <c r="C23" s="180">
        <f t="shared" si="0"/>
        <v>60000</v>
      </c>
      <c r="D23" s="164"/>
      <c r="E23" s="173"/>
      <c r="F23" s="173"/>
      <c r="G23" s="166"/>
      <c r="H23" s="165"/>
      <c r="I23" s="194" t="s">
        <v>130</v>
      </c>
      <c r="J23" s="173"/>
      <c r="K23" s="196"/>
      <c r="L23" s="195"/>
      <c r="M23" s="179" t="s">
        <v>123</v>
      </c>
      <c r="N23" s="173" t="s">
        <v>120</v>
      </c>
      <c r="O23" s="159" t="s">
        <v>97</v>
      </c>
      <c r="P23" s="155">
        <v>20000</v>
      </c>
      <c r="Q23" s="212" t="s">
        <v>117</v>
      </c>
      <c r="R23" s="173"/>
      <c r="S23" s="213" t="s">
        <v>99</v>
      </c>
      <c r="T23" s="213"/>
      <c r="U23" s="214">
        <v>40000</v>
      </c>
      <c r="V23" s="204"/>
      <c r="W23" s="173"/>
      <c r="X23" s="206"/>
      <c r="Y23" s="205"/>
    </row>
    <row r="24" spans="1:25" ht="16.149999999999999" hidden="1" customHeight="1" x14ac:dyDescent="0.2">
      <c r="A24" s="370"/>
      <c r="B24" s="369"/>
      <c r="C24" s="180">
        <f t="shared" si="0"/>
        <v>63000</v>
      </c>
      <c r="D24" s="164" t="s">
        <v>123</v>
      </c>
      <c r="E24" s="173" t="s">
        <v>120</v>
      </c>
      <c r="F24" s="173"/>
      <c r="G24" s="166" t="s">
        <v>97</v>
      </c>
      <c r="H24" s="165">
        <v>40000</v>
      </c>
      <c r="I24" s="194"/>
      <c r="J24" s="173"/>
      <c r="K24" s="196"/>
      <c r="L24" s="195"/>
      <c r="M24" s="179" t="s">
        <v>124</v>
      </c>
      <c r="N24" s="173" t="s">
        <v>132</v>
      </c>
      <c r="O24" s="159" t="s">
        <v>99</v>
      </c>
      <c r="P24" s="155">
        <v>23000</v>
      </c>
      <c r="Q24" s="212"/>
      <c r="R24" s="173"/>
      <c r="S24" s="213"/>
      <c r="T24" s="213"/>
      <c r="U24" s="214"/>
      <c r="V24" s="204"/>
      <c r="W24" s="173"/>
      <c r="X24" s="206"/>
      <c r="Y24" s="205"/>
    </row>
    <row r="25" spans="1:25" ht="16.149999999999999" hidden="1" customHeight="1" x14ac:dyDescent="0.2">
      <c r="A25" s="370"/>
      <c r="B25" s="369"/>
      <c r="C25" s="180">
        <f t="shared" si="0"/>
        <v>0</v>
      </c>
      <c r="D25" s="164"/>
      <c r="E25" s="173"/>
      <c r="F25" s="173"/>
      <c r="G25" s="166"/>
      <c r="H25" s="165"/>
      <c r="I25" s="194"/>
      <c r="J25" s="173"/>
      <c r="K25" s="196"/>
      <c r="L25" s="195"/>
      <c r="M25" s="179"/>
      <c r="N25" s="173"/>
      <c r="O25" s="159"/>
      <c r="P25" s="155"/>
      <c r="Q25" s="212"/>
      <c r="R25" s="173"/>
      <c r="S25" s="213"/>
      <c r="T25" s="213"/>
      <c r="U25" s="214"/>
      <c r="V25" s="204"/>
      <c r="W25" s="173"/>
      <c r="X25" s="206"/>
      <c r="Y25" s="205"/>
    </row>
    <row r="26" spans="1:25" ht="16.149999999999999" hidden="1" customHeight="1" x14ac:dyDescent="0.2">
      <c r="A26" s="370"/>
      <c r="B26" s="369"/>
      <c r="C26" s="180">
        <f t="shared" si="0"/>
        <v>0</v>
      </c>
      <c r="D26" s="164"/>
      <c r="E26" s="173"/>
      <c r="F26" s="173"/>
      <c r="G26" s="166"/>
      <c r="H26" s="165"/>
      <c r="I26" s="194"/>
      <c r="J26" s="173"/>
      <c r="K26" s="196"/>
      <c r="L26" s="195"/>
      <c r="M26" s="179"/>
      <c r="N26" s="173"/>
      <c r="O26" s="159"/>
      <c r="P26" s="155"/>
      <c r="Q26" s="212"/>
      <c r="R26" s="173"/>
      <c r="S26" s="213"/>
      <c r="T26" s="213"/>
      <c r="U26" s="214"/>
      <c r="V26" s="204"/>
      <c r="W26" s="173"/>
      <c r="X26" s="206"/>
      <c r="Y26" s="205"/>
    </row>
    <row r="27" spans="1:25" ht="16.149999999999999" hidden="1" customHeight="1" x14ac:dyDescent="0.2">
      <c r="A27" s="370">
        <f>A23+1</f>
        <v>45052</v>
      </c>
      <c r="B27" s="369" t="str">
        <f>IF(WEEKDAY(A27)=1,"CN","T"&amp;WEEKDAY(A27))</f>
        <v>T7</v>
      </c>
      <c r="C27" s="180">
        <f t="shared" si="0"/>
        <v>44000</v>
      </c>
      <c r="D27" s="164" t="s">
        <v>123</v>
      </c>
      <c r="E27" s="173" t="s">
        <v>120</v>
      </c>
      <c r="F27" s="173"/>
      <c r="G27" s="166" t="s">
        <v>97</v>
      </c>
      <c r="H27" s="165">
        <v>20000</v>
      </c>
      <c r="I27" s="194" t="s">
        <v>130</v>
      </c>
      <c r="J27" s="173"/>
      <c r="K27" s="196"/>
      <c r="L27" s="195"/>
      <c r="M27" s="179" t="s">
        <v>124</v>
      </c>
      <c r="N27" s="173" t="s">
        <v>132</v>
      </c>
      <c r="O27" s="159" t="s">
        <v>99</v>
      </c>
      <c r="P27" s="155">
        <v>4000</v>
      </c>
      <c r="Q27" s="212" t="s">
        <v>117</v>
      </c>
      <c r="R27" s="173"/>
      <c r="S27" s="213" t="s">
        <v>99</v>
      </c>
      <c r="T27" s="213"/>
      <c r="U27" s="214">
        <v>20000</v>
      </c>
      <c r="V27" s="204"/>
      <c r="W27" s="173"/>
      <c r="X27" s="206"/>
      <c r="Y27" s="205"/>
    </row>
    <row r="28" spans="1:25" ht="16.149999999999999" hidden="1" customHeight="1" x14ac:dyDescent="0.2">
      <c r="A28" s="370"/>
      <c r="B28" s="369"/>
      <c r="C28" s="180">
        <f t="shared" si="0"/>
        <v>67000</v>
      </c>
      <c r="D28" s="164" t="s">
        <v>115</v>
      </c>
      <c r="E28" s="173" t="s">
        <v>126</v>
      </c>
      <c r="F28" s="173"/>
      <c r="G28" s="166" t="s">
        <v>99</v>
      </c>
      <c r="H28" s="165">
        <v>20000</v>
      </c>
      <c r="I28" s="194"/>
      <c r="J28" s="173"/>
      <c r="K28" s="196"/>
      <c r="L28" s="195"/>
      <c r="M28" s="179" t="s">
        <v>124</v>
      </c>
      <c r="N28" s="173" t="s">
        <v>133</v>
      </c>
      <c r="O28" s="159" t="s">
        <v>99</v>
      </c>
      <c r="P28" s="155">
        <v>27000</v>
      </c>
      <c r="Q28" s="212" t="s">
        <v>115</v>
      </c>
      <c r="R28" s="173" t="s">
        <v>126</v>
      </c>
      <c r="S28" s="213" t="s">
        <v>99</v>
      </c>
      <c r="T28" s="213"/>
      <c r="U28" s="214">
        <v>20000</v>
      </c>
      <c r="V28" s="204"/>
      <c r="W28" s="173"/>
      <c r="X28" s="206"/>
      <c r="Y28" s="205"/>
    </row>
    <row r="29" spans="1:25" ht="16.149999999999999" hidden="1" customHeight="1" x14ac:dyDescent="0.2">
      <c r="A29" s="370"/>
      <c r="B29" s="369"/>
      <c r="C29" s="180">
        <f t="shared" si="0"/>
        <v>9000</v>
      </c>
      <c r="D29" s="164"/>
      <c r="E29" s="173"/>
      <c r="F29" s="173"/>
      <c r="G29" s="166"/>
      <c r="H29" s="165"/>
      <c r="I29" s="194"/>
      <c r="J29" s="173"/>
      <c r="K29" s="196"/>
      <c r="L29" s="195"/>
      <c r="M29" s="179" t="s">
        <v>115</v>
      </c>
      <c r="N29" s="173" t="s">
        <v>127</v>
      </c>
      <c r="O29" s="159" t="s">
        <v>99</v>
      </c>
      <c r="P29" s="155">
        <v>9000</v>
      </c>
      <c r="Q29" s="212"/>
      <c r="R29" s="173"/>
      <c r="S29" s="213"/>
      <c r="T29" s="213"/>
      <c r="U29" s="214"/>
      <c r="V29" s="204"/>
      <c r="W29" s="173"/>
      <c r="X29" s="206"/>
      <c r="Y29" s="205"/>
    </row>
    <row r="30" spans="1:25" ht="16.149999999999999" hidden="1" customHeight="1" x14ac:dyDescent="0.2">
      <c r="A30" s="370"/>
      <c r="B30" s="369"/>
      <c r="C30" s="180">
        <f t="shared" si="0"/>
        <v>0</v>
      </c>
      <c r="D30" s="164"/>
      <c r="E30" s="173"/>
      <c r="F30" s="173"/>
      <c r="G30" s="166"/>
      <c r="H30" s="165"/>
      <c r="I30" s="194"/>
      <c r="J30" s="173"/>
      <c r="K30" s="196"/>
      <c r="L30" s="195"/>
      <c r="M30" s="179"/>
      <c r="N30" s="173"/>
      <c r="O30" s="159"/>
      <c r="P30" s="155"/>
      <c r="Q30" s="212"/>
      <c r="R30" s="173"/>
      <c r="S30" s="213"/>
      <c r="T30" s="213"/>
      <c r="U30" s="214"/>
      <c r="V30" s="204"/>
      <c r="W30" s="173"/>
      <c r="X30" s="206"/>
      <c r="Y30" s="205"/>
    </row>
    <row r="31" spans="1:25" ht="16.149999999999999" hidden="1" customHeight="1" x14ac:dyDescent="0.2">
      <c r="A31" s="370">
        <f>A27+1</f>
        <v>45053</v>
      </c>
      <c r="B31" s="369" t="str">
        <f>IF(WEEKDAY(A31)=1,"CN","T"&amp;WEEKDAY(A31))</f>
        <v>CN</v>
      </c>
      <c r="C31" s="180">
        <f t="shared" si="0"/>
        <v>78000</v>
      </c>
      <c r="D31" s="164" t="s">
        <v>125</v>
      </c>
      <c r="E31" s="173" t="s">
        <v>135</v>
      </c>
      <c r="F31" s="173"/>
      <c r="G31" s="166" t="s">
        <v>99</v>
      </c>
      <c r="H31" s="165">
        <v>38000</v>
      </c>
      <c r="I31" s="194"/>
      <c r="J31" s="173"/>
      <c r="K31" s="196"/>
      <c r="L31" s="195"/>
      <c r="M31" s="179" t="s">
        <v>115</v>
      </c>
      <c r="N31" s="173" t="s">
        <v>127</v>
      </c>
      <c r="O31" s="159" t="s">
        <v>99</v>
      </c>
      <c r="P31" s="155">
        <v>40000</v>
      </c>
      <c r="Q31" s="212"/>
      <c r="R31" s="173"/>
      <c r="S31" s="213"/>
      <c r="T31" s="213"/>
      <c r="U31" s="214"/>
      <c r="V31" s="204"/>
      <c r="W31" s="173"/>
      <c r="X31" s="206"/>
      <c r="Y31" s="205"/>
    </row>
    <row r="32" spans="1:25" ht="16.149999999999999" hidden="1" customHeight="1" x14ac:dyDescent="0.2">
      <c r="A32" s="370"/>
      <c r="B32" s="369"/>
      <c r="C32" s="180">
        <f t="shared" si="0"/>
        <v>0</v>
      </c>
      <c r="D32" s="164"/>
      <c r="E32" s="173"/>
      <c r="F32" s="173"/>
      <c r="G32" s="166"/>
      <c r="H32" s="165"/>
      <c r="I32" s="194"/>
      <c r="J32" s="173"/>
      <c r="K32" s="196"/>
      <c r="L32" s="195"/>
      <c r="M32" s="179"/>
      <c r="N32" s="173"/>
      <c r="O32" s="159"/>
      <c r="P32" s="155"/>
      <c r="Q32" s="212"/>
      <c r="R32" s="173"/>
      <c r="S32" s="213"/>
      <c r="T32" s="213"/>
      <c r="U32" s="214"/>
      <c r="V32" s="204"/>
      <c r="W32" s="173"/>
      <c r="X32" s="206"/>
      <c r="Y32" s="205"/>
    </row>
    <row r="33" spans="1:25" ht="16.149999999999999" hidden="1" customHeight="1" x14ac:dyDescent="0.2">
      <c r="A33" s="370"/>
      <c r="B33" s="369"/>
      <c r="C33" s="180">
        <f t="shared" si="0"/>
        <v>0</v>
      </c>
      <c r="D33" s="164"/>
      <c r="E33" s="173"/>
      <c r="F33" s="173"/>
      <c r="G33" s="166"/>
      <c r="H33" s="165"/>
      <c r="I33" s="194"/>
      <c r="J33" s="173"/>
      <c r="K33" s="196"/>
      <c r="L33" s="195"/>
      <c r="M33" s="179"/>
      <c r="N33" s="173"/>
      <c r="O33" s="159"/>
      <c r="P33" s="155"/>
      <c r="Q33" s="212"/>
      <c r="R33" s="173"/>
      <c r="S33" s="213"/>
      <c r="T33" s="213"/>
      <c r="U33" s="214"/>
      <c r="V33" s="204"/>
      <c r="W33" s="173"/>
      <c r="X33" s="206"/>
      <c r="Y33" s="205"/>
    </row>
    <row r="34" spans="1:25" ht="16.149999999999999" hidden="1" customHeight="1" x14ac:dyDescent="0.2">
      <c r="A34" s="370"/>
      <c r="B34" s="369"/>
      <c r="C34" s="180">
        <f t="shared" si="0"/>
        <v>0</v>
      </c>
      <c r="D34" s="164"/>
      <c r="E34" s="173"/>
      <c r="F34" s="173"/>
      <c r="G34" s="166"/>
      <c r="H34" s="165"/>
      <c r="I34" s="194"/>
      <c r="J34" s="173"/>
      <c r="K34" s="196"/>
      <c r="L34" s="195"/>
      <c r="M34" s="179"/>
      <c r="N34" s="173"/>
      <c r="O34" s="159"/>
      <c r="P34" s="155"/>
      <c r="Q34" s="212"/>
      <c r="R34" s="173"/>
      <c r="S34" s="213"/>
      <c r="T34" s="213"/>
      <c r="U34" s="214"/>
      <c r="V34" s="204"/>
      <c r="W34" s="173"/>
      <c r="X34" s="206"/>
      <c r="Y34" s="205"/>
    </row>
    <row r="35" spans="1:25" ht="16.149999999999999" hidden="1" customHeight="1" x14ac:dyDescent="0.2">
      <c r="A35" s="370">
        <f>A31+1</f>
        <v>45054</v>
      </c>
      <c r="B35" s="369" t="str">
        <f>IF(WEEKDAY(A35)=1,"CN","T"&amp;WEEKDAY(A35))</f>
        <v>T2</v>
      </c>
      <c r="C35" s="180">
        <f t="shared" si="0"/>
        <v>78000</v>
      </c>
      <c r="D35" s="164" t="s">
        <v>115</v>
      </c>
      <c r="E35" s="173" t="s">
        <v>127</v>
      </c>
      <c r="F35" s="173"/>
      <c r="G35" s="166" t="s">
        <v>99</v>
      </c>
      <c r="H35" s="165">
        <v>38000</v>
      </c>
      <c r="I35" s="194"/>
      <c r="J35" s="173"/>
      <c r="K35" s="196"/>
      <c r="L35" s="195"/>
      <c r="M35" s="179" t="s">
        <v>115</v>
      </c>
      <c r="N35" s="173" t="s">
        <v>127</v>
      </c>
      <c r="O35" s="159"/>
      <c r="P35" s="155">
        <v>40000</v>
      </c>
      <c r="Q35" s="212"/>
      <c r="R35" s="173"/>
      <c r="S35" s="213"/>
      <c r="T35" s="213"/>
      <c r="U35" s="214"/>
      <c r="V35" s="204"/>
      <c r="W35" s="173"/>
      <c r="X35" s="206"/>
      <c r="Y35" s="205"/>
    </row>
    <row r="36" spans="1:25" ht="16.149999999999999" hidden="1" customHeight="1" x14ac:dyDescent="0.2">
      <c r="A36" s="370"/>
      <c r="B36" s="369"/>
      <c r="C36" s="180">
        <f t="shared" si="0"/>
        <v>0</v>
      </c>
      <c r="D36" s="164"/>
      <c r="E36" s="173"/>
      <c r="F36" s="173"/>
      <c r="G36" s="166"/>
      <c r="H36" s="165"/>
      <c r="I36" s="194"/>
      <c r="J36" s="173"/>
      <c r="K36" s="196"/>
      <c r="L36" s="195"/>
      <c r="M36" s="179"/>
      <c r="N36" s="173"/>
      <c r="O36" s="159"/>
      <c r="P36" s="155"/>
      <c r="Q36" s="212"/>
      <c r="R36" s="173"/>
      <c r="S36" s="213"/>
      <c r="T36" s="213"/>
      <c r="U36" s="214"/>
      <c r="V36" s="204"/>
      <c r="W36" s="173"/>
      <c r="X36" s="206"/>
      <c r="Y36" s="205"/>
    </row>
    <row r="37" spans="1:25" ht="16.149999999999999" hidden="1" customHeight="1" x14ac:dyDescent="0.2">
      <c r="A37" s="370"/>
      <c r="B37" s="369"/>
      <c r="C37" s="180">
        <f t="shared" si="0"/>
        <v>0</v>
      </c>
      <c r="D37" s="164"/>
      <c r="E37" s="173"/>
      <c r="F37" s="173"/>
      <c r="G37" s="166"/>
      <c r="H37" s="165"/>
      <c r="I37" s="194"/>
      <c r="J37" s="173"/>
      <c r="K37" s="196"/>
      <c r="L37" s="195"/>
      <c r="M37" s="179"/>
      <c r="N37" s="173"/>
      <c r="O37" s="159"/>
      <c r="P37" s="155"/>
      <c r="Q37" s="212"/>
      <c r="R37" s="173"/>
      <c r="S37" s="213"/>
      <c r="T37" s="213"/>
      <c r="U37" s="214"/>
      <c r="V37" s="204"/>
      <c r="W37" s="173"/>
      <c r="X37" s="206"/>
      <c r="Y37" s="205"/>
    </row>
    <row r="38" spans="1:25" ht="16.149999999999999" hidden="1" customHeight="1" x14ac:dyDescent="0.2">
      <c r="A38" s="370"/>
      <c r="B38" s="369"/>
      <c r="C38" s="180">
        <f t="shared" si="0"/>
        <v>0</v>
      </c>
      <c r="D38" s="164"/>
      <c r="E38" s="173"/>
      <c r="F38" s="173"/>
      <c r="G38" s="166"/>
      <c r="H38" s="165"/>
      <c r="I38" s="194"/>
      <c r="J38" s="173"/>
      <c r="K38" s="196"/>
      <c r="L38" s="195"/>
      <c r="M38" s="179"/>
      <c r="N38" s="173"/>
      <c r="O38" s="159"/>
      <c r="P38" s="155"/>
      <c r="Q38" s="212"/>
      <c r="R38" s="173"/>
      <c r="S38" s="213"/>
      <c r="T38" s="213"/>
      <c r="U38" s="214"/>
      <c r="V38" s="204"/>
      <c r="W38" s="173"/>
      <c r="X38" s="206"/>
      <c r="Y38" s="205"/>
    </row>
    <row r="39" spans="1:25" hidden="1" x14ac:dyDescent="0.2">
      <c r="A39" s="370">
        <f>A35+1</f>
        <v>45055</v>
      </c>
      <c r="B39" s="369" t="str">
        <f>IF(WEEKDAY(A39)=1,"CN","T"&amp;WEEKDAY(A39))</f>
        <v>T3</v>
      </c>
      <c r="C39" s="180">
        <f t="shared" si="0"/>
        <v>40000</v>
      </c>
      <c r="D39" s="164" t="s">
        <v>115</v>
      </c>
      <c r="E39" s="173" t="s">
        <v>127</v>
      </c>
      <c r="F39" s="173"/>
      <c r="G39" s="166" t="s">
        <v>99</v>
      </c>
      <c r="H39" s="165">
        <v>20000</v>
      </c>
      <c r="I39" s="194"/>
      <c r="J39" s="173"/>
      <c r="K39" s="196"/>
      <c r="L39" s="195"/>
      <c r="M39" s="179" t="s">
        <v>115</v>
      </c>
      <c r="N39" s="173" t="s">
        <v>127</v>
      </c>
      <c r="O39" s="159"/>
      <c r="P39" s="155">
        <v>20000</v>
      </c>
      <c r="Q39" s="212"/>
      <c r="R39" s="173"/>
      <c r="S39" s="213"/>
      <c r="T39" s="213"/>
      <c r="U39" s="214"/>
      <c r="V39" s="204"/>
      <c r="W39" s="173"/>
      <c r="X39" s="206"/>
      <c r="Y39" s="205"/>
    </row>
    <row r="40" spans="1:25" hidden="1" x14ac:dyDescent="0.2">
      <c r="A40" s="370"/>
      <c r="B40" s="369"/>
      <c r="C40" s="180">
        <f t="shared" si="0"/>
        <v>30000</v>
      </c>
      <c r="D40" s="164" t="s">
        <v>125</v>
      </c>
      <c r="E40" s="173" t="s">
        <v>135</v>
      </c>
      <c r="F40" s="173"/>
      <c r="G40" s="166" t="s">
        <v>99</v>
      </c>
      <c r="H40" s="165">
        <v>15000</v>
      </c>
      <c r="I40" s="194"/>
      <c r="J40" s="173"/>
      <c r="K40" s="196"/>
      <c r="L40" s="195"/>
      <c r="M40" s="179" t="s">
        <v>124</v>
      </c>
      <c r="N40" s="173" t="s">
        <v>134</v>
      </c>
      <c r="O40" s="159" t="s">
        <v>99</v>
      </c>
      <c r="P40" s="155">
        <v>15000</v>
      </c>
      <c r="Q40" s="212"/>
      <c r="R40" s="173"/>
      <c r="S40" s="213"/>
      <c r="T40" s="213"/>
      <c r="U40" s="214"/>
      <c r="V40" s="204"/>
      <c r="W40" s="173"/>
      <c r="X40" s="206"/>
      <c r="Y40" s="205"/>
    </row>
    <row r="41" spans="1:25" hidden="1" x14ac:dyDescent="0.2">
      <c r="A41" s="370"/>
      <c r="B41" s="369"/>
      <c r="C41" s="180">
        <f t="shared" si="0"/>
        <v>0</v>
      </c>
      <c r="D41" s="164"/>
      <c r="E41" s="173"/>
      <c r="F41" s="173"/>
      <c r="G41" s="166"/>
      <c r="H41" s="165"/>
      <c r="I41" s="194"/>
      <c r="J41" s="173"/>
      <c r="K41" s="196"/>
      <c r="L41" s="195"/>
      <c r="M41" s="179"/>
      <c r="N41" s="173"/>
      <c r="O41" s="159"/>
      <c r="P41" s="155"/>
      <c r="Q41" s="212"/>
      <c r="R41" s="173"/>
      <c r="S41" s="213"/>
      <c r="T41" s="213"/>
      <c r="U41" s="214"/>
      <c r="V41" s="204"/>
      <c r="W41" s="173"/>
      <c r="X41" s="206"/>
      <c r="Y41" s="205"/>
    </row>
    <row r="42" spans="1:25" hidden="1" x14ac:dyDescent="0.2">
      <c r="A42" s="370"/>
      <c r="B42" s="369"/>
      <c r="C42" s="180">
        <f t="shared" si="0"/>
        <v>0</v>
      </c>
      <c r="D42" s="164"/>
      <c r="E42" s="173"/>
      <c r="F42" s="173"/>
      <c r="G42" s="166"/>
      <c r="H42" s="165"/>
      <c r="I42" s="194"/>
      <c r="J42" s="173"/>
      <c r="K42" s="196"/>
      <c r="L42" s="195"/>
      <c r="M42" s="179"/>
      <c r="N42" s="173"/>
      <c r="O42" s="159"/>
      <c r="P42" s="155"/>
      <c r="Q42" s="212"/>
      <c r="R42" s="173"/>
      <c r="S42" s="213"/>
      <c r="T42" s="213"/>
      <c r="U42" s="214"/>
      <c r="V42" s="204"/>
      <c r="W42" s="173"/>
      <c r="X42" s="206"/>
      <c r="Y42" s="205"/>
    </row>
    <row r="43" spans="1:25" hidden="1" x14ac:dyDescent="0.2">
      <c r="A43" s="370">
        <f>A39+1</f>
        <v>45056</v>
      </c>
      <c r="B43" s="369" t="str">
        <f>IF(WEEKDAY(A43)=1,"CN","T"&amp;WEEKDAY(A43))</f>
        <v>T4</v>
      </c>
      <c r="C43" s="180">
        <f t="shared" si="0"/>
        <v>61000</v>
      </c>
      <c r="D43" s="164"/>
      <c r="E43" s="173"/>
      <c r="F43" s="173"/>
      <c r="G43" s="166"/>
      <c r="H43" s="165"/>
      <c r="I43" s="219" t="s">
        <v>138</v>
      </c>
      <c r="J43" s="220"/>
      <c r="K43" s="218" t="s">
        <v>97</v>
      </c>
      <c r="L43" s="221"/>
      <c r="M43" s="179" t="s">
        <v>124</v>
      </c>
      <c r="N43" s="173" t="s">
        <v>134</v>
      </c>
      <c r="O43" s="159" t="s">
        <v>99</v>
      </c>
      <c r="P43" s="155">
        <v>40000</v>
      </c>
      <c r="Q43" s="219" t="s">
        <v>137</v>
      </c>
      <c r="R43" s="220"/>
      <c r="S43" s="218" t="s">
        <v>97</v>
      </c>
      <c r="T43" s="218"/>
      <c r="U43" s="217">
        <f>1750*12</f>
        <v>21000</v>
      </c>
      <c r="V43" s="204"/>
      <c r="W43" s="173"/>
      <c r="X43" s="206"/>
      <c r="Y43" s="205"/>
    </row>
    <row r="44" spans="1:25" hidden="1" x14ac:dyDescent="0.2">
      <c r="A44" s="370"/>
      <c r="B44" s="369"/>
      <c r="C44" s="180">
        <f t="shared" si="0"/>
        <v>33250</v>
      </c>
      <c r="D44" s="164"/>
      <c r="E44" s="173"/>
      <c r="F44" s="173"/>
      <c r="G44" s="166"/>
      <c r="H44" s="165"/>
      <c r="I44" s="219"/>
      <c r="J44" s="220"/>
      <c r="K44" s="218"/>
      <c r="L44" s="221">
        <f>1750*19</f>
        <v>33250</v>
      </c>
      <c r="M44" s="179"/>
      <c r="N44" s="173"/>
      <c r="O44" s="159"/>
      <c r="P44" s="155"/>
      <c r="Q44" s="219"/>
      <c r="R44" s="220"/>
      <c r="S44" s="218"/>
      <c r="T44" s="218"/>
      <c r="U44" s="221"/>
      <c r="V44" s="204"/>
      <c r="W44" s="173"/>
      <c r="X44" s="206"/>
      <c r="Y44" s="205"/>
    </row>
    <row r="45" spans="1:25" hidden="1" x14ac:dyDescent="0.2">
      <c r="A45" s="370"/>
      <c r="B45" s="369"/>
      <c r="C45" s="180">
        <f t="shared" si="0"/>
        <v>0</v>
      </c>
      <c r="D45" s="164"/>
      <c r="E45" s="173"/>
      <c r="F45" s="173"/>
      <c r="G45" s="166"/>
      <c r="H45" s="165"/>
      <c r="I45" s="219"/>
      <c r="J45" s="220"/>
      <c r="K45" s="218"/>
      <c r="L45" s="221"/>
      <c r="M45" s="179"/>
      <c r="N45" s="173"/>
      <c r="O45" s="159"/>
      <c r="P45" s="155"/>
      <c r="Q45" s="219"/>
      <c r="R45" s="220"/>
      <c r="S45" s="218"/>
      <c r="T45" s="218"/>
      <c r="U45" s="221"/>
      <c r="V45" s="204"/>
      <c r="W45" s="173"/>
      <c r="X45" s="206"/>
      <c r="Y45" s="205"/>
    </row>
    <row r="46" spans="1:25" hidden="1" x14ac:dyDescent="0.2">
      <c r="A46" s="370"/>
      <c r="B46" s="369"/>
      <c r="C46" s="180">
        <f t="shared" si="0"/>
        <v>0</v>
      </c>
      <c r="D46" s="164"/>
      <c r="E46" s="173"/>
      <c r="F46" s="173"/>
      <c r="G46" s="166"/>
      <c r="H46" s="165"/>
      <c r="I46" s="219"/>
      <c r="J46" s="220"/>
      <c r="K46" s="218"/>
      <c r="L46" s="221"/>
      <c r="M46" s="179"/>
      <c r="N46" s="173"/>
      <c r="O46" s="159"/>
      <c r="P46" s="155"/>
      <c r="Q46" s="219"/>
      <c r="R46" s="220"/>
      <c r="S46" s="218"/>
      <c r="T46" s="218"/>
      <c r="U46" s="221"/>
      <c r="V46" s="204"/>
      <c r="W46" s="173"/>
      <c r="X46" s="206"/>
      <c r="Y46" s="205"/>
    </row>
    <row r="47" spans="1:25" x14ac:dyDescent="0.2">
      <c r="A47" s="370">
        <f>A43+1</f>
        <v>45057</v>
      </c>
      <c r="B47" s="369" t="str">
        <f>IF(WEEKDAY(A47)=1,"CN","T"&amp;WEEKDAY(A47))</f>
        <v>T5</v>
      </c>
      <c r="C47" s="180">
        <f t="shared" si="0"/>
        <v>40750</v>
      </c>
      <c r="D47" s="222" t="s">
        <v>125</v>
      </c>
      <c r="E47" s="220"/>
      <c r="F47" s="220"/>
      <c r="G47" s="218"/>
      <c r="H47" s="221">
        <v>28000</v>
      </c>
      <c r="I47" s="219" t="s">
        <v>138</v>
      </c>
      <c r="J47" s="220"/>
      <c r="K47" s="218"/>
      <c r="L47" s="221">
        <v>2750</v>
      </c>
      <c r="M47" s="179"/>
      <c r="N47" s="173"/>
      <c r="O47" s="159"/>
      <c r="P47" s="155"/>
      <c r="Q47" s="219" t="s">
        <v>137</v>
      </c>
      <c r="R47" s="220"/>
      <c r="S47" s="218"/>
      <c r="T47" s="218"/>
      <c r="U47" s="221">
        <v>10000</v>
      </c>
      <c r="V47" s="204"/>
      <c r="W47" s="173"/>
      <c r="X47" s="206"/>
      <c r="Y47" s="205"/>
    </row>
    <row r="48" spans="1:25" x14ac:dyDescent="0.2">
      <c r="A48" s="370"/>
      <c r="B48" s="369"/>
      <c r="C48" s="180">
        <f t="shared" si="0"/>
        <v>63000</v>
      </c>
      <c r="D48" s="222" t="s">
        <v>147</v>
      </c>
      <c r="E48" s="220"/>
      <c r="F48" s="220"/>
      <c r="G48" s="218"/>
      <c r="H48" s="221">
        <v>8000</v>
      </c>
      <c r="I48" s="219" t="s">
        <v>137</v>
      </c>
      <c r="J48" s="220"/>
      <c r="K48" s="218"/>
      <c r="L48" s="221">
        <v>27000</v>
      </c>
      <c r="M48" s="179"/>
      <c r="N48" s="173"/>
      <c r="O48" s="159"/>
      <c r="P48" s="155"/>
      <c r="Q48" s="219" t="s">
        <v>189</v>
      </c>
      <c r="R48" s="220" t="s">
        <v>187</v>
      </c>
      <c r="S48" s="218"/>
      <c r="T48" s="218"/>
      <c r="U48" s="221">
        <v>28000</v>
      </c>
      <c r="V48" s="204"/>
      <c r="W48" s="173"/>
      <c r="X48" s="206"/>
      <c r="Y48" s="205"/>
    </row>
    <row r="49" spans="1:25" x14ac:dyDescent="0.2">
      <c r="A49" s="370"/>
      <c r="B49" s="369"/>
      <c r="C49" s="180">
        <f t="shared" si="0"/>
        <v>9000</v>
      </c>
      <c r="D49" s="222"/>
      <c r="E49" s="220"/>
      <c r="F49" s="220"/>
      <c r="G49" s="218"/>
      <c r="H49" s="221"/>
      <c r="I49" s="219" t="s">
        <v>117</v>
      </c>
      <c r="J49" s="220"/>
      <c r="K49" s="218"/>
      <c r="L49" s="221">
        <v>9000</v>
      </c>
      <c r="M49" s="179"/>
      <c r="N49" s="173"/>
      <c r="O49" s="159"/>
      <c r="P49" s="155"/>
      <c r="Q49" s="219"/>
      <c r="R49" s="220"/>
      <c r="S49" s="218"/>
      <c r="T49" s="218"/>
      <c r="U49" s="221"/>
      <c r="V49" s="204"/>
      <c r="W49" s="173"/>
      <c r="X49" s="206"/>
      <c r="Y49" s="205"/>
    </row>
    <row r="50" spans="1:25" x14ac:dyDescent="0.2">
      <c r="A50" s="370"/>
      <c r="B50" s="369"/>
      <c r="C50" s="180">
        <f t="shared" si="0"/>
        <v>0</v>
      </c>
      <c r="D50" s="222"/>
      <c r="E50" s="220"/>
      <c r="F50" s="220"/>
      <c r="G50" s="218"/>
      <c r="H50" s="221"/>
      <c r="I50" s="219"/>
      <c r="J50" s="220"/>
      <c r="K50" s="218"/>
      <c r="L50" s="221"/>
      <c r="M50" s="179"/>
      <c r="N50" s="173"/>
      <c r="O50" s="159"/>
      <c r="P50" s="155"/>
      <c r="Q50" s="219"/>
      <c r="R50" s="220"/>
      <c r="S50" s="218"/>
      <c r="T50" s="218"/>
      <c r="U50" s="221"/>
      <c r="V50" s="204"/>
      <c r="W50" s="173"/>
      <c r="X50" s="206"/>
      <c r="Y50" s="205"/>
    </row>
    <row r="51" spans="1:25" x14ac:dyDescent="0.2">
      <c r="A51" s="370">
        <f>A47+1</f>
        <v>45058</v>
      </c>
      <c r="B51" s="369" t="str">
        <f>IF(WEEKDAY(A51)=1,"CN","T"&amp;WEEKDAY(A51))</f>
        <v>T6</v>
      </c>
      <c r="C51" s="180">
        <f t="shared" si="0"/>
        <v>78000</v>
      </c>
      <c r="D51" s="222" t="s">
        <v>147</v>
      </c>
      <c r="E51" s="220"/>
      <c r="F51" s="220"/>
      <c r="G51" s="218"/>
      <c r="H51" s="221">
        <v>7000</v>
      </c>
      <c r="I51" s="219" t="s">
        <v>117</v>
      </c>
      <c r="J51" s="220"/>
      <c r="K51" s="218"/>
      <c r="L51" s="221">
        <v>33000</v>
      </c>
      <c r="M51" s="179"/>
      <c r="N51" s="173"/>
      <c r="O51" s="159"/>
      <c r="P51" s="155"/>
      <c r="Q51" s="219" t="s">
        <v>189</v>
      </c>
      <c r="R51" s="220" t="s">
        <v>187</v>
      </c>
      <c r="S51" s="218"/>
      <c r="T51" s="218"/>
      <c r="U51" s="221">
        <v>38000</v>
      </c>
      <c r="V51" s="204"/>
      <c r="W51" s="173"/>
      <c r="X51" s="206"/>
      <c r="Y51" s="205"/>
    </row>
    <row r="52" spans="1:25" x14ac:dyDescent="0.2">
      <c r="A52" s="370"/>
      <c r="B52" s="369"/>
      <c r="C52" s="180">
        <f t="shared" si="0"/>
        <v>21500</v>
      </c>
      <c r="D52" s="222" t="s">
        <v>136</v>
      </c>
      <c r="E52" s="220"/>
      <c r="F52" s="220"/>
      <c r="G52" s="218"/>
      <c r="H52" s="221">
        <v>12500</v>
      </c>
      <c r="I52" s="219" t="s">
        <v>105</v>
      </c>
      <c r="J52" s="220" t="s">
        <v>164</v>
      </c>
      <c r="K52" s="218"/>
      <c r="L52" s="221">
        <v>9000</v>
      </c>
      <c r="M52" s="179"/>
      <c r="N52" s="173"/>
      <c r="O52" s="159"/>
      <c r="P52" s="155"/>
      <c r="Q52" s="219"/>
      <c r="R52" s="220"/>
      <c r="S52" s="218"/>
      <c r="T52" s="218"/>
      <c r="U52" s="221"/>
      <c r="V52" s="204"/>
      <c r="W52" s="173"/>
      <c r="X52" s="206"/>
      <c r="Y52" s="205"/>
    </row>
    <row r="53" spans="1:25" x14ac:dyDescent="0.2">
      <c r="A53" s="370"/>
      <c r="B53" s="369"/>
      <c r="C53" s="180">
        <f t="shared" si="0"/>
        <v>500</v>
      </c>
      <c r="D53" s="164" t="s">
        <v>148</v>
      </c>
      <c r="E53" s="173" t="s">
        <v>149</v>
      </c>
      <c r="F53" s="173"/>
      <c r="G53" s="166"/>
      <c r="H53" s="165">
        <v>500</v>
      </c>
      <c r="I53" s="219"/>
      <c r="J53" s="220"/>
      <c r="K53" s="218"/>
      <c r="L53" s="221"/>
      <c r="M53" s="179"/>
      <c r="N53" s="173"/>
      <c r="O53" s="159"/>
      <c r="P53" s="155"/>
      <c r="Q53" s="219"/>
      <c r="R53" s="220"/>
      <c r="S53" s="218"/>
      <c r="T53" s="218"/>
      <c r="U53" s="221"/>
      <c r="V53" s="204"/>
      <c r="W53" s="173"/>
      <c r="X53" s="206"/>
      <c r="Y53" s="205"/>
    </row>
    <row r="54" spans="1:25" x14ac:dyDescent="0.2">
      <c r="A54" s="370"/>
      <c r="B54" s="369"/>
      <c r="C54" s="180">
        <f t="shared" si="0"/>
        <v>5000</v>
      </c>
      <c r="D54" s="164" t="s">
        <v>124</v>
      </c>
      <c r="E54" s="173" t="s">
        <v>174</v>
      </c>
      <c r="F54" s="173"/>
      <c r="G54" s="166"/>
      <c r="H54" s="165">
        <v>5000</v>
      </c>
      <c r="I54" s="219"/>
      <c r="J54" s="220"/>
      <c r="K54" s="218"/>
      <c r="L54" s="221"/>
      <c r="M54" s="159"/>
      <c r="N54" s="173"/>
      <c r="O54" s="159"/>
      <c r="P54" s="155"/>
      <c r="Q54" s="219"/>
      <c r="R54" s="220"/>
      <c r="S54" s="218"/>
      <c r="T54" s="218"/>
      <c r="U54" s="221"/>
      <c r="V54" s="204"/>
      <c r="W54" s="173"/>
      <c r="X54" s="206"/>
      <c r="Y54" s="205"/>
    </row>
    <row r="55" spans="1:25" x14ac:dyDescent="0.2">
      <c r="A55" s="370">
        <f>A51+1</f>
        <v>45059</v>
      </c>
      <c r="B55" s="369" t="str">
        <f>IF(WEEKDAY(A55)=1,"CN","T"&amp;WEEKDAY(A55))</f>
        <v>T7</v>
      </c>
      <c r="C55" s="180">
        <f t="shared" si="0"/>
        <v>84000</v>
      </c>
      <c r="D55" s="164" t="s">
        <v>124</v>
      </c>
      <c r="E55" s="173"/>
      <c r="F55" s="173"/>
      <c r="G55" s="166"/>
      <c r="H55" s="165">
        <v>41000</v>
      </c>
      <c r="I55" s="219" t="s">
        <v>105</v>
      </c>
      <c r="J55" s="220" t="s">
        <v>164</v>
      </c>
      <c r="K55" s="218"/>
      <c r="L55" s="221">
        <v>5000</v>
      </c>
      <c r="M55" s="159"/>
      <c r="N55" s="173"/>
      <c r="O55" s="159"/>
      <c r="P55" s="155"/>
      <c r="Q55" s="219" t="s">
        <v>189</v>
      </c>
      <c r="R55" s="220" t="s">
        <v>187</v>
      </c>
      <c r="S55" s="218"/>
      <c r="T55" s="218"/>
      <c r="U55" s="221">
        <v>38000</v>
      </c>
      <c r="V55" s="204"/>
      <c r="W55" s="173"/>
      <c r="X55" s="206"/>
      <c r="Y55" s="205"/>
    </row>
    <row r="56" spans="1:25" x14ac:dyDescent="0.2">
      <c r="A56" s="370"/>
      <c r="B56" s="369"/>
      <c r="C56" s="180">
        <f t="shared" si="0"/>
        <v>36000</v>
      </c>
      <c r="D56" s="164"/>
      <c r="E56" s="173"/>
      <c r="F56" s="173"/>
      <c r="G56" s="166"/>
      <c r="H56" s="165"/>
      <c r="I56" s="219" t="s">
        <v>105</v>
      </c>
      <c r="J56" s="220" t="s">
        <v>179</v>
      </c>
      <c r="K56" s="218"/>
      <c r="L56" s="221">
        <f>41000-L55</f>
        <v>36000</v>
      </c>
      <c r="M56" s="159"/>
      <c r="N56" s="173"/>
      <c r="O56" s="159"/>
      <c r="P56" s="155"/>
      <c r="Q56" s="219"/>
      <c r="R56" s="220"/>
      <c r="S56" s="218"/>
      <c r="T56" s="218"/>
      <c r="U56" s="221"/>
      <c r="V56" s="219" t="s">
        <v>115</v>
      </c>
      <c r="W56" s="220" t="s">
        <v>128</v>
      </c>
      <c r="X56" s="218"/>
      <c r="Y56" s="221">
        <v>88000</v>
      </c>
    </row>
    <row r="57" spans="1:25" x14ac:dyDescent="0.2">
      <c r="A57" s="370"/>
      <c r="B57" s="369"/>
      <c r="C57" s="180">
        <f t="shared" si="0"/>
        <v>0</v>
      </c>
      <c r="D57" s="164"/>
      <c r="E57" s="173"/>
      <c r="F57" s="173"/>
      <c r="G57" s="166"/>
      <c r="H57" s="165"/>
      <c r="I57" s="219"/>
      <c r="J57" s="220"/>
      <c r="K57" s="218"/>
      <c r="L57" s="221"/>
      <c r="M57" s="159"/>
      <c r="N57" s="173"/>
      <c r="O57" s="159"/>
      <c r="P57" s="155"/>
      <c r="Q57" s="219"/>
      <c r="R57" s="220"/>
      <c r="S57" s="218"/>
      <c r="T57" s="218"/>
      <c r="U57" s="221"/>
      <c r="V57" s="219"/>
      <c r="W57" s="220"/>
      <c r="X57" s="218"/>
      <c r="Y57" s="221"/>
    </row>
    <row r="58" spans="1:25" x14ac:dyDescent="0.2">
      <c r="A58" s="370"/>
      <c r="B58" s="369"/>
      <c r="C58" s="180">
        <f t="shared" si="0"/>
        <v>0</v>
      </c>
      <c r="D58" s="164"/>
      <c r="E58" s="173"/>
      <c r="F58" s="173"/>
      <c r="G58" s="166"/>
      <c r="H58" s="165"/>
      <c r="I58" s="219"/>
      <c r="J58" s="220"/>
      <c r="K58" s="218"/>
      <c r="L58" s="221"/>
      <c r="M58" s="159"/>
      <c r="N58" s="173"/>
      <c r="O58" s="159"/>
      <c r="P58" s="155"/>
      <c r="Q58" s="219"/>
      <c r="R58" s="220"/>
      <c r="S58" s="218"/>
      <c r="T58" s="218"/>
      <c r="U58" s="221"/>
      <c r="V58" s="219"/>
      <c r="W58" s="220"/>
      <c r="X58" s="218"/>
      <c r="Y58" s="221"/>
    </row>
    <row r="59" spans="1:25" x14ac:dyDescent="0.2">
      <c r="A59" s="370">
        <f>A55+1</f>
        <v>45060</v>
      </c>
      <c r="B59" s="369" t="str">
        <f>IF(WEEKDAY(A59)=1,"CN","T"&amp;WEEKDAY(A59))</f>
        <v>CN</v>
      </c>
      <c r="C59" s="180">
        <f t="shared" si="0"/>
        <v>70750</v>
      </c>
      <c r="D59" s="164" t="s">
        <v>124</v>
      </c>
      <c r="E59" s="173" t="s">
        <v>150</v>
      </c>
      <c r="F59" s="173"/>
      <c r="G59" s="166"/>
      <c r="H59" s="165">
        <v>10000</v>
      </c>
      <c r="I59" s="219" t="s">
        <v>105</v>
      </c>
      <c r="J59" s="220" t="s">
        <v>179</v>
      </c>
      <c r="K59" s="218"/>
      <c r="L59" s="221">
        <v>41000</v>
      </c>
      <c r="M59" s="159"/>
      <c r="N59" s="173"/>
      <c r="O59" s="159"/>
      <c r="P59" s="155"/>
      <c r="Q59" s="219" t="s">
        <v>189</v>
      </c>
      <c r="R59" s="220" t="s">
        <v>187</v>
      </c>
      <c r="S59" s="218"/>
      <c r="T59" s="218"/>
      <c r="U59" s="221">
        <f>21000-1250</f>
        <v>19750</v>
      </c>
      <c r="V59" s="219"/>
      <c r="W59" s="220"/>
      <c r="X59" s="218"/>
      <c r="Y59" s="221"/>
    </row>
    <row r="60" spans="1:25" x14ac:dyDescent="0.2">
      <c r="A60" s="370"/>
      <c r="B60" s="369"/>
      <c r="C60" s="180">
        <f t="shared" si="0"/>
        <v>38000</v>
      </c>
      <c r="D60" s="164" t="s">
        <v>121</v>
      </c>
      <c r="E60" s="173"/>
      <c r="F60" s="173"/>
      <c r="G60" s="166"/>
      <c r="H60" s="165">
        <v>21000</v>
      </c>
      <c r="I60" s="219"/>
      <c r="J60" s="220"/>
      <c r="K60" s="218"/>
      <c r="L60" s="221"/>
      <c r="M60" s="159"/>
      <c r="N60" s="173"/>
      <c r="O60" s="159"/>
      <c r="P60" s="155"/>
      <c r="Q60" s="219" t="s">
        <v>143</v>
      </c>
      <c r="R60" s="220" t="s">
        <v>187</v>
      </c>
      <c r="S60" s="218"/>
      <c r="T60" s="218"/>
      <c r="U60" s="221">
        <v>17000</v>
      </c>
      <c r="V60" s="219"/>
      <c r="W60" s="220"/>
      <c r="X60" s="218"/>
      <c r="Y60" s="221"/>
    </row>
    <row r="61" spans="1:25" x14ac:dyDescent="0.2">
      <c r="A61" s="370"/>
      <c r="B61" s="369"/>
      <c r="C61" s="180">
        <f t="shared" si="0"/>
        <v>0</v>
      </c>
      <c r="D61" s="164"/>
      <c r="E61" s="173"/>
      <c r="F61" s="173"/>
      <c r="G61" s="166"/>
      <c r="H61" s="165"/>
      <c r="I61" s="219"/>
      <c r="J61" s="220"/>
      <c r="K61" s="218"/>
      <c r="L61" s="221"/>
      <c r="M61" s="159"/>
      <c r="N61" s="173"/>
      <c r="O61" s="159"/>
      <c r="P61" s="155"/>
      <c r="Q61" s="219"/>
      <c r="R61" s="220"/>
      <c r="S61" s="218"/>
      <c r="T61" s="218"/>
      <c r="U61" s="221"/>
      <c r="V61" s="219"/>
      <c r="W61" s="220"/>
      <c r="X61" s="218"/>
      <c r="Y61" s="221"/>
    </row>
    <row r="62" spans="1:25" x14ac:dyDescent="0.2">
      <c r="A62" s="370"/>
      <c r="B62" s="369"/>
      <c r="C62" s="180">
        <f t="shared" si="0"/>
        <v>0</v>
      </c>
      <c r="D62" s="164"/>
      <c r="E62" s="173"/>
      <c r="F62" s="173"/>
      <c r="G62" s="166"/>
      <c r="H62" s="165"/>
      <c r="I62" s="219"/>
      <c r="J62" s="220"/>
      <c r="K62" s="218"/>
      <c r="L62" s="221"/>
      <c r="M62" s="179"/>
      <c r="N62" s="173"/>
      <c r="O62" s="159"/>
      <c r="P62" s="155"/>
      <c r="Q62" s="219"/>
      <c r="R62" s="220"/>
      <c r="S62" s="218"/>
      <c r="T62" s="218"/>
      <c r="U62" s="221"/>
      <c r="V62" s="219"/>
      <c r="W62" s="220"/>
      <c r="X62" s="218"/>
      <c r="Y62" s="221"/>
    </row>
    <row r="63" spans="1:25" ht="16.149999999999999" customHeight="1" x14ac:dyDescent="0.2">
      <c r="A63" s="370">
        <f>A59+1</f>
        <v>45061</v>
      </c>
      <c r="B63" s="369" t="str">
        <f>IF(WEEKDAY(A63)=1,"CN","T"&amp;WEEKDAY(A63))</f>
        <v>T2</v>
      </c>
      <c r="C63" s="180">
        <f t="shared" si="0"/>
        <v>82000</v>
      </c>
      <c r="D63" s="164" t="s">
        <v>121</v>
      </c>
      <c r="E63" s="173"/>
      <c r="F63" s="173"/>
      <c r="G63" s="166"/>
      <c r="H63" s="165">
        <v>3000</v>
      </c>
      <c r="I63" s="219" t="s">
        <v>105</v>
      </c>
      <c r="J63" s="220" t="s">
        <v>179</v>
      </c>
      <c r="K63" s="218"/>
      <c r="L63" s="221">
        <v>41000</v>
      </c>
      <c r="M63" s="179"/>
      <c r="N63" s="173"/>
      <c r="O63" s="159"/>
      <c r="P63" s="155"/>
      <c r="Q63" s="219" t="s">
        <v>143</v>
      </c>
      <c r="R63" s="220" t="s">
        <v>187</v>
      </c>
      <c r="S63" s="218"/>
      <c r="T63" s="218"/>
      <c r="U63" s="221">
        <v>38000</v>
      </c>
      <c r="V63" s="219" t="s">
        <v>115</v>
      </c>
      <c r="W63" s="220" t="s">
        <v>128</v>
      </c>
      <c r="X63" s="218"/>
      <c r="Y63" s="221">
        <v>88000</v>
      </c>
    </row>
    <row r="64" spans="1:25" ht="16.149999999999999" customHeight="1" x14ac:dyDescent="0.2">
      <c r="A64" s="370"/>
      <c r="B64" s="369"/>
      <c r="C64" s="180">
        <f t="shared" si="0"/>
        <v>35000</v>
      </c>
      <c r="D64" s="222" t="s">
        <v>125</v>
      </c>
      <c r="E64" s="220" t="s">
        <v>175</v>
      </c>
      <c r="F64" s="220"/>
      <c r="G64" s="218"/>
      <c r="H64" s="221">
        <f>38000-H63</f>
        <v>35000</v>
      </c>
      <c r="I64" s="219"/>
      <c r="J64" s="220"/>
      <c r="K64" s="218"/>
      <c r="L64" s="221"/>
      <c r="M64" s="179"/>
      <c r="N64" s="173"/>
      <c r="O64" s="159"/>
      <c r="P64" s="155"/>
      <c r="Q64" s="219"/>
      <c r="R64" s="220"/>
      <c r="S64" s="218"/>
      <c r="T64" s="218"/>
      <c r="U64" s="221"/>
      <c r="V64" s="219"/>
      <c r="W64" s="220"/>
      <c r="X64" s="218"/>
      <c r="Y64" s="221"/>
    </row>
    <row r="65" spans="1:27" ht="16.149999999999999" customHeight="1" x14ac:dyDescent="0.2">
      <c r="A65" s="370"/>
      <c r="B65" s="369"/>
      <c r="C65" s="180">
        <f t="shared" si="0"/>
        <v>0</v>
      </c>
      <c r="D65" s="222"/>
      <c r="E65" s="220"/>
      <c r="F65" s="220"/>
      <c r="G65" s="218"/>
      <c r="H65" s="221"/>
      <c r="I65" s="219"/>
      <c r="J65" s="220"/>
      <c r="K65" s="218"/>
      <c r="L65" s="221"/>
      <c r="M65" s="179"/>
      <c r="N65" s="173"/>
      <c r="O65" s="159"/>
      <c r="P65" s="155"/>
      <c r="Q65" s="219"/>
      <c r="R65" s="220"/>
      <c r="S65" s="218"/>
      <c r="T65" s="218"/>
      <c r="U65" s="221"/>
      <c r="V65" s="219"/>
      <c r="W65" s="220"/>
      <c r="X65" s="218"/>
      <c r="Y65" s="221"/>
    </row>
    <row r="66" spans="1:27" ht="16.149999999999999" customHeight="1" x14ac:dyDescent="0.2">
      <c r="A66" s="370"/>
      <c r="B66" s="369"/>
      <c r="C66" s="180">
        <f t="shared" si="0"/>
        <v>0</v>
      </c>
      <c r="D66" s="222"/>
      <c r="E66" s="220"/>
      <c r="F66" s="220"/>
      <c r="G66" s="218"/>
      <c r="H66" s="221"/>
      <c r="I66" s="219"/>
      <c r="J66" s="220"/>
      <c r="K66" s="218"/>
      <c r="L66" s="221"/>
      <c r="M66" s="179"/>
      <c r="N66" s="173"/>
      <c r="O66" s="159"/>
      <c r="P66" s="155"/>
      <c r="Q66" s="219"/>
      <c r="R66" s="220"/>
      <c r="S66" s="218"/>
      <c r="T66" s="218"/>
      <c r="U66" s="221"/>
      <c r="V66" s="219"/>
      <c r="W66" s="220"/>
      <c r="X66" s="218"/>
      <c r="Y66" s="221"/>
    </row>
    <row r="67" spans="1:27" ht="16.149999999999999" customHeight="1" x14ac:dyDescent="0.2">
      <c r="A67" s="370">
        <f>A63+1</f>
        <v>45062</v>
      </c>
      <c r="B67" s="369" t="str">
        <f>IF(WEEKDAY(A67)=1,"CN","T"&amp;WEEKDAY(A67))</f>
        <v>T3</v>
      </c>
      <c r="C67" s="180">
        <f t="shared" si="0"/>
        <v>117000</v>
      </c>
      <c r="D67" s="222" t="s">
        <v>125</v>
      </c>
      <c r="E67" s="220" t="s">
        <v>175</v>
      </c>
      <c r="F67" s="220"/>
      <c r="G67" s="218"/>
      <c r="H67" s="221">
        <v>38000</v>
      </c>
      <c r="I67" s="219" t="s">
        <v>105</v>
      </c>
      <c r="J67" s="220" t="s">
        <v>179</v>
      </c>
      <c r="K67" s="218"/>
      <c r="L67" s="221">
        <v>41000</v>
      </c>
      <c r="M67" s="179"/>
      <c r="N67" s="173"/>
      <c r="O67" s="159"/>
      <c r="P67" s="155"/>
      <c r="Q67" s="219" t="s">
        <v>143</v>
      </c>
      <c r="R67" s="220" t="s">
        <v>187</v>
      </c>
      <c r="S67" s="218"/>
      <c r="T67" s="218"/>
      <c r="U67" s="221">
        <v>38000</v>
      </c>
      <c r="V67" s="219" t="s">
        <v>115</v>
      </c>
      <c r="W67" s="220" t="s">
        <v>128</v>
      </c>
      <c r="X67" s="218"/>
      <c r="Y67" s="221">
        <v>40000</v>
      </c>
    </row>
    <row r="68" spans="1:27" ht="16.149999999999999" customHeight="1" x14ac:dyDescent="0.2">
      <c r="A68" s="370"/>
      <c r="B68" s="369"/>
      <c r="C68" s="180">
        <f t="shared" si="0"/>
        <v>0</v>
      </c>
      <c r="D68" s="222"/>
      <c r="E68" s="220"/>
      <c r="F68" s="220"/>
      <c r="G68" s="218"/>
      <c r="H68" s="221"/>
      <c r="I68" s="219"/>
      <c r="J68" s="220"/>
      <c r="K68" s="218"/>
      <c r="L68" s="221"/>
      <c r="M68" s="179"/>
      <c r="N68" s="173"/>
      <c r="O68" s="159"/>
      <c r="P68" s="155"/>
      <c r="Q68" s="219"/>
      <c r="R68" s="220"/>
      <c r="S68" s="218"/>
      <c r="T68" s="218"/>
      <c r="U68" s="221"/>
      <c r="V68" s="219" t="s">
        <v>124</v>
      </c>
      <c r="W68" s="220" t="s">
        <v>169</v>
      </c>
      <c r="X68" s="218"/>
      <c r="Y68" s="221">
        <v>48000</v>
      </c>
    </row>
    <row r="69" spans="1:27" ht="16.149999999999999" customHeight="1" x14ac:dyDescent="0.2">
      <c r="A69" s="370"/>
      <c r="B69" s="369"/>
      <c r="C69" s="180">
        <f t="shared" si="0"/>
        <v>0</v>
      </c>
      <c r="D69" s="222"/>
      <c r="E69" s="220"/>
      <c r="F69" s="220"/>
      <c r="G69" s="218"/>
      <c r="H69" s="221"/>
      <c r="I69" s="219"/>
      <c r="J69" s="220"/>
      <c r="K69" s="218"/>
      <c r="L69" s="221"/>
      <c r="M69" s="179"/>
      <c r="N69" s="173"/>
      <c r="O69" s="159"/>
      <c r="P69" s="155"/>
      <c r="Q69" s="219"/>
      <c r="R69" s="220"/>
      <c r="S69" s="218"/>
      <c r="T69" s="218"/>
      <c r="U69" s="221"/>
      <c r="V69" s="219"/>
      <c r="W69" s="220"/>
      <c r="X69" s="218"/>
      <c r="Y69" s="221"/>
    </row>
    <row r="70" spans="1:27" ht="16.149999999999999" customHeight="1" x14ac:dyDescent="0.2">
      <c r="A70" s="370"/>
      <c r="B70" s="369"/>
      <c r="C70" s="180">
        <f t="shared" si="0"/>
        <v>0</v>
      </c>
      <c r="D70" s="222"/>
      <c r="E70" s="220"/>
      <c r="F70" s="220"/>
      <c r="G70" s="218"/>
      <c r="H70" s="221"/>
      <c r="I70" s="219"/>
      <c r="J70" s="220"/>
      <c r="K70" s="218"/>
      <c r="L70" s="221"/>
      <c r="M70" s="179"/>
      <c r="N70" s="173"/>
      <c r="O70" s="159"/>
      <c r="P70" s="155"/>
      <c r="Q70" s="219"/>
      <c r="R70" s="220"/>
      <c r="S70" s="218"/>
      <c r="T70" s="218"/>
      <c r="U70" s="221"/>
      <c r="V70" s="219"/>
      <c r="W70" s="220"/>
      <c r="X70" s="218"/>
      <c r="Y70" s="221"/>
    </row>
    <row r="71" spans="1:27" ht="16.149999999999999" customHeight="1" x14ac:dyDescent="0.2">
      <c r="A71" s="370">
        <f>A67+1</f>
        <v>45063</v>
      </c>
      <c r="B71" s="369" t="str">
        <f>IF(WEEKDAY(A71)=1,"CN","T"&amp;WEEKDAY(A71))</f>
        <v>T4</v>
      </c>
      <c r="C71" s="180">
        <f t="shared" ref="C71:C134" si="1">SUM(D71:U71)</f>
        <v>70000</v>
      </c>
      <c r="D71" s="222" t="s">
        <v>125</v>
      </c>
      <c r="E71" s="220" t="s">
        <v>175</v>
      </c>
      <c r="F71" s="220"/>
      <c r="G71" s="218"/>
      <c r="H71" s="221">
        <f>108000-H67-H64</f>
        <v>35000</v>
      </c>
      <c r="I71" s="219" t="s">
        <v>105</v>
      </c>
      <c r="J71" s="220" t="s">
        <v>179</v>
      </c>
      <c r="K71" s="218"/>
      <c r="L71" s="221">
        <v>3000</v>
      </c>
      <c r="M71" s="179"/>
      <c r="N71" s="173"/>
      <c r="O71" s="159"/>
      <c r="P71" s="155"/>
      <c r="Q71" s="219" t="s">
        <v>143</v>
      </c>
      <c r="R71" s="220" t="s">
        <v>187</v>
      </c>
      <c r="S71" s="218"/>
      <c r="T71" s="218"/>
      <c r="U71" s="221">
        <v>32000</v>
      </c>
      <c r="V71" s="219" t="s">
        <v>124</v>
      </c>
      <c r="W71" s="220" t="s">
        <v>169</v>
      </c>
      <c r="X71" s="218"/>
      <c r="Y71" s="221">
        <v>62000</v>
      </c>
    </row>
    <row r="72" spans="1:27" ht="16.149999999999999" customHeight="1" x14ac:dyDescent="0.2">
      <c r="A72" s="370"/>
      <c r="B72" s="369"/>
      <c r="C72" s="180">
        <f t="shared" si="1"/>
        <v>47000</v>
      </c>
      <c r="D72" s="223" t="s">
        <v>104</v>
      </c>
      <c r="E72" s="224" t="s">
        <v>193</v>
      </c>
      <c r="F72" s="224"/>
      <c r="G72" s="225"/>
      <c r="H72" s="226">
        <v>3000</v>
      </c>
      <c r="I72" s="219" t="s">
        <v>105</v>
      </c>
      <c r="J72" s="220" t="s">
        <v>180</v>
      </c>
      <c r="K72" s="218"/>
      <c r="L72" s="221">
        <v>38000</v>
      </c>
      <c r="M72" s="179"/>
      <c r="N72" s="173"/>
      <c r="O72" s="159"/>
      <c r="P72" s="155"/>
      <c r="Q72" s="219" t="s">
        <v>141</v>
      </c>
      <c r="R72" s="220" t="s">
        <v>187</v>
      </c>
      <c r="S72" s="218"/>
      <c r="T72" s="218"/>
      <c r="U72" s="221">
        <v>6000</v>
      </c>
      <c r="V72" s="219" t="s">
        <v>124</v>
      </c>
      <c r="W72" s="220" t="s">
        <v>172</v>
      </c>
      <c r="X72" s="218"/>
      <c r="Y72" s="221">
        <v>26000</v>
      </c>
      <c r="AA72" s="135">
        <f>125/25</f>
        <v>5</v>
      </c>
    </row>
    <row r="73" spans="1:27" ht="16.149999999999999" customHeight="1" x14ac:dyDescent="0.2">
      <c r="A73" s="370"/>
      <c r="B73" s="369"/>
      <c r="C73" s="180">
        <f t="shared" si="1"/>
        <v>0</v>
      </c>
      <c r="D73" s="223"/>
      <c r="E73" s="224"/>
      <c r="F73" s="224"/>
      <c r="G73" s="225"/>
      <c r="H73" s="226"/>
      <c r="I73" s="219"/>
      <c r="J73" s="220"/>
      <c r="K73" s="218"/>
      <c r="L73" s="221"/>
      <c r="M73" s="179"/>
      <c r="N73" s="173"/>
      <c r="O73" s="159"/>
      <c r="P73" s="155"/>
      <c r="Q73" s="219"/>
      <c r="R73" s="220"/>
      <c r="S73" s="218"/>
      <c r="T73" s="218"/>
      <c r="U73" s="221"/>
      <c r="V73" s="219"/>
      <c r="W73" s="220"/>
      <c r="X73" s="218"/>
      <c r="Y73" s="221"/>
    </row>
    <row r="74" spans="1:27" ht="16.149999999999999" customHeight="1" x14ac:dyDescent="0.2">
      <c r="A74" s="370"/>
      <c r="B74" s="369"/>
      <c r="C74" s="180">
        <f t="shared" si="1"/>
        <v>0</v>
      </c>
      <c r="D74" s="223"/>
      <c r="E74" s="224"/>
      <c r="F74" s="224"/>
      <c r="G74" s="225"/>
      <c r="H74" s="226"/>
      <c r="I74" s="219"/>
      <c r="J74" s="220"/>
      <c r="K74" s="218"/>
      <c r="L74" s="221"/>
      <c r="M74" s="179"/>
      <c r="N74" s="173"/>
      <c r="O74" s="159"/>
      <c r="P74" s="155"/>
      <c r="Q74" s="219"/>
      <c r="R74" s="220"/>
      <c r="S74" s="218"/>
      <c r="T74" s="218"/>
      <c r="U74" s="221"/>
      <c r="V74" s="219"/>
      <c r="W74" s="220"/>
      <c r="X74" s="218"/>
      <c r="Y74" s="221"/>
    </row>
    <row r="75" spans="1:27" ht="16.149999999999999" customHeight="1" x14ac:dyDescent="0.2">
      <c r="A75" s="370">
        <f>A71+1</f>
        <v>45064</v>
      </c>
      <c r="B75" s="369" t="str">
        <f>IF(WEEKDAY(A75)=1,"CN","T"&amp;WEEKDAY(A75))</f>
        <v>T5</v>
      </c>
      <c r="C75" s="180">
        <f t="shared" si="1"/>
        <v>41000</v>
      </c>
      <c r="D75" s="223"/>
      <c r="E75" s="224"/>
      <c r="F75" s="224"/>
      <c r="G75" s="225"/>
      <c r="H75" s="226"/>
      <c r="I75" s="219" t="s">
        <v>105</v>
      </c>
      <c r="J75" s="220" t="s">
        <v>180</v>
      </c>
      <c r="K75" s="218"/>
      <c r="L75" s="221">
        <v>41000</v>
      </c>
      <c r="M75" s="179"/>
      <c r="N75" s="173"/>
      <c r="O75" s="159"/>
      <c r="P75" s="155"/>
      <c r="Q75" s="219"/>
      <c r="R75" s="220"/>
      <c r="S75" s="218"/>
      <c r="T75" s="218"/>
      <c r="U75" s="221"/>
      <c r="V75" s="219" t="s">
        <v>124</v>
      </c>
      <c r="W75" s="220" t="s">
        <v>169</v>
      </c>
      <c r="X75" s="218"/>
      <c r="Y75" s="221">
        <v>58000</v>
      </c>
    </row>
    <row r="76" spans="1:27" ht="16.149999999999999" customHeight="1" x14ac:dyDescent="0.2">
      <c r="A76" s="370"/>
      <c r="B76" s="369"/>
      <c r="C76" s="180">
        <f t="shared" si="1"/>
        <v>40000</v>
      </c>
      <c r="D76" s="223" t="s">
        <v>104</v>
      </c>
      <c r="E76" s="224" t="s">
        <v>193</v>
      </c>
      <c r="F76" s="224"/>
      <c r="G76" s="225"/>
      <c r="H76" s="226">
        <f>24000-3000</f>
        <v>21000</v>
      </c>
      <c r="I76" s="219"/>
      <c r="J76" s="220"/>
      <c r="K76" s="218"/>
      <c r="L76" s="221"/>
      <c r="M76" s="179"/>
      <c r="N76" s="173"/>
      <c r="O76" s="159"/>
      <c r="P76" s="155"/>
      <c r="Q76" s="219" t="s">
        <v>141</v>
      </c>
      <c r="R76" s="220" t="s">
        <v>187</v>
      </c>
      <c r="S76" s="218"/>
      <c r="T76" s="218"/>
      <c r="U76" s="221">
        <v>19000</v>
      </c>
      <c r="V76" s="219"/>
      <c r="W76" s="220"/>
      <c r="X76" s="218"/>
      <c r="Y76" s="221">
        <v>30000</v>
      </c>
    </row>
    <row r="77" spans="1:27" ht="16.149999999999999" customHeight="1" x14ac:dyDescent="0.2">
      <c r="A77" s="370"/>
      <c r="B77" s="369"/>
      <c r="C77" s="180">
        <f t="shared" si="1"/>
        <v>36000</v>
      </c>
      <c r="D77" s="222" t="s">
        <v>131</v>
      </c>
      <c r="E77" s="220" t="s">
        <v>191</v>
      </c>
      <c r="F77" s="220"/>
      <c r="G77" s="218"/>
      <c r="H77" s="221">
        <f>38000-H76</f>
        <v>17000</v>
      </c>
      <c r="I77" s="219"/>
      <c r="J77" s="220"/>
      <c r="K77" s="218"/>
      <c r="L77" s="221"/>
      <c r="M77" s="179"/>
      <c r="N77" s="173"/>
      <c r="O77" s="159"/>
      <c r="P77" s="155"/>
      <c r="Q77" s="219" t="s">
        <v>189</v>
      </c>
      <c r="R77" s="220" t="s">
        <v>188</v>
      </c>
      <c r="S77" s="218"/>
      <c r="T77" s="218"/>
      <c r="U77" s="221">
        <v>19000</v>
      </c>
      <c r="V77" s="219"/>
      <c r="W77" s="220"/>
      <c r="X77" s="218"/>
      <c r="Y77" s="221"/>
    </row>
    <row r="78" spans="1:27" ht="16.149999999999999" customHeight="1" x14ac:dyDescent="0.2">
      <c r="A78" s="370"/>
      <c r="B78" s="369"/>
      <c r="C78" s="180">
        <f t="shared" si="1"/>
        <v>0</v>
      </c>
      <c r="D78" s="222"/>
      <c r="E78" s="220"/>
      <c r="F78" s="220"/>
      <c r="G78" s="218"/>
      <c r="H78" s="221"/>
      <c r="I78" s="219"/>
      <c r="J78" s="220"/>
      <c r="K78" s="218"/>
      <c r="L78" s="221"/>
      <c r="M78" s="179"/>
      <c r="N78" s="173"/>
      <c r="O78" s="159"/>
      <c r="P78" s="155"/>
      <c r="Q78" s="219"/>
      <c r="R78" s="220"/>
      <c r="S78" s="218"/>
      <c r="T78" s="218"/>
      <c r="U78" s="221"/>
      <c r="V78" s="219"/>
      <c r="W78" s="220"/>
      <c r="X78" s="218"/>
      <c r="Y78" s="221"/>
    </row>
    <row r="79" spans="1:27" ht="16.149999999999999" customHeight="1" x14ac:dyDescent="0.2">
      <c r="A79" s="370">
        <f>A75+1</f>
        <v>45065</v>
      </c>
      <c r="B79" s="369" t="str">
        <f>IF(WEEKDAY(A79)=1,"CN","T"&amp;WEEKDAY(A79))</f>
        <v>T6</v>
      </c>
      <c r="C79" s="180">
        <f t="shared" si="1"/>
        <v>158000</v>
      </c>
      <c r="D79" s="222" t="s">
        <v>131</v>
      </c>
      <c r="E79" s="220" t="s">
        <v>191</v>
      </c>
      <c r="F79" s="220"/>
      <c r="G79" s="218"/>
      <c r="H79" s="221">
        <v>38000</v>
      </c>
      <c r="I79" s="219" t="s">
        <v>105</v>
      </c>
      <c r="J79" s="220" t="s">
        <v>180</v>
      </c>
      <c r="K79" s="218"/>
      <c r="L79" s="221">
        <v>41000</v>
      </c>
      <c r="M79" s="219" t="s">
        <v>137</v>
      </c>
      <c r="N79" s="220" t="s">
        <v>194</v>
      </c>
      <c r="O79" s="218"/>
      <c r="P79" s="221">
        <v>41000</v>
      </c>
      <c r="Q79" s="219" t="s">
        <v>189</v>
      </c>
      <c r="R79" s="220" t="s">
        <v>188</v>
      </c>
      <c r="S79" s="218"/>
      <c r="T79" s="218"/>
      <c r="U79" s="221">
        <v>38000</v>
      </c>
      <c r="V79" s="219" t="s">
        <v>124</v>
      </c>
      <c r="W79" s="220" t="s">
        <v>169</v>
      </c>
      <c r="X79" s="218"/>
      <c r="Y79" s="221">
        <v>88000</v>
      </c>
    </row>
    <row r="80" spans="1:27" ht="16.149999999999999" customHeight="1" x14ac:dyDescent="0.2">
      <c r="A80" s="370"/>
      <c r="B80" s="369"/>
      <c r="C80" s="180">
        <f t="shared" si="1"/>
        <v>0</v>
      </c>
      <c r="D80" s="222"/>
      <c r="E80" s="220"/>
      <c r="F80" s="220"/>
      <c r="G80" s="218"/>
      <c r="H80" s="221"/>
      <c r="I80" s="260"/>
      <c r="J80" s="260"/>
      <c r="K80" s="260"/>
      <c r="L80" s="260"/>
      <c r="M80" s="219"/>
      <c r="N80" s="220"/>
      <c r="O80" s="218"/>
      <c r="P80" s="221"/>
      <c r="Q80" s="219"/>
      <c r="R80" s="220"/>
      <c r="S80" s="218"/>
      <c r="T80" s="218"/>
      <c r="U80" s="221"/>
      <c r="V80" s="219"/>
      <c r="W80" s="220"/>
      <c r="X80" s="218"/>
      <c r="Y80" s="221"/>
    </row>
    <row r="81" spans="1:25" ht="16.149999999999999" customHeight="1" x14ac:dyDescent="0.2">
      <c r="A81" s="370"/>
      <c r="B81" s="369"/>
      <c r="C81" s="180">
        <f t="shared" si="1"/>
        <v>0</v>
      </c>
      <c r="D81" s="222"/>
      <c r="E81" s="220"/>
      <c r="F81" s="220"/>
      <c r="G81" s="218"/>
      <c r="H81" s="221"/>
      <c r="I81" s="260"/>
      <c r="J81" s="260"/>
      <c r="K81" s="260"/>
      <c r="L81" s="260"/>
      <c r="M81" s="219"/>
      <c r="N81" s="220"/>
      <c r="O81" s="218"/>
      <c r="P81" s="221"/>
      <c r="Q81" s="219"/>
      <c r="R81" s="220"/>
      <c r="S81" s="218"/>
      <c r="T81" s="218"/>
      <c r="U81" s="221"/>
      <c r="V81" s="219"/>
      <c r="W81" s="220"/>
      <c r="X81" s="218"/>
      <c r="Y81" s="221"/>
    </row>
    <row r="82" spans="1:25" ht="16.149999999999999" customHeight="1" x14ac:dyDescent="0.2">
      <c r="A82" s="370"/>
      <c r="B82" s="369"/>
      <c r="C82" s="180">
        <f t="shared" si="1"/>
        <v>0</v>
      </c>
      <c r="D82" s="222"/>
      <c r="E82" s="220"/>
      <c r="F82" s="220"/>
      <c r="G82" s="218"/>
      <c r="H82" s="221"/>
      <c r="I82" s="260"/>
      <c r="J82" s="260"/>
      <c r="K82" s="260"/>
      <c r="L82" s="260"/>
      <c r="M82" s="219"/>
      <c r="N82" s="220"/>
      <c r="O82" s="218"/>
      <c r="P82" s="221"/>
      <c r="Q82" s="219"/>
      <c r="R82" s="220"/>
      <c r="S82" s="218"/>
      <c r="T82" s="218"/>
      <c r="U82" s="221"/>
      <c r="V82" s="219"/>
      <c r="W82" s="220"/>
      <c r="X82" s="218"/>
      <c r="Y82" s="221"/>
    </row>
    <row r="83" spans="1:25" ht="16.149999999999999" customHeight="1" x14ac:dyDescent="0.2">
      <c r="A83" s="370">
        <f>A79+1</f>
        <v>45066</v>
      </c>
      <c r="B83" s="369" t="str">
        <f>IF(WEEKDAY(A83)=1,"CN","T"&amp;WEEKDAY(A83))</f>
        <v>T7</v>
      </c>
      <c r="C83" s="180">
        <f t="shared" si="1"/>
        <v>133000</v>
      </c>
      <c r="D83" s="222" t="s">
        <v>131</v>
      </c>
      <c r="E83" s="220" t="s">
        <v>191</v>
      </c>
      <c r="F83" s="220"/>
      <c r="G83" s="218"/>
      <c r="H83" s="221">
        <v>38000</v>
      </c>
      <c r="I83" s="219" t="s">
        <v>105</v>
      </c>
      <c r="J83" s="220" t="s">
        <v>180</v>
      </c>
      <c r="K83" s="218"/>
      <c r="L83" s="221">
        <v>42000</v>
      </c>
      <c r="M83" s="219" t="s">
        <v>137</v>
      </c>
      <c r="N83" s="220" t="s">
        <v>194</v>
      </c>
      <c r="O83" s="218"/>
      <c r="P83" s="221">
        <f>56000-P79</f>
        <v>15000</v>
      </c>
      <c r="Q83" s="219" t="s">
        <v>189</v>
      </c>
      <c r="R83" s="220" t="s">
        <v>188</v>
      </c>
      <c r="S83" s="218"/>
      <c r="T83" s="218"/>
      <c r="U83" s="221">
        <v>38000</v>
      </c>
      <c r="V83" s="219" t="s">
        <v>124</v>
      </c>
      <c r="W83" s="220" t="s">
        <v>169</v>
      </c>
      <c r="X83" s="218"/>
      <c r="Y83" s="221">
        <v>50000</v>
      </c>
    </row>
    <row r="84" spans="1:25" ht="16.149999999999999" customHeight="1" x14ac:dyDescent="0.2">
      <c r="A84" s="370"/>
      <c r="B84" s="369"/>
      <c r="C84" s="180">
        <f t="shared" si="1"/>
        <v>26000</v>
      </c>
      <c r="D84" s="222"/>
      <c r="E84" s="220"/>
      <c r="F84" s="220"/>
      <c r="G84" s="218"/>
      <c r="H84" s="221"/>
      <c r="I84" s="219"/>
      <c r="J84" s="220"/>
      <c r="K84" s="218"/>
      <c r="L84" s="221"/>
      <c r="M84" s="219" t="s">
        <v>177</v>
      </c>
      <c r="N84" s="220" t="s">
        <v>178</v>
      </c>
      <c r="O84" s="218"/>
      <c r="P84" s="221">
        <f>41000-P83</f>
        <v>26000</v>
      </c>
      <c r="Q84" s="219"/>
      <c r="R84" s="220"/>
      <c r="S84" s="218"/>
      <c r="T84" s="218"/>
      <c r="U84" s="221"/>
      <c r="V84" s="219" t="s">
        <v>115</v>
      </c>
      <c r="W84" s="220" t="s">
        <v>170</v>
      </c>
      <c r="X84" s="218"/>
      <c r="Y84" s="221">
        <v>38000</v>
      </c>
    </row>
    <row r="85" spans="1:25" ht="16.149999999999999" customHeight="1" x14ac:dyDescent="0.2">
      <c r="A85" s="370"/>
      <c r="B85" s="369"/>
      <c r="C85" s="180">
        <f t="shared" si="1"/>
        <v>0</v>
      </c>
      <c r="D85" s="222"/>
      <c r="E85" s="220"/>
      <c r="F85" s="220"/>
      <c r="G85" s="218"/>
      <c r="H85" s="221"/>
      <c r="I85" s="219"/>
      <c r="J85" s="220"/>
      <c r="K85" s="218"/>
      <c r="L85" s="221"/>
      <c r="M85" s="219"/>
      <c r="N85" s="220"/>
      <c r="O85" s="218"/>
      <c r="P85" s="221"/>
      <c r="Q85" s="219"/>
      <c r="R85" s="220"/>
      <c r="S85" s="218"/>
      <c r="T85" s="218"/>
      <c r="U85" s="221"/>
      <c r="V85" s="204"/>
      <c r="W85" s="173"/>
      <c r="X85" s="206"/>
      <c r="Y85" s="205"/>
    </row>
    <row r="86" spans="1:25" ht="16.149999999999999" customHeight="1" x14ac:dyDescent="0.2">
      <c r="A86" s="370"/>
      <c r="B86" s="369"/>
      <c r="C86" s="180">
        <f t="shared" si="1"/>
        <v>0</v>
      </c>
      <c r="D86" s="222"/>
      <c r="E86" s="220"/>
      <c r="F86" s="220"/>
      <c r="G86" s="218"/>
      <c r="H86" s="221"/>
      <c r="I86" s="219"/>
      <c r="J86" s="220"/>
      <c r="K86" s="218"/>
      <c r="L86" s="221"/>
      <c r="M86" s="219"/>
      <c r="N86" s="220"/>
      <c r="O86" s="218"/>
      <c r="P86" s="221"/>
      <c r="Q86" s="219"/>
      <c r="R86" s="220"/>
      <c r="S86" s="218"/>
      <c r="T86" s="218"/>
      <c r="U86" s="221"/>
      <c r="V86" s="204"/>
      <c r="W86" s="173"/>
      <c r="X86" s="206"/>
      <c r="Y86" s="205"/>
    </row>
    <row r="87" spans="1:25" ht="42" customHeight="1" x14ac:dyDescent="0.2">
      <c r="A87" s="370">
        <f>A83+1</f>
        <v>45067</v>
      </c>
      <c r="B87" s="369" t="str">
        <f>IF(WEEKDAY(A87)=1,"CN","T"&amp;WEEKDAY(A87))</f>
        <v>CN</v>
      </c>
      <c r="C87" s="180">
        <f t="shared" si="1"/>
        <v>99000</v>
      </c>
      <c r="D87" s="222" t="s">
        <v>131</v>
      </c>
      <c r="E87" s="220" t="s">
        <v>191</v>
      </c>
      <c r="F87" s="220"/>
      <c r="G87" s="218"/>
      <c r="H87" s="221">
        <v>17000</v>
      </c>
      <c r="I87" s="219" t="s">
        <v>105</v>
      </c>
      <c r="J87" s="220" t="s">
        <v>181</v>
      </c>
      <c r="K87" s="218"/>
      <c r="L87" s="221">
        <v>41000</v>
      </c>
      <c r="M87" s="219" t="s">
        <v>177</v>
      </c>
      <c r="N87" s="220" t="s">
        <v>178</v>
      </c>
      <c r="O87" s="218"/>
      <c r="P87" s="221">
        <v>41000</v>
      </c>
      <c r="Q87" s="268"/>
      <c r="R87" s="266"/>
      <c r="S87" s="266"/>
      <c r="T87" s="266"/>
      <c r="U87" s="267"/>
      <c r="V87" s="204"/>
      <c r="W87" s="173"/>
      <c r="X87" s="206"/>
      <c r="Y87" s="205"/>
    </row>
    <row r="88" spans="1:25" ht="16.149999999999999" customHeight="1" x14ac:dyDescent="0.2">
      <c r="A88" s="370"/>
      <c r="B88" s="369"/>
      <c r="C88" s="180">
        <f t="shared" si="1"/>
        <v>21000</v>
      </c>
      <c r="D88" s="164" t="s">
        <v>121</v>
      </c>
      <c r="E88" s="173" t="s">
        <v>192</v>
      </c>
      <c r="F88" s="173"/>
      <c r="G88" s="166"/>
      <c r="H88" s="246">
        <f>38000-H87</f>
        <v>21000</v>
      </c>
      <c r="I88" s="219"/>
      <c r="J88" s="220"/>
      <c r="K88" s="218"/>
      <c r="L88" s="221"/>
      <c r="M88" s="219"/>
      <c r="N88" s="220"/>
      <c r="O88" s="218"/>
      <c r="P88" s="221"/>
      <c r="Q88" s="219"/>
      <c r="R88" s="220"/>
      <c r="S88" s="218"/>
      <c r="T88" s="218"/>
      <c r="U88" s="221"/>
      <c r="V88" s="204"/>
      <c r="W88" s="173"/>
      <c r="X88" s="206"/>
      <c r="Y88" s="205"/>
    </row>
    <row r="89" spans="1:25" ht="16.149999999999999" customHeight="1" x14ac:dyDescent="0.2">
      <c r="A89" s="370"/>
      <c r="B89" s="369"/>
      <c r="C89" s="180">
        <f t="shared" si="1"/>
        <v>0</v>
      </c>
      <c r="D89" s="164"/>
      <c r="E89" s="173"/>
      <c r="F89" s="173"/>
      <c r="G89" s="166"/>
      <c r="H89" s="165"/>
      <c r="I89" s="219"/>
      <c r="J89" s="220"/>
      <c r="K89" s="218"/>
      <c r="L89" s="221"/>
      <c r="M89" s="219"/>
      <c r="N89" s="220"/>
      <c r="O89" s="218"/>
      <c r="P89" s="221"/>
      <c r="Q89" s="219"/>
      <c r="R89" s="220"/>
      <c r="S89" s="218"/>
      <c r="T89" s="218"/>
      <c r="U89" s="221"/>
      <c r="V89" s="204"/>
      <c r="W89" s="173"/>
      <c r="X89" s="206"/>
      <c r="Y89" s="205"/>
    </row>
    <row r="90" spans="1:25" ht="16.149999999999999" customHeight="1" x14ac:dyDescent="0.2">
      <c r="A90" s="370"/>
      <c r="B90" s="369"/>
      <c r="C90" s="180">
        <f t="shared" si="1"/>
        <v>0</v>
      </c>
      <c r="D90" s="164"/>
      <c r="E90" s="173"/>
      <c r="F90" s="173"/>
      <c r="G90" s="166"/>
      <c r="H90" s="165"/>
      <c r="I90" s="219"/>
      <c r="J90" s="220"/>
      <c r="K90" s="218"/>
      <c r="L90" s="221"/>
      <c r="M90" s="219"/>
      <c r="N90" s="220"/>
      <c r="O90" s="218"/>
      <c r="P90" s="221"/>
      <c r="Q90" s="219"/>
      <c r="R90" s="220"/>
      <c r="S90" s="218"/>
      <c r="T90" s="218"/>
      <c r="U90" s="221"/>
      <c r="V90" s="204"/>
      <c r="W90" s="173"/>
      <c r="X90" s="206"/>
      <c r="Y90" s="205"/>
    </row>
    <row r="91" spans="1:25" ht="16.149999999999999" customHeight="1" x14ac:dyDescent="0.2">
      <c r="A91" s="370">
        <f>A87+1</f>
        <v>45068</v>
      </c>
      <c r="B91" s="369" t="str">
        <f>IF(WEEKDAY(A91)=1,"CN","T"&amp;WEEKDAY(A91))</f>
        <v>T2</v>
      </c>
      <c r="C91" s="180">
        <f t="shared" si="1"/>
        <v>82000</v>
      </c>
      <c r="D91" s="164" t="s">
        <v>121</v>
      </c>
      <c r="E91" s="173" t="s">
        <v>192</v>
      </c>
      <c r="F91" s="173"/>
      <c r="G91" s="166"/>
      <c r="H91" s="165">
        <v>3000</v>
      </c>
      <c r="I91" s="219" t="s">
        <v>105</v>
      </c>
      <c r="J91" s="220" t="s">
        <v>181</v>
      </c>
      <c r="K91" s="218"/>
      <c r="L91" s="221">
        <v>41000</v>
      </c>
      <c r="M91" s="219"/>
      <c r="N91" s="220"/>
      <c r="O91" s="218"/>
      <c r="P91" s="221"/>
      <c r="Q91" s="219" t="s">
        <v>189</v>
      </c>
      <c r="R91" s="220" t="s">
        <v>188</v>
      </c>
      <c r="S91" s="218"/>
      <c r="T91" s="218"/>
      <c r="U91" s="221">
        <v>38000</v>
      </c>
      <c r="V91" s="219" t="s">
        <v>115</v>
      </c>
      <c r="W91" s="220" t="s">
        <v>170</v>
      </c>
      <c r="X91" s="218"/>
      <c r="Y91" s="221">
        <v>88000</v>
      </c>
    </row>
    <row r="92" spans="1:25" ht="16.149999999999999" customHeight="1" x14ac:dyDescent="0.2">
      <c r="A92" s="370"/>
      <c r="B92" s="369"/>
      <c r="C92" s="180">
        <f t="shared" si="1"/>
        <v>41000</v>
      </c>
      <c r="D92" s="164"/>
      <c r="E92" s="173"/>
      <c r="F92" s="173"/>
      <c r="G92" s="166"/>
      <c r="H92" s="165"/>
      <c r="I92" s="261"/>
      <c r="J92" s="262"/>
      <c r="K92" s="263"/>
      <c r="L92" s="264"/>
      <c r="M92" s="219" t="s">
        <v>177</v>
      </c>
      <c r="N92" s="220" t="s">
        <v>178</v>
      </c>
      <c r="O92" s="218"/>
      <c r="P92" s="221">
        <v>41000</v>
      </c>
      <c r="Q92" s="219"/>
      <c r="R92" s="220"/>
      <c r="S92" s="218"/>
      <c r="T92" s="218"/>
      <c r="U92" s="221"/>
      <c r="V92" s="219"/>
      <c r="W92" s="220"/>
      <c r="X92" s="218"/>
      <c r="Y92" s="221"/>
    </row>
    <row r="93" spans="1:25" ht="16.149999999999999" customHeight="1" x14ac:dyDescent="0.2">
      <c r="A93" s="370"/>
      <c r="B93" s="369"/>
      <c r="C93" s="180">
        <f t="shared" si="1"/>
        <v>24000</v>
      </c>
      <c r="D93" s="164" t="s">
        <v>104</v>
      </c>
      <c r="E93" s="173" t="s">
        <v>193</v>
      </c>
      <c r="F93" s="173"/>
      <c r="G93" s="166"/>
      <c r="H93" s="165">
        <v>24000</v>
      </c>
      <c r="I93" s="261"/>
      <c r="J93" s="262"/>
      <c r="K93" s="263"/>
      <c r="L93" s="264"/>
      <c r="M93" s="219"/>
      <c r="N93" s="220"/>
      <c r="O93" s="218"/>
      <c r="P93" s="221"/>
      <c r="Q93" s="219"/>
      <c r="R93" s="220"/>
      <c r="S93" s="218"/>
      <c r="T93" s="218"/>
      <c r="U93" s="221"/>
      <c r="V93" s="219"/>
      <c r="W93" s="220"/>
      <c r="X93" s="218"/>
      <c r="Y93" s="221"/>
    </row>
    <row r="94" spans="1:25" ht="16.149999999999999" customHeight="1" x14ac:dyDescent="0.2">
      <c r="A94" s="370"/>
      <c r="B94" s="369"/>
      <c r="C94" s="180">
        <f t="shared" si="1"/>
        <v>0</v>
      </c>
      <c r="D94" s="164"/>
      <c r="E94" s="173"/>
      <c r="F94" s="173"/>
      <c r="G94" s="166"/>
      <c r="H94" s="165"/>
      <c r="I94" s="261"/>
      <c r="J94" s="262"/>
      <c r="K94" s="263"/>
      <c r="L94" s="264"/>
      <c r="M94" s="219"/>
      <c r="N94" s="220"/>
      <c r="O94" s="218"/>
      <c r="P94" s="221"/>
      <c r="Q94" s="219"/>
      <c r="R94" s="220"/>
      <c r="S94" s="218"/>
      <c r="T94" s="218"/>
      <c r="U94" s="221"/>
      <c r="V94" s="219"/>
      <c r="W94" s="220"/>
      <c r="X94" s="218"/>
      <c r="Y94" s="221"/>
    </row>
    <row r="95" spans="1:25" ht="16.149999999999999" customHeight="1" x14ac:dyDescent="0.2">
      <c r="A95" s="370">
        <f>A91+1</f>
        <v>45069</v>
      </c>
      <c r="B95" s="369" t="str">
        <f>IF(WEEKDAY(A95)=1,"CN","T"&amp;WEEKDAY(A95))</f>
        <v>T3</v>
      </c>
      <c r="C95" s="180">
        <f t="shared" si="1"/>
        <v>62000</v>
      </c>
      <c r="D95" s="164"/>
      <c r="E95" s="173"/>
      <c r="F95" s="173"/>
      <c r="G95" s="166"/>
      <c r="H95" s="165"/>
      <c r="I95" s="219" t="s">
        <v>105</v>
      </c>
      <c r="J95" s="220" t="s">
        <v>181</v>
      </c>
      <c r="K95" s="218"/>
      <c r="L95" s="221">
        <v>41000</v>
      </c>
      <c r="M95" s="219" t="s">
        <v>177</v>
      </c>
      <c r="N95" s="220" t="s">
        <v>178</v>
      </c>
      <c r="O95" s="218"/>
      <c r="P95" s="221">
        <v>4000</v>
      </c>
      <c r="Q95" s="219" t="s">
        <v>189</v>
      </c>
      <c r="R95" s="220" t="s">
        <v>188</v>
      </c>
      <c r="S95" s="218"/>
      <c r="T95" s="218"/>
      <c r="U95" s="221">
        <v>17000</v>
      </c>
      <c r="V95" s="219" t="s">
        <v>115</v>
      </c>
      <c r="W95" s="220" t="s">
        <v>170</v>
      </c>
      <c r="X95" s="218"/>
      <c r="Y95" s="221">
        <v>88000</v>
      </c>
    </row>
    <row r="96" spans="1:25" ht="16.149999999999999" customHeight="1" x14ac:dyDescent="0.2">
      <c r="A96" s="370"/>
      <c r="B96" s="369"/>
      <c r="C96" s="180">
        <f t="shared" si="1"/>
        <v>58000</v>
      </c>
      <c r="D96" s="164"/>
      <c r="E96" s="173"/>
      <c r="F96" s="173"/>
      <c r="G96" s="166"/>
      <c r="H96" s="165"/>
      <c r="I96" s="219"/>
      <c r="J96" s="220"/>
      <c r="K96" s="218"/>
      <c r="L96" s="221"/>
      <c r="M96" s="219" t="s">
        <v>117</v>
      </c>
      <c r="N96" s="220"/>
      <c r="O96" s="218"/>
      <c r="P96" s="221">
        <f>41000-P95</f>
        <v>37000</v>
      </c>
      <c r="Q96" s="219" t="s">
        <v>143</v>
      </c>
      <c r="R96" s="220"/>
      <c r="S96" s="218"/>
      <c r="T96" s="218"/>
      <c r="U96" s="221">
        <v>21000</v>
      </c>
      <c r="V96" s="219"/>
      <c r="W96" s="220"/>
      <c r="X96" s="218"/>
      <c r="Y96" s="221"/>
    </row>
    <row r="97" spans="1:25" ht="16.149999999999999" customHeight="1" x14ac:dyDescent="0.2">
      <c r="A97" s="370"/>
      <c r="B97" s="369"/>
      <c r="C97" s="180">
        <f t="shared" si="1"/>
        <v>0</v>
      </c>
      <c r="D97" s="164"/>
      <c r="E97" s="173"/>
      <c r="F97" s="173"/>
      <c r="G97" s="166"/>
      <c r="H97" s="166"/>
      <c r="I97" s="219"/>
      <c r="J97" s="220"/>
      <c r="K97" s="218"/>
      <c r="L97" s="221"/>
      <c r="M97" s="219"/>
      <c r="N97" s="220"/>
      <c r="O97" s="218"/>
      <c r="P97" s="221"/>
      <c r="Q97" s="219"/>
      <c r="R97" s="220"/>
      <c r="S97" s="218"/>
      <c r="T97" s="218"/>
      <c r="U97" s="221"/>
      <c r="V97" s="219"/>
      <c r="W97" s="220"/>
      <c r="X97" s="218"/>
      <c r="Y97" s="221"/>
    </row>
    <row r="98" spans="1:25" ht="16.149999999999999" customHeight="1" x14ac:dyDescent="0.2">
      <c r="A98" s="370"/>
      <c r="B98" s="369"/>
      <c r="C98" s="180">
        <f t="shared" si="1"/>
        <v>0</v>
      </c>
      <c r="D98" s="164"/>
      <c r="E98" s="173"/>
      <c r="F98" s="173"/>
      <c r="G98" s="166"/>
      <c r="H98" s="166"/>
      <c r="I98" s="219"/>
      <c r="J98" s="220"/>
      <c r="K98" s="218"/>
      <c r="L98" s="221"/>
      <c r="M98" s="219"/>
      <c r="N98" s="220"/>
      <c r="O98" s="218"/>
      <c r="P98" s="221"/>
      <c r="Q98" s="219"/>
      <c r="R98" s="220"/>
      <c r="S98" s="218"/>
      <c r="T98" s="218"/>
      <c r="U98" s="221"/>
      <c r="V98" s="219"/>
      <c r="W98" s="220"/>
      <c r="X98" s="218"/>
      <c r="Y98" s="221"/>
    </row>
    <row r="99" spans="1:25" ht="16.149999999999999" customHeight="1" x14ac:dyDescent="0.2">
      <c r="A99" s="370">
        <f>A95+1</f>
        <v>45070</v>
      </c>
      <c r="B99" s="369" t="str">
        <f>IF(WEEKDAY(A99)=1,"CN","T"&amp;WEEKDAY(A99))</f>
        <v>T4</v>
      </c>
      <c r="C99" s="180">
        <f t="shared" si="1"/>
        <v>57000</v>
      </c>
      <c r="D99" s="164"/>
      <c r="E99" s="173"/>
      <c r="F99" s="173"/>
      <c r="G99" s="166"/>
      <c r="H99" s="166"/>
      <c r="I99" s="219"/>
      <c r="J99" s="220"/>
      <c r="K99" s="218"/>
      <c r="L99" s="221"/>
      <c r="M99" s="219" t="s">
        <v>117</v>
      </c>
      <c r="N99" s="220"/>
      <c r="O99" s="218"/>
      <c r="P99" s="221">
        <f>56000-P96</f>
        <v>19000</v>
      </c>
      <c r="Q99" s="219" t="s">
        <v>143</v>
      </c>
      <c r="R99" s="220" t="s">
        <v>188</v>
      </c>
      <c r="S99" s="218"/>
      <c r="T99" s="218"/>
      <c r="U99" s="221">
        <v>38000</v>
      </c>
      <c r="V99" s="219" t="s">
        <v>115</v>
      </c>
      <c r="W99" s="220" t="s">
        <v>170</v>
      </c>
      <c r="X99" s="218"/>
      <c r="Y99" s="221">
        <v>56000</v>
      </c>
    </row>
    <row r="100" spans="1:25" ht="16.149999999999999" customHeight="1" x14ac:dyDescent="0.2">
      <c r="A100" s="370"/>
      <c r="B100" s="369"/>
      <c r="C100" s="180">
        <f t="shared" si="1"/>
        <v>61000</v>
      </c>
      <c r="D100" s="164"/>
      <c r="E100" s="173"/>
      <c r="F100" s="173"/>
      <c r="G100" s="166"/>
      <c r="H100" s="165"/>
      <c r="I100" s="219" t="s">
        <v>105</v>
      </c>
      <c r="J100" s="220" t="s">
        <v>181</v>
      </c>
      <c r="K100" s="218"/>
      <c r="L100" s="221">
        <v>39000</v>
      </c>
      <c r="M100" s="179" t="s">
        <v>123</v>
      </c>
      <c r="N100" s="269" t="s">
        <v>165</v>
      </c>
      <c r="O100" s="159"/>
      <c r="P100" s="155">
        <f>41000-P99</f>
        <v>22000</v>
      </c>
      <c r="Q100" s="219"/>
      <c r="R100" s="220"/>
      <c r="S100" s="218"/>
      <c r="T100" s="218"/>
      <c r="U100" s="221"/>
      <c r="V100" s="204"/>
      <c r="W100" s="173"/>
      <c r="X100" s="206"/>
      <c r="Y100" s="205"/>
    </row>
    <row r="101" spans="1:25" ht="16.149999999999999" customHeight="1" x14ac:dyDescent="0.2">
      <c r="A101" s="370"/>
      <c r="B101" s="369"/>
      <c r="C101" s="180">
        <f t="shared" si="1"/>
        <v>2000</v>
      </c>
      <c r="D101" s="164"/>
      <c r="E101" s="173"/>
      <c r="F101" s="173"/>
      <c r="G101" s="166"/>
      <c r="H101" s="165"/>
      <c r="I101" s="219" t="s">
        <v>105</v>
      </c>
      <c r="J101" s="220" t="s">
        <v>182</v>
      </c>
      <c r="K101" s="218"/>
      <c r="L101" s="221">
        <v>2000</v>
      </c>
      <c r="M101" s="179"/>
      <c r="N101" s="269"/>
      <c r="O101" s="159"/>
      <c r="P101" s="155"/>
      <c r="Q101" s="219"/>
      <c r="R101" s="220"/>
      <c r="S101" s="218"/>
      <c r="T101" s="218"/>
      <c r="U101" s="221"/>
      <c r="V101" s="204"/>
      <c r="W101" s="173"/>
      <c r="X101" s="206"/>
      <c r="Y101" s="205"/>
    </row>
    <row r="102" spans="1:25" ht="16.149999999999999" customHeight="1" x14ac:dyDescent="0.2">
      <c r="A102" s="370"/>
      <c r="B102" s="369"/>
      <c r="C102" s="180">
        <f t="shared" si="1"/>
        <v>0</v>
      </c>
      <c r="D102" s="164"/>
      <c r="E102" s="173"/>
      <c r="F102" s="173"/>
      <c r="G102" s="166"/>
      <c r="H102" s="165"/>
      <c r="I102" s="219"/>
      <c r="J102" s="220"/>
      <c r="K102" s="218"/>
      <c r="L102" s="221"/>
      <c r="M102" s="179"/>
      <c r="N102" s="269"/>
      <c r="O102" s="159"/>
      <c r="P102" s="155"/>
      <c r="Q102" s="219"/>
      <c r="R102" s="220"/>
      <c r="S102" s="218"/>
      <c r="T102" s="218"/>
      <c r="U102" s="221"/>
      <c r="V102" s="204"/>
      <c r="W102" s="173"/>
      <c r="X102" s="206"/>
      <c r="Y102" s="205"/>
    </row>
    <row r="103" spans="1:25" ht="16.149999999999999" customHeight="1" x14ac:dyDescent="0.2">
      <c r="A103" s="370">
        <f>A99+1</f>
        <v>45071</v>
      </c>
      <c r="B103" s="369" t="str">
        <f>IF(WEEKDAY(A103)=1,"CN","T"&amp;WEEKDAY(A103))</f>
        <v>T5</v>
      </c>
      <c r="C103" s="180">
        <f t="shared" si="1"/>
        <v>102000</v>
      </c>
      <c r="D103" s="164"/>
      <c r="E103" s="173"/>
      <c r="F103" s="173"/>
      <c r="G103" s="166"/>
      <c r="H103" s="165"/>
      <c r="I103" s="219" t="s">
        <v>105</v>
      </c>
      <c r="J103" s="220" t="s">
        <v>182</v>
      </c>
      <c r="K103" s="218"/>
      <c r="L103" s="221">
        <v>41000</v>
      </c>
      <c r="M103" s="179" t="s">
        <v>123</v>
      </c>
      <c r="N103" s="269" t="s">
        <v>165</v>
      </c>
      <c r="O103" s="159"/>
      <c r="P103" s="155">
        <f>45000-P100</f>
        <v>23000</v>
      </c>
      <c r="Q103" s="219" t="s">
        <v>143</v>
      </c>
      <c r="R103" s="220" t="s">
        <v>188</v>
      </c>
      <c r="S103" s="218"/>
      <c r="T103" s="218"/>
      <c r="U103" s="221">
        <v>38000</v>
      </c>
      <c r="V103" s="204"/>
      <c r="W103" s="173"/>
      <c r="X103" s="206"/>
      <c r="Y103" s="205"/>
    </row>
    <row r="104" spans="1:25" ht="16.149999999999999" customHeight="1" x14ac:dyDescent="0.2">
      <c r="A104" s="370"/>
      <c r="B104" s="369"/>
      <c r="C104" s="180">
        <f t="shared" si="1"/>
        <v>3000</v>
      </c>
      <c r="D104" s="164"/>
      <c r="E104" s="173"/>
      <c r="F104" s="173"/>
      <c r="G104" s="166"/>
      <c r="H104" s="165"/>
      <c r="I104" s="219"/>
      <c r="J104" s="220"/>
      <c r="K104" s="218"/>
      <c r="L104" s="221"/>
      <c r="M104" s="179" t="s">
        <v>176</v>
      </c>
      <c r="N104" s="269" t="s">
        <v>165</v>
      </c>
      <c r="O104" s="159"/>
      <c r="P104" s="155">
        <v>3000</v>
      </c>
      <c r="Q104" s="219"/>
      <c r="R104" s="220"/>
      <c r="S104" s="218"/>
      <c r="T104" s="218"/>
      <c r="U104" s="221"/>
      <c r="V104" s="204"/>
      <c r="W104" s="173"/>
      <c r="X104" s="206"/>
      <c r="Y104" s="205"/>
    </row>
    <row r="105" spans="1:25" ht="16.149999999999999" customHeight="1" x14ac:dyDescent="0.2">
      <c r="A105" s="370"/>
      <c r="B105" s="369"/>
      <c r="C105" s="180">
        <f t="shared" si="1"/>
        <v>0</v>
      </c>
      <c r="D105" s="164"/>
      <c r="E105" s="173"/>
      <c r="F105" s="173"/>
      <c r="G105" s="166"/>
      <c r="H105" s="165"/>
      <c r="I105" s="219"/>
      <c r="J105" s="220"/>
      <c r="K105" s="218"/>
      <c r="L105" s="221"/>
      <c r="M105" s="179"/>
      <c r="N105" s="269"/>
      <c r="O105" s="159"/>
      <c r="P105" s="155"/>
      <c r="Q105" s="219"/>
      <c r="R105" s="220"/>
      <c r="S105" s="218"/>
      <c r="T105" s="218"/>
      <c r="U105" s="221"/>
      <c r="V105" s="204"/>
      <c r="W105" s="173"/>
      <c r="X105" s="206"/>
      <c r="Y105" s="205"/>
    </row>
    <row r="106" spans="1:25" ht="16.149999999999999" customHeight="1" x14ac:dyDescent="0.2">
      <c r="A106" s="370"/>
      <c r="B106" s="369"/>
      <c r="C106" s="180">
        <f t="shared" si="1"/>
        <v>0</v>
      </c>
      <c r="D106" s="164"/>
      <c r="E106" s="173"/>
      <c r="F106" s="173"/>
      <c r="G106" s="166"/>
      <c r="H106" s="165"/>
      <c r="I106" s="219"/>
      <c r="J106" s="220"/>
      <c r="K106" s="218"/>
      <c r="L106" s="221"/>
      <c r="M106" s="179"/>
      <c r="N106" s="269"/>
      <c r="O106" s="159"/>
      <c r="P106" s="155"/>
      <c r="Q106" s="219"/>
      <c r="R106" s="220"/>
      <c r="S106" s="218"/>
      <c r="T106" s="218"/>
      <c r="U106" s="221"/>
      <c r="V106" s="204"/>
      <c r="W106" s="173"/>
      <c r="X106" s="206"/>
      <c r="Y106" s="205"/>
    </row>
    <row r="107" spans="1:25" ht="16.149999999999999" customHeight="1" x14ac:dyDescent="0.2">
      <c r="A107" s="370">
        <f>A103+1</f>
        <v>45072</v>
      </c>
      <c r="B107" s="369" t="str">
        <f>IF(WEEKDAY(A107)=1,"CN","T"&amp;WEEKDAY(A107))</f>
        <v>T6</v>
      </c>
      <c r="C107" s="180">
        <f t="shared" si="1"/>
        <v>69000</v>
      </c>
      <c r="D107" s="164"/>
      <c r="E107" s="173"/>
      <c r="F107" s="173"/>
      <c r="G107" s="166"/>
      <c r="H107" s="165"/>
      <c r="I107" s="219" t="s">
        <v>105</v>
      </c>
      <c r="J107" s="220" t="s">
        <v>182</v>
      </c>
      <c r="K107" s="218"/>
      <c r="L107" s="221">
        <v>41000</v>
      </c>
      <c r="M107" s="179"/>
      <c r="N107" s="269"/>
      <c r="O107" s="159"/>
      <c r="P107" s="155"/>
      <c r="Q107" s="219" t="s">
        <v>143</v>
      </c>
      <c r="R107" s="220" t="s">
        <v>188</v>
      </c>
      <c r="S107" s="218"/>
      <c r="T107" s="218"/>
      <c r="U107" s="221">
        <v>28000</v>
      </c>
      <c r="V107" s="204"/>
      <c r="W107" s="173"/>
      <c r="X107" s="206"/>
      <c r="Y107" s="205"/>
    </row>
    <row r="108" spans="1:25" ht="16.149999999999999" customHeight="1" x14ac:dyDescent="0.2">
      <c r="A108" s="370"/>
      <c r="B108" s="369"/>
      <c r="C108" s="180">
        <f t="shared" si="1"/>
        <v>10000</v>
      </c>
      <c r="D108" s="164"/>
      <c r="E108" s="173"/>
      <c r="F108" s="173"/>
      <c r="G108" s="166"/>
      <c r="H108" s="165"/>
      <c r="I108" s="219"/>
      <c r="J108" s="220"/>
      <c r="K108" s="218"/>
      <c r="L108" s="221"/>
      <c r="M108" s="179"/>
      <c r="N108" s="269"/>
      <c r="O108" s="159"/>
      <c r="P108" s="155"/>
      <c r="Q108" s="219" t="s">
        <v>143</v>
      </c>
      <c r="R108" s="220" t="s">
        <v>190</v>
      </c>
      <c r="S108" s="218"/>
      <c r="T108" s="218"/>
      <c r="U108" s="221">
        <v>10000</v>
      </c>
      <c r="V108" s="204"/>
      <c r="W108" s="173"/>
      <c r="X108" s="206"/>
      <c r="Y108" s="205"/>
    </row>
    <row r="109" spans="1:25" ht="16.149999999999999" customHeight="1" x14ac:dyDescent="0.2">
      <c r="A109" s="370"/>
      <c r="B109" s="369"/>
      <c r="C109" s="180">
        <f t="shared" si="1"/>
        <v>0</v>
      </c>
      <c r="D109" s="164"/>
      <c r="E109" s="173"/>
      <c r="F109" s="173"/>
      <c r="G109" s="166"/>
      <c r="H109" s="165"/>
      <c r="I109" s="219"/>
      <c r="J109" s="220"/>
      <c r="K109" s="218"/>
      <c r="L109" s="221"/>
      <c r="M109" s="179"/>
      <c r="N109" s="269"/>
      <c r="O109" s="159"/>
      <c r="P109" s="155"/>
      <c r="Q109" s="219"/>
      <c r="R109" s="220"/>
      <c r="S109" s="218"/>
      <c r="T109" s="218"/>
      <c r="U109" s="221"/>
      <c r="V109" s="204"/>
      <c r="W109" s="173"/>
      <c r="X109" s="206"/>
      <c r="Y109" s="205"/>
    </row>
    <row r="110" spans="1:25" ht="16.149999999999999" customHeight="1" x14ac:dyDescent="0.2">
      <c r="A110" s="370"/>
      <c r="B110" s="369"/>
      <c r="C110" s="180">
        <f t="shared" si="1"/>
        <v>0</v>
      </c>
      <c r="D110" s="164"/>
      <c r="E110" s="173"/>
      <c r="F110" s="173"/>
      <c r="G110" s="166"/>
      <c r="H110" s="165"/>
      <c r="I110" s="219"/>
      <c r="J110" s="220"/>
      <c r="K110" s="218"/>
      <c r="L110" s="221"/>
      <c r="M110" s="179"/>
      <c r="N110" s="269"/>
      <c r="O110" s="159"/>
      <c r="P110" s="155"/>
      <c r="Q110" s="219"/>
      <c r="R110" s="220"/>
      <c r="S110" s="218"/>
      <c r="T110" s="218"/>
      <c r="U110" s="221"/>
      <c r="V110" s="204"/>
      <c r="W110" s="173"/>
      <c r="X110" s="206"/>
      <c r="Y110" s="205"/>
    </row>
    <row r="111" spans="1:25" ht="16.149999999999999" customHeight="1" x14ac:dyDescent="0.2">
      <c r="A111" s="370">
        <f>A107+1</f>
        <v>45073</v>
      </c>
      <c r="B111" s="369" t="str">
        <f>IF(WEEKDAY(A111)=1,"CN","T"&amp;WEEKDAY(A111))</f>
        <v>T7</v>
      </c>
      <c r="C111" s="180">
        <f t="shared" si="1"/>
        <v>79000</v>
      </c>
      <c r="D111" s="164"/>
      <c r="E111" s="173"/>
      <c r="F111" s="173"/>
      <c r="G111" s="166"/>
      <c r="H111" s="165"/>
      <c r="I111" s="219" t="s">
        <v>105</v>
      </c>
      <c r="J111" s="220" t="s">
        <v>182</v>
      </c>
      <c r="K111" s="218"/>
      <c r="L111" s="221">
        <v>41000</v>
      </c>
      <c r="M111" s="179"/>
      <c r="N111" s="269"/>
      <c r="O111" s="159"/>
      <c r="P111" s="155"/>
      <c r="Q111" s="219" t="s">
        <v>143</v>
      </c>
      <c r="R111" s="220" t="s">
        <v>190</v>
      </c>
      <c r="S111" s="218"/>
      <c r="T111" s="218"/>
      <c r="U111" s="221">
        <v>38000</v>
      </c>
      <c r="V111" s="204"/>
      <c r="W111" s="173"/>
      <c r="X111" s="206"/>
      <c r="Y111" s="205"/>
    </row>
    <row r="112" spans="1:25" ht="16.149999999999999" customHeight="1" x14ac:dyDescent="0.2">
      <c r="A112" s="370"/>
      <c r="B112" s="369"/>
      <c r="C112" s="180">
        <f t="shared" si="1"/>
        <v>0</v>
      </c>
      <c r="D112" s="164"/>
      <c r="E112" s="173"/>
      <c r="F112" s="173"/>
      <c r="G112" s="166"/>
      <c r="H112" s="165"/>
      <c r="I112" s="219"/>
      <c r="J112" s="220"/>
      <c r="K112" s="218"/>
      <c r="L112" s="221"/>
      <c r="M112" s="179"/>
      <c r="N112" s="269"/>
      <c r="O112" s="159"/>
      <c r="P112" s="155"/>
      <c r="Q112" s="219"/>
      <c r="R112" s="220"/>
      <c r="S112" s="218"/>
      <c r="T112" s="218"/>
      <c r="U112" s="221"/>
      <c r="V112" s="204"/>
      <c r="W112" s="173"/>
      <c r="X112" s="206"/>
      <c r="Y112" s="205"/>
    </row>
    <row r="113" spans="1:25" ht="16.149999999999999" customHeight="1" x14ac:dyDescent="0.2">
      <c r="A113" s="370"/>
      <c r="B113" s="369"/>
      <c r="C113" s="180">
        <f t="shared" si="1"/>
        <v>0</v>
      </c>
      <c r="D113" s="164"/>
      <c r="E113" s="173"/>
      <c r="F113" s="173"/>
      <c r="G113" s="166"/>
      <c r="H113" s="165"/>
      <c r="I113" s="219"/>
      <c r="J113" s="220"/>
      <c r="K113" s="218"/>
      <c r="L113" s="221"/>
      <c r="M113" s="179"/>
      <c r="N113" s="269"/>
      <c r="O113" s="159"/>
      <c r="P113" s="155"/>
      <c r="Q113" s="219"/>
      <c r="R113" s="220"/>
      <c r="S113" s="218"/>
      <c r="T113" s="218"/>
      <c r="U113" s="221"/>
      <c r="V113" s="204"/>
      <c r="W113" s="173"/>
      <c r="X113" s="206"/>
      <c r="Y113" s="205"/>
    </row>
    <row r="114" spans="1:25" ht="16.149999999999999" customHeight="1" x14ac:dyDescent="0.2">
      <c r="A114" s="370"/>
      <c r="B114" s="369"/>
      <c r="C114" s="180">
        <f t="shared" si="1"/>
        <v>0</v>
      </c>
      <c r="D114" s="164"/>
      <c r="E114" s="173"/>
      <c r="F114" s="173"/>
      <c r="G114" s="166"/>
      <c r="H114" s="165"/>
      <c r="I114" s="219"/>
      <c r="J114" s="220"/>
      <c r="K114" s="218"/>
      <c r="L114" s="221"/>
      <c r="M114" s="179"/>
      <c r="N114" s="269"/>
      <c r="O114" s="159"/>
      <c r="P114" s="155"/>
      <c r="Q114" s="219"/>
      <c r="R114" s="220"/>
      <c r="S114" s="218"/>
      <c r="T114" s="218"/>
      <c r="U114" s="221"/>
      <c r="V114" s="204"/>
      <c r="W114" s="173"/>
      <c r="X114" s="206"/>
      <c r="Y114" s="205"/>
    </row>
    <row r="115" spans="1:25" ht="16.149999999999999" customHeight="1" x14ac:dyDescent="0.2">
      <c r="A115" s="370">
        <f>A111+1</f>
        <v>45074</v>
      </c>
      <c r="B115" s="369" t="str">
        <f>IF(WEEKDAY(A115)=1,"CN","T"&amp;WEEKDAY(A115))</f>
        <v>CN</v>
      </c>
      <c r="C115" s="180">
        <f t="shared" si="1"/>
        <v>37000</v>
      </c>
      <c r="D115" s="164"/>
      <c r="E115" s="173"/>
      <c r="F115" s="173"/>
      <c r="G115" s="166"/>
      <c r="H115" s="165"/>
      <c r="I115" s="219" t="s">
        <v>105</v>
      </c>
      <c r="J115" s="220" t="s">
        <v>182</v>
      </c>
      <c r="K115" s="218"/>
      <c r="L115" s="221">
        <v>37000</v>
      </c>
      <c r="M115" s="179"/>
      <c r="N115" s="269"/>
      <c r="O115" s="159"/>
      <c r="P115" s="155"/>
      <c r="Q115" s="219"/>
      <c r="R115" s="220"/>
      <c r="S115" s="218"/>
      <c r="T115" s="218"/>
      <c r="U115" s="221"/>
      <c r="V115" s="204"/>
      <c r="W115" s="173"/>
      <c r="X115" s="206"/>
      <c r="Y115" s="205"/>
    </row>
    <row r="116" spans="1:25" ht="16.149999999999999" customHeight="1" x14ac:dyDescent="0.2">
      <c r="A116" s="370"/>
      <c r="B116" s="369"/>
      <c r="C116" s="180">
        <f t="shared" si="1"/>
        <v>3000</v>
      </c>
      <c r="D116" s="164"/>
      <c r="E116" s="173"/>
      <c r="F116" s="173"/>
      <c r="G116" s="166"/>
      <c r="H116" s="165"/>
      <c r="I116" s="219" t="s">
        <v>105</v>
      </c>
      <c r="J116" s="220" t="s">
        <v>183</v>
      </c>
      <c r="K116" s="218"/>
      <c r="L116" s="221">
        <v>3000</v>
      </c>
      <c r="M116" s="179"/>
      <c r="N116" s="269"/>
      <c r="O116" s="159"/>
      <c r="P116" s="155"/>
      <c r="Q116" s="219"/>
      <c r="R116" s="220"/>
      <c r="S116" s="218"/>
      <c r="T116" s="218"/>
      <c r="U116" s="221"/>
      <c r="V116" s="204"/>
      <c r="W116" s="173"/>
      <c r="X116" s="206"/>
      <c r="Y116" s="205"/>
    </row>
    <row r="117" spans="1:25" ht="16.149999999999999" customHeight="1" x14ac:dyDescent="0.2">
      <c r="A117" s="370"/>
      <c r="B117" s="369"/>
      <c r="C117" s="180">
        <f t="shared" si="1"/>
        <v>0</v>
      </c>
      <c r="D117" s="164"/>
      <c r="E117" s="173"/>
      <c r="F117" s="173"/>
      <c r="G117" s="166"/>
      <c r="H117" s="165"/>
      <c r="I117" s="219"/>
      <c r="J117" s="220"/>
      <c r="K117" s="218"/>
      <c r="L117" s="221"/>
      <c r="M117" s="179"/>
      <c r="N117" s="269"/>
      <c r="O117" s="159"/>
      <c r="P117" s="155"/>
      <c r="Q117" s="219"/>
      <c r="R117" s="220"/>
      <c r="S117" s="218"/>
      <c r="T117" s="218"/>
      <c r="U117" s="221"/>
      <c r="V117" s="204"/>
      <c r="W117" s="173"/>
      <c r="X117" s="206"/>
      <c r="Y117" s="205"/>
    </row>
    <row r="118" spans="1:25" ht="16.149999999999999" customHeight="1" x14ac:dyDescent="0.2">
      <c r="A118" s="370"/>
      <c r="B118" s="369"/>
      <c r="C118" s="180">
        <f t="shared" si="1"/>
        <v>0</v>
      </c>
      <c r="D118" s="164"/>
      <c r="E118" s="173"/>
      <c r="F118" s="173"/>
      <c r="G118" s="166"/>
      <c r="H118" s="165"/>
      <c r="I118" s="219"/>
      <c r="J118" s="220"/>
      <c r="K118" s="218"/>
      <c r="L118" s="221"/>
      <c r="M118" s="179"/>
      <c r="N118" s="269"/>
      <c r="O118" s="159"/>
      <c r="P118" s="155"/>
      <c r="Q118" s="219"/>
      <c r="R118" s="220"/>
      <c r="S118" s="218"/>
      <c r="T118" s="218"/>
      <c r="U118" s="221"/>
      <c r="V118" s="204"/>
      <c r="W118" s="173"/>
      <c r="X118" s="206"/>
      <c r="Y118" s="205"/>
    </row>
    <row r="119" spans="1:25" ht="16.149999999999999" customHeight="1" x14ac:dyDescent="0.2">
      <c r="A119" s="370">
        <f>A115+1</f>
        <v>45075</v>
      </c>
      <c r="B119" s="369" t="str">
        <f>IF(WEEKDAY(A119)=1,"CN","T"&amp;WEEKDAY(A119))</f>
        <v>T2</v>
      </c>
      <c r="C119" s="180">
        <f>SUM(D119:U119)</f>
        <v>123000</v>
      </c>
      <c r="D119" s="222" t="s">
        <v>139</v>
      </c>
      <c r="E119" s="220" t="s">
        <v>190</v>
      </c>
      <c r="F119" s="220"/>
      <c r="G119" s="218"/>
      <c r="H119" s="221">
        <v>38000</v>
      </c>
      <c r="I119" s="219" t="s">
        <v>105</v>
      </c>
      <c r="J119" s="220" t="s">
        <v>165</v>
      </c>
      <c r="K119" s="218"/>
      <c r="L119" s="221">
        <v>6000</v>
      </c>
      <c r="M119" s="219" t="s">
        <v>124</v>
      </c>
      <c r="N119" s="220"/>
      <c r="O119" s="218"/>
      <c r="P119" s="221">
        <v>41000</v>
      </c>
      <c r="Q119" s="219" t="s">
        <v>143</v>
      </c>
      <c r="R119" s="220" t="s">
        <v>190</v>
      </c>
      <c r="S119" s="218"/>
      <c r="T119" s="218"/>
      <c r="U119" s="221">
        <v>38000</v>
      </c>
      <c r="V119" s="204"/>
      <c r="W119" s="173"/>
      <c r="X119" s="206"/>
      <c r="Y119" s="205"/>
    </row>
    <row r="120" spans="1:25" ht="16.149999999999999" customHeight="1" x14ac:dyDescent="0.2">
      <c r="A120" s="370"/>
      <c r="B120" s="369"/>
      <c r="C120" s="180">
        <f>SUM(D120:U120)</f>
        <v>10000</v>
      </c>
      <c r="D120" s="222"/>
      <c r="E120" s="220"/>
      <c r="F120" s="220"/>
      <c r="G120" s="218"/>
      <c r="H120" s="221"/>
      <c r="I120" s="219" t="s">
        <v>105</v>
      </c>
      <c r="J120" s="220" t="s">
        <v>103</v>
      </c>
      <c r="K120" s="218"/>
      <c r="L120" s="221">
        <v>10000</v>
      </c>
      <c r="M120" s="219"/>
      <c r="N120" s="220"/>
      <c r="O120" s="218"/>
      <c r="P120" s="221"/>
      <c r="Q120" s="219"/>
      <c r="R120" s="220"/>
      <c r="S120" s="218"/>
      <c r="T120" s="218"/>
      <c r="U120" s="221"/>
      <c r="V120" s="204"/>
      <c r="W120" s="173"/>
      <c r="X120" s="206"/>
      <c r="Y120" s="205"/>
    </row>
    <row r="121" spans="1:25" ht="16.149999999999999" customHeight="1" x14ac:dyDescent="0.2">
      <c r="A121" s="370"/>
      <c r="B121" s="369"/>
      <c r="C121" s="180">
        <f>SUM(D121:U121)</f>
        <v>20000</v>
      </c>
      <c r="D121" s="222"/>
      <c r="E121" s="220"/>
      <c r="F121" s="220"/>
      <c r="G121" s="218"/>
      <c r="H121" s="221"/>
      <c r="I121" s="219" t="s">
        <v>105</v>
      </c>
      <c r="J121" s="220" t="s">
        <v>184</v>
      </c>
      <c r="K121" s="218"/>
      <c r="L121" s="221">
        <v>20000</v>
      </c>
      <c r="M121" s="219"/>
      <c r="N121" s="220"/>
      <c r="O121" s="218"/>
      <c r="P121" s="221"/>
      <c r="Q121" s="219"/>
      <c r="R121" s="220"/>
      <c r="S121" s="218"/>
      <c r="T121" s="218"/>
      <c r="U121" s="221"/>
      <c r="V121" s="204"/>
      <c r="W121" s="173"/>
      <c r="X121" s="206"/>
      <c r="Y121" s="205"/>
    </row>
    <row r="122" spans="1:25" ht="16.149999999999999" customHeight="1" x14ac:dyDescent="0.2">
      <c r="A122" s="370"/>
      <c r="B122" s="369"/>
      <c r="C122" s="180">
        <f>SUM(D122:U122)</f>
        <v>2000</v>
      </c>
      <c r="D122" s="222"/>
      <c r="E122" s="220"/>
      <c r="F122" s="220"/>
      <c r="G122" s="218"/>
      <c r="H122" s="221"/>
      <c r="I122" s="219" t="s">
        <v>105</v>
      </c>
      <c r="J122" s="220" t="s">
        <v>185</v>
      </c>
      <c r="K122" s="218"/>
      <c r="L122" s="221">
        <v>2000</v>
      </c>
      <c r="M122" s="219"/>
      <c r="N122" s="220"/>
      <c r="O122" s="218"/>
      <c r="P122" s="221"/>
      <c r="Q122" s="219"/>
      <c r="R122" s="220"/>
      <c r="S122" s="218"/>
      <c r="T122" s="218"/>
      <c r="U122" s="221"/>
      <c r="V122" s="204"/>
      <c r="W122" s="173"/>
      <c r="X122" s="206"/>
      <c r="Y122" s="205"/>
    </row>
    <row r="123" spans="1:25" ht="16.149999999999999" customHeight="1" x14ac:dyDescent="0.2">
      <c r="A123" s="370">
        <f>A119+1</f>
        <v>45076</v>
      </c>
      <c r="B123" s="369" t="str">
        <f>IF(WEEKDAY(A123)=1,"CN","T"&amp;WEEKDAY(A123))</f>
        <v>T3</v>
      </c>
      <c r="C123" s="180">
        <f t="shared" si="1"/>
        <v>157000</v>
      </c>
      <c r="D123" s="222" t="s">
        <v>139</v>
      </c>
      <c r="E123" s="220" t="s">
        <v>190</v>
      </c>
      <c r="F123" s="220"/>
      <c r="G123" s="218"/>
      <c r="H123" s="221">
        <v>37000</v>
      </c>
      <c r="I123" s="219" t="s">
        <v>124</v>
      </c>
      <c r="J123" s="220" t="s">
        <v>186</v>
      </c>
      <c r="K123" s="218"/>
      <c r="L123" s="221">
        <v>41000</v>
      </c>
      <c r="M123" s="219" t="s">
        <v>124</v>
      </c>
      <c r="N123" s="220" t="s">
        <v>186</v>
      </c>
      <c r="O123" s="218"/>
      <c r="P123" s="221">
        <v>41000</v>
      </c>
      <c r="Q123" s="219" t="s">
        <v>143</v>
      </c>
      <c r="R123" s="220" t="s">
        <v>190</v>
      </c>
      <c r="S123" s="218"/>
      <c r="T123" s="218"/>
      <c r="U123" s="221">
        <v>38000</v>
      </c>
      <c r="V123" s="204"/>
      <c r="W123" s="173"/>
      <c r="X123" s="206"/>
      <c r="Y123" s="205"/>
    </row>
    <row r="124" spans="1:25" ht="16.149999999999999" customHeight="1" x14ac:dyDescent="0.2">
      <c r="A124" s="370"/>
      <c r="B124" s="369"/>
      <c r="C124" s="180">
        <f t="shared" si="1"/>
        <v>0</v>
      </c>
      <c r="D124" s="222"/>
      <c r="E124" s="220"/>
      <c r="F124" s="220"/>
      <c r="G124" s="218"/>
      <c r="H124" s="221"/>
      <c r="I124" s="219"/>
      <c r="J124" s="220"/>
      <c r="K124" s="218"/>
      <c r="L124" s="221"/>
      <c r="M124" s="219"/>
      <c r="N124" s="220"/>
      <c r="O124" s="218"/>
      <c r="P124" s="221"/>
      <c r="Q124" s="219"/>
      <c r="R124" s="220"/>
      <c r="S124" s="218"/>
      <c r="T124" s="218"/>
      <c r="U124" s="221"/>
      <c r="V124" s="204"/>
      <c r="W124" s="173"/>
      <c r="X124" s="206"/>
      <c r="Y124" s="205"/>
    </row>
    <row r="125" spans="1:25" ht="16.149999999999999" customHeight="1" x14ac:dyDescent="0.2">
      <c r="A125" s="370"/>
      <c r="B125" s="369"/>
      <c r="C125" s="180">
        <f t="shared" si="1"/>
        <v>0</v>
      </c>
      <c r="D125" s="222"/>
      <c r="E125" s="220"/>
      <c r="F125" s="220"/>
      <c r="G125" s="265"/>
      <c r="H125" s="221"/>
      <c r="I125" s="219"/>
      <c r="J125" s="220"/>
      <c r="K125" s="218"/>
      <c r="L125" s="221"/>
      <c r="M125" s="219"/>
      <c r="N125" s="220"/>
      <c r="O125" s="218"/>
      <c r="P125" s="221"/>
      <c r="Q125" s="219"/>
      <c r="R125" s="220"/>
      <c r="S125" s="218"/>
      <c r="T125" s="218"/>
      <c r="U125" s="221"/>
      <c r="V125" s="204"/>
      <c r="W125" s="173"/>
      <c r="X125" s="206"/>
      <c r="Y125" s="205"/>
    </row>
    <row r="126" spans="1:25" ht="16.149999999999999" customHeight="1" x14ac:dyDescent="0.2">
      <c r="A126" s="370"/>
      <c r="B126" s="369"/>
      <c r="C126" s="180">
        <f t="shared" si="1"/>
        <v>0</v>
      </c>
      <c r="D126" s="222"/>
      <c r="E126" s="220"/>
      <c r="F126" s="220"/>
      <c r="G126" s="265"/>
      <c r="H126" s="221"/>
      <c r="I126" s="219"/>
      <c r="J126" s="220"/>
      <c r="K126" s="218"/>
      <c r="L126" s="221"/>
      <c r="M126" s="219"/>
      <c r="N126" s="220"/>
      <c r="O126" s="218"/>
      <c r="P126" s="221"/>
      <c r="Q126" s="219"/>
      <c r="R126" s="220"/>
      <c r="S126" s="218"/>
      <c r="T126" s="218"/>
      <c r="U126" s="221"/>
      <c r="V126" s="204"/>
      <c r="W126" s="173"/>
      <c r="X126" s="206"/>
      <c r="Y126" s="205"/>
    </row>
    <row r="127" spans="1:25" ht="16.149999999999999" customHeight="1" x14ac:dyDescent="0.2">
      <c r="A127" s="370">
        <f>A123+1</f>
        <v>45077</v>
      </c>
      <c r="B127" s="369" t="str">
        <f>IF(WEEKDAY(A127)=1,"CN","T"&amp;WEEKDAY(A127))</f>
        <v>T4</v>
      </c>
      <c r="C127" s="180">
        <f t="shared" si="1"/>
        <v>132000</v>
      </c>
      <c r="D127" s="222" t="s">
        <v>121</v>
      </c>
      <c r="E127" s="220"/>
      <c r="F127" s="220"/>
      <c r="G127" s="218"/>
      <c r="H127" s="221">
        <v>24000</v>
      </c>
      <c r="I127" s="219" t="s">
        <v>124</v>
      </c>
      <c r="J127" s="220" t="s">
        <v>186</v>
      </c>
      <c r="K127" s="218"/>
      <c r="L127" s="221">
        <v>41000</v>
      </c>
      <c r="M127" s="219" t="s">
        <v>124</v>
      </c>
      <c r="N127" s="220" t="s">
        <v>186</v>
      </c>
      <c r="O127" s="218"/>
      <c r="P127" s="221">
        <v>41000</v>
      </c>
      <c r="Q127" s="219" t="s">
        <v>143</v>
      </c>
      <c r="R127" s="220" t="s">
        <v>190</v>
      </c>
      <c r="S127" s="218"/>
      <c r="T127" s="218"/>
      <c r="U127" s="221">
        <v>26000</v>
      </c>
      <c r="V127" s="204"/>
      <c r="W127" s="173"/>
      <c r="X127" s="206"/>
      <c r="Y127" s="205"/>
    </row>
    <row r="128" spans="1:25" ht="16.149999999999999" customHeight="1" x14ac:dyDescent="0.2">
      <c r="A128" s="370"/>
      <c r="B128" s="369"/>
      <c r="C128" s="180">
        <f t="shared" si="1"/>
        <v>26000</v>
      </c>
      <c r="D128" s="222" t="s">
        <v>104</v>
      </c>
      <c r="E128" s="220"/>
      <c r="F128" s="220"/>
      <c r="G128" s="218"/>
      <c r="H128" s="221">
        <v>14000</v>
      </c>
      <c r="I128" s="219"/>
      <c r="J128" s="220"/>
      <c r="K128" s="218"/>
      <c r="L128" s="221"/>
      <c r="M128" s="219"/>
      <c r="N128" s="220"/>
      <c r="O128" s="218"/>
      <c r="P128" s="221"/>
      <c r="Q128" s="219" t="s">
        <v>139</v>
      </c>
      <c r="R128" s="220" t="s">
        <v>190</v>
      </c>
      <c r="S128" s="218"/>
      <c r="T128" s="218"/>
      <c r="U128" s="221">
        <v>12000</v>
      </c>
      <c r="V128" s="204"/>
      <c r="W128" s="173"/>
      <c r="X128" s="206"/>
      <c r="Y128" s="205"/>
    </row>
    <row r="129" spans="1:25" ht="16.149999999999999" customHeight="1" x14ac:dyDescent="0.2">
      <c r="A129" s="370"/>
      <c r="B129" s="369"/>
      <c r="C129" s="180">
        <f t="shared" si="1"/>
        <v>0</v>
      </c>
      <c r="D129" s="222"/>
      <c r="E129" s="220"/>
      <c r="F129" s="220"/>
      <c r="G129" s="218"/>
      <c r="H129" s="221"/>
      <c r="I129" s="219"/>
      <c r="J129" s="220"/>
      <c r="K129" s="218"/>
      <c r="L129" s="221"/>
      <c r="M129" s="219"/>
      <c r="N129" s="220"/>
      <c r="O129" s="218"/>
      <c r="P129" s="221"/>
      <c r="Q129" s="219"/>
      <c r="R129" s="220"/>
      <c r="S129" s="218"/>
      <c r="T129" s="218"/>
      <c r="U129" s="221"/>
      <c r="V129" s="204"/>
      <c r="W129" s="173"/>
      <c r="X129" s="206"/>
      <c r="Y129" s="205"/>
    </row>
    <row r="130" spans="1:25" ht="16.149999999999999" customHeight="1" x14ac:dyDescent="0.2">
      <c r="A130" s="370"/>
      <c r="B130" s="369"/>
      <c r="C130" s="180">
        <f t="shared" si="1"/>
        <v>0</v>
      </c>
      <c r="D130" s="222"/>
      <c r="E130" s="220"/>
      <c r="F130" s="220"/>
      <c r="G130" s="218"/>
      <c r="H130" s="221"/>
      <c r="I130" s="219"/>
      <c r="J130" s="220"/>
      <c r="K130" s="218"/>
      <c r="L130" s="221"/>
      <c r="M130" s="219"/>
      <c r="N130" s="220"/>
      <c r="O130" s="218"/>
      <c r="P130" s="221"/>
      <c r="Q130" s="219"/>
      <c r="R130" s="220"/>
      <c r="S130" s="218"/>
      <c r="T130" s="218"/>
      <c r="U130" s="221"/>
      <c r="V130" s="204"/>
      <c r="W130" s="173"/>
      <c r="X130" s="206"/>
      <c r="Y130" s="205"/>
    </row>
    <row r="131" spans="1:25" ht="16.149999999999999" customHeight="1" x14ac:dyDescent="0.2">
      <c r="A131" s="140">
        <f>A127+1</f>
        <v>45078</v>
      </c>
      <c r="B131" s="369" t="str">
        <f>IF(WEEKDAY(A131)=1,"CN","T"&amp;WEEKDAY(A131))</f>
        <v>T5</v>
      </c>
      <c r="C131" s="180">
        <f t="shared" si="1"/>
        <v>126000</v>
      </c>
      <c r="D131" s="222" t="s">
        <v>104</v>
      </c>
      <c r="E131" s="220"/>
      <c r="F131" s="220"/>
      <c r="G131" s="218"/>
      <c r="H131" s="221">
        <v>6000</v>
      </c>
      <c r="I131" s="219" t="s">
        <v>124</v>
      </c>
      <c r="J131" s="220" t="s">
        <v>186</v>
      </c>
      <c r="K131" s="218"/>
      <c r="L131" s="221">
        <v>41000</v>
      </c>
      <c r="M131" s="219" t="s">
        <v>124</v>
      </c>
      <c r="N131" s="220" t="s">
        <v>186</v>
      </c>
      <c r="O131" s="218"/>
      <c r="P131" s="221">
        <v>41000</v>
      </c>
      <c r="Q131" s="219" t="s">
        <v>139</v>
      </c>
      <c r="R131" s="220" t="s">
        <v>190</v>
      </c>
      <c r="S131" s="218"/>
      <c r="T131" s="218"/>
      <c r="U131" s="221">
        <v>38000</v>
      </c>
      <c r="V131" s="204"/>
      <c r="W131" s="173"/>
      <c r="X131" s="206"/>
      <c r="Y131" s="205"/>
    </row>
    <row r="132" spans="1:25" ht="16.149999999999999" customHeight="1" x14ac:dyDescent="0.2">
      <c r="B132" s="369"/>
      <c r="C132" s="180">
        <f t="shared" si="1"/>
        <v>0</v>
      </c>
      <c r="D132" s="164"/>
      <c r="E132" s="173"/>
      <c r="F132" s="173"/>
      <c r="G132" s="166"/>
      <c r="H132" s="165"/>
      <c r="I132" s="219"/>
      <c r="J132" s="220"/>
      <c r="K132" s="218"/>
      <c r="L132" s="221"/>
      <c r="M132" s="219"/>
      <c r="N132" s="220"/>
      <c r="O132" s="218"/>
      <c r="P132" s="221"/>
      <c r="Q132" s="212"/>
      <c r="R132" s="173"/>
      <c r="S132" s="213"/>
      <c r="T132" s="213"/>
      <c r="U132" s="214"/>
      <c r="V132" s="204"/>
      <c r="W132" s="173"/>
      <c r="X132" s="206"/>
      <c r="Y132" s="205"/>
    </row>
    <row r="133" spans="1:25" ht="16.149999999999999" customHeight="1" x14ac:dyDescent="0.2">
      <c r="B133" s="369"/>
      <c r="C133" s="180">
        <f t="shared" si="1"/>
        <v>0</v>
      </c>
      <c r="D133" s="164"/>
      <c r="E133" s="173"/>
      <c r="F133" s="173"/>
      <c r="G133" s="166"/>
      <c r="H133" s="165"/>
      <c r="I133" s="219"/>
      <c r="J133" s="220"/>
      <c r="K133" s="218"/>
      <c r="L133" s="221"/>
      <c r="M133" s="219"/>
      <c r="N133" s="220"/>
      <c r="O133" s="218"/>
      <c r="P133" s="221"/>
      <c r="Q133" s="212"/>
      <c r="R133" s="173"/>
      <c r="S133" s="213"/>
      <c r="T133" s="213"/>
      <c r="U133" s="214"/>
      <c r="V133" s="204"/>
      <c r="W133" s="173"/>
      <c r="X133" s="206"/>
      <c r="Y133" s="205"/>
    </row>
    <row r="134" spans="1:25" ht="16.149999999999999" customHeight="1" x14ac:dyDescent="0.2">
      <c r="B134" s="369"/>
      <c r="C134" s="180">
        <f t="shared" si="1"/>
        <v>0</v>
      </c>
      <c r="D134" s="164"/>
      <c r="E134" s="173"/>
      <c r="F134" s="173"/>
      <c r="G134" s="166"/>
      <c r="H134" s="165"/>
      <c r="I134" s="219"/>
      <c r="J134" s="220"/>
      <c r="K134" s="218"/>
      <c r="L134" s="221"/>
      <c r="M134" s="219"/>
      <c r="N134" s="220"/>
      <c r="O134" s="218"/>
      <c r="P134" s="221"/>
      <c r="Q134" s="212"/>
      <c r="R134" s="173"/>
      <c r="S134" s="213"/>
      <c r="T134" s="213"/>
      <c r="U134" s="214"/>
      <c r="V134" s="204"/>
      <c r="W134" s="173"/>
      <c r="X134" s="206"/>
      <c r="Y134" s="205"/>
    </row>
    <row r="135" spans="1:25" x14ac:dyDescent="0.2">
      <c r="A135" s="140">
        <f>A131+1</f>
        <v>45079</v>
      </c>
      <c r="B135" s="369" t="str">
        <f>IF(WEEKDAY(A135)=1,"CN","T"&amp;WEEKDAY(A135))</f>
        <v>T6</v>
      </c>
      <c r="C135" s="180">
        <f t="shared" ref="C135:C162" si="2">SUM(D135:U135)</f>
        <v>49000</v>
      </c>
      <c r="D135" s="164"/>
      <c r="E135" s="173"/>
      <c r="F135" s="173"/>
      <c r="G135" s="166"/>
      <c r="H135" s="165"/>
      <c r="I135" s="219" t="s">
        <v>124</v>
      </c>
      <c r="J135" s="220" t="s">
        <v>186</v>
      </c>
      <c r="K135" s="218"/>
      <c r="L135" s="221">
        <v>41000</v>
      </c>
      <c r="M135" s="219" t="s">
        <v>171</v>
      </c>
      <c r="N135" s="220" t="s">
        <v>186</v>
      </c>
      <c r="O135" s="218"/>
      <c r="P135" s="221">
        <v>8000</v>
      </c>
      <c r="Q135" s="212"/>
      <c r="R135" s="173"/>
      <c r="S135" s="213"/>
      <c r="T135" s="213"/>
      <c r="U135" s="214"/>
      <c r="V135" s="204"/>
      <c r="W135" s="173"/>
      <c r="X135" s="206"/>
      <c r="Y135" s="205"/>
    </row>
    <row r="136" spans="1:25" x14ac:dyDescent="0.2">
      <c r="B136" s="369"/>
      <c r="C136" s="180">
        <f t="shared" si="2"/>
        <v>33000</v>
      </c>
      <c r="D136" s="164"/>
      <c r="E136" s="173"/>
      <c r="F136" s="173"/>
      <c r="G136" s="166"/>
      <c r="H136" s="165"/>
      <c r="I136" s="194"/>
      <c r="J136" s="173"/>
      <c r="K136" s="196"/>
      <c r="L136" s="195"/>
      <c r="M136" s="256" t="s">
        <v>171</v>
      </c>
      <c r="N136" s="257" t="s">
        <v>168</v>
      </c>
      <c r="O136" s="258"/>
      <c r="P136" s="259">
        <v>33000</v>
      </c>
      <c r="Q136" s="212"/>
      <c r="R136" s="173"/>
      <c r="S136" s="213"/>
      <c r="T136" s="213"/>
      <c r="U136" s="214"/>
      <c r="V136" s="204"/>
      <c r="W136" s="173"/>
      <c r="X136" s="206"/>
      <c r="Y136" s="205"/>
    </row>
    <row r="137" spans="1:25" x14ac:dyDescent="0.2">
      <c r="B137" s="369"/>
      <c r="C137" s="180">
        <f t="shared" si="2"/>
        <v>0</v>
      </c>
      <c r="D137" s="164"/>
      <c r="E137" s="173"/>
      <c r="F137" s="173"/>
      <c r="G137" s="166"/>
      <c r="H137" s="165"/>
      <c r="I137" s="194"/>
      <c r="J137" s="173"/>
      <c r="K137" s="196"/>
      <c r="L137" s="195"/>
      <c r="M137" s="256"/>
      <c r="N137" s="257"/>
      <c r="O137" s="258"/>
      <c r="P137" s="259"/>
      <c r="Q137" s="212"/>
      <c r="R137" s="173"/>
      <c r="S137" s="213"/>
      <c r="T137" s="213"/>
      <c r="U137" s="214"/>
      <c r="V137" s="204"/>
      <c r="W137" s="173"/>
      <c r="X137" s="206"/>
      <c r="Y137" s="205"/>
    </row>
    <row r="138" spans="1:25" x14ac:dyDescent="0.2">
      <c r="B138" s="369"/>
      <c r="C138" s="180">
        <f t="shared" si="2"/>
        <v>0</v>
      </c>
      <c r="D138" s="164"/>
      <c r="E138" s="173"/>
      <c r="F138" s="173"/>
      <c r="G138" s="166"/>
      <c r="H138" s="165"/>
      <c r="I138" s="194"/>
      <c r="J138" s="173"/>
      <c r="K138" s="196"/>
      <c r="L138" s="195"/>
      <c r="M138" s="256"/>
      <c r="N138" s="257"/>
      <c r="O138" s="258"/>
      <c r="P138" s="259"/>
      <c r="Q138" s="212"/>
      <c r="R138" s="173"/>
      <c r="S138" s="213"/>
      <c r="T138" s="213"/>
      <c r="U138" s="214"/>
      <c r="V138" s="204"/>
      <c r="W138" s="173"/>
      <c r="X138" s="206"/>
      <c r="Y138" s="205"/>
    </row>
    <row r="139" spans="1:25" x14ac:dyDescent="0.2">
      <c r="A139" s="140">
        <f>A135+1</f>
        <v>45080</v>
      </c>
      <c r="B139" s="369" t="str">
        <f>IF(WEEKDAY(A139)=1,"CN","T"&amp;WEEKDAY(A139))</f>
        <v>T7</v>
      </c>
      <c r="C139" s="180">
        <f t="shared" si="2"/>
        <v>21000</v>
      </c>
      <c r="D139" s="164"/>
      <c r="E139" s="173"/>
      <c r="F139" s="173"/>
      <c r="G139" s="166"/>
      <c r="H139" s="165"/>
      <c r="I139" s="194"/>
      <c r="J139" s="173"/>
      <c r="K139" s="196"/>
      <c r="L139" s="195"/>
      <c r="M139" s="256" t="s">
        <v>171</v>
      </c>
      <c r="N139" s="257" t="s">
        <v>168</v>
      </c>
      <c r="O139" s="258"/>
      <c r="P139" s="259">
        <v>21000</v>
      </c>
      <c r="Q139" s="212"/>
      <c r="R139" s="173"/>
      <c r="S139" s="213"/>
      <c r="T139" s="213"/>
      <c r="U139" s="214"/>
      <c r="V139" s="204"/>
      <c r="W139" s="173"/>
      <c r="X139" s="206"/>
      <c r="Y139" s="205"/>
    </row>
    <row r="140" spans="1:25" x14ac:dyDescent="0.2">
      <c r="B140" s="369"/>
      <c r="C140" s="180">
        <f t="shared" si="2"/>
        <v>0</v>
      </c>
      <c r="D140" s="164"/>
      <c r="E140" s="173"/>
      <c r="F140" s="173"/>
      <c r="G140" s="166"/>
      <c r="H140" s="165"/>
      <c r="I140" s="194"/>
      <c r="J140" s="173"/>
      <c r="K140" s="196"/>
      <c r="L140" s="195"/>
      <c r="M140" s="179"/>
      <c r="N140" s="173"/>
      <c r="O140" s="159"/>
      <c r="P140" s="155"/>
      <c r="Q140" s="212"/>
      <c r="R140" s="173"/>
      <c r="S140" s="213"/>
      <c r="T140" s="213"/>
      <c r="U140" s="214"/>
      <c r="V140" s="204"/>
      <c r="W140" s="173"/>
      <c r="X140" s="206"/>
      <c r="Y140" s="205"/>
    </row>
    <row r="141" spans="1:25" x14ac:dyDescent="0.2">
      <c r="B141" s="369"/>
      <c r="C141" s="180">
        <f t="shared" si="2"/>
        <v>0</v>
      </c>
      <c r="D141" s="164"/>
      <c r="E141" s="173"/>
      <c r="F141" s="173"/>
      <c r="G141" s="166"/>
      <c r="H141" s="165"/>
      <c r="I141" s="194"/>
      <c r="J141" s="173"/>
      <c r="K141" s="196"/>
      <c r="L141" s="195"/>
      <c r="M141" s="179"/>
      <c r="N141" s="173"/>
      <c r="O141" s="159"/>
      <c r="P141" s="155"/>
      <c r="Q141" s="212"/>
      <c r="R141" s="173"/>
      <c r="S141" s="213"/>
      <c r="T141" s="213"/>
      <c r="U141" s="214"/>
      <c r="V141" s="204"/>
      <c r="W141" s="173"/>
      <c r="X141" s="206"/>
      <c r="Y141" s="205"/>
    </row>
    <row r="142" spans="1:25" x14ac:dyDescent="0.2">
      <c r="B142" s="369"/>
      <c r="C142" s="180">
        <f t="shared" si="2"/>
        <v>0</v>
      </c>
      <c r="D142" s="164"/>
      <c r="E142" s="173"/>
      <c r="F142" s="173"/>
      <c r="G142" s="166"/>
      <c r="H142" s="165"/>
      <c r="I142" s="194"/>
      <c r="J142" s="173"/>
      <c r="K142" s="196"/>
      <c r="L142" s="195"/>
      <c r="M142" s="179"/>
      <c r="N142" s="173"/>
      <c r="O142" s="159"/>
      <c r="P142" s="155"/>
      <c r="Q142" s="212"/>
      <c r="R142" s="173"/>
      <c r="S142" s="213"/>
      <c r="T142" s="213"/>
      <c r="U142" s="214"/>
      <c r="V142" s="204"/>
      <c r="W142" s="173"/>
      <c r="X142" s="206"/>
      <c r="Y142" s="205"/>
    </row>
    <row r="143" spans="1:25" x14ac:dyDescent="0.2">
      <c r="A143" s="140">
        <f>A139+1</f>
        <v>45081</v>
      </c>
      <c r="B143" s="369" t="str">
        <f>IF(WEEKDAY(A143)=1,"CN","T"&amp;WEEKDAY(A143))</f>
        <v>CN</v>
      </c>
      <c r="C143" s="180">
        <f t="shared" si="2"/>
        <v>0</v>
      </c>
      <c r="D143" s="164"/>
      <c r="E143" s="173"/>
      <c r="F143" s="173"/>
      <c r="G143" s="166"/>
      <c r="H143" s="165"/>
      <c r="I143" s="194"/>
      <c r="J143" s="173"/>
      <c r="K143" s="196"/>
      <c r="L143" s="195"/>
      <c r="M143" s="179"/>
      <c r="N143" s="173"/>
      <c r="O143" s="159"/>
      <c r="P143" s="155"/>
      <c r="Q143" s="212"/>
      <c r="R143" s="173"/>
      <c r="S143" s="213"/>
      <c r="T143" s="213"/>
      <c r="U143" s="214"/>
      <c r="V143" s="204"/>
      <c r="W143" s="173"/>
      <c r="X143" s="206"/>
      <c r="Y143" s="205"/>
    </row>
    <row r="144" spans="1:25" x14ac:dyDescent="0.2">
      <c r="B144" s="369"/>
      <c r="C144" s="180">
        <f t="shared" si="2"/>
        <v>0</v>
      </c>
      <c r="D144" s="164"/>
      <c r="E144" s="173"/>
      <c r="F144" s="173"/>
      <c r="G144" s="166"/>
      <c r="H144" s="165"/>
      <c r="I144" s="194"/>
      <c r="J144" s="173"/>
      <c r="K144" s="196"/>
      <c r="L144" s="195"/>
      <c r="M144" s="179"/>
      <c r="N144" s="173"/>
      <c r="O144" s="159"/>
      <c r="P144" s="155"/>
      <c r="Q144" s="212"/>
      <c r="R144" s="173"/>
      <c r="S144" s="213"/>
      <c r="T144" s="213"/>
      <c r="U144" s="214"/>
      <c r="V144" s="204"/>
      <c r="W144" s="173"/>
      <c r="X144" s="206"/>
      <c r="Y144" s="205"/>
    </row>
    <row r="145" spans="1:25" x14ac:dyDescent="0.2">
      <c r="B145" s="369"/>
      <c r="C145" s="180">
        <f t="shared" si="2"/>
        <v>0</v>
      </c>
      <c r="D145" s="164"/>
      <c r="E145" s="173"/>
      <c r="F145" s="173"/>
      <c r="G145" s="166"/>
      <c r="H145" s="165"/>
      <c r="I145" s="194"/>
      <c r="J145" s="173"/>
      <c r="K145" s="196"/>
      <c r="L145" s="195"/>
      <c r="M145" s="179"/>
      <c r="N145" s="173"/>
      <c r="O145" s="159"/>
      <c r="P145" s="155"/>
      <c r="Q145" s="212"/>
      <c r="R145" s="173"/>
      <c r="S145" s="213"/>
      <c r="T145" s="213"/>
      <c r="U145" s="214"/>
      <c r="V145" s="204"/>
      <c r="W145" s="173"/>
      <c r="X145" s="206"/>
      <c r="Y145" s="205"/>
    </row>
    <row r="146" spans="1:25" x14ac:dyDescent="0.2">
      <c r="B146" s="369"/>
      <c r="C146" s="180">
        <f t="shared" si="2"/>
        <v>0</v>
      </c>
      <c r="D146" s="164"/>
      <c r="E146" s="173"/>
      <c r="F146" s="173"/>
      <c r="G146" s="166"/>
      <c r="H146" s="165"/>
      <c r="I146" s="194"/>
      <c r="J146" s="173"/>
      <c r="K146" s="196"/>
      <c r="L146" s="195"/>
      <c r="M146" s="179"/>
      <c r="N146" s="173"/>
      <c r="O146" s="159"/>
      <c r="P146" s="155"/>
      <c r="Q146" s="212"/>
      <c r="R146" s="173"/>
      <c r="S146" s="213"/>
      <c r="T146" s="213"/>
      <c r="U146" s="214"/>
      <c r="V146" s="204"/>
      <c r="W146" s="173"/>
      <c r="X146" s="206"/>
      <c r="Y146" s="205"/>
    </row>
    <row r="147" spans="1:25" x14ac:dyDescent="0.2">
      <c r="A147" s="140">
        <f>A143+1</f>
        <v>45082</v>
      </c>
      <c r="B147" s="369" t="str">
        <f>IF(WEEKDAY(A147)=1,"CN","T"&amp;WEEKDAY(A147))</f>
        <v>T2</v>
      </c>
      <c r="C147" s="180">
        <f t="shared" si="2"/>
        <v>0</v>
      </c>
      <c r="D147" s="164"/>
      <c r="E147" s="173"/>
      <c r="F147" s="173"/>
      <c r="G147" s="166"/>
      <c r="H147" s="165"/>
      <c r="I147" s="194"/>
      <c r="J147" s="173"/>
      <c r="K147" s="196"/>
      <c r="L147" s="195"/>
      <c r="M147" s="179"/>
      <c r="N147" s="173"/>
      <c r="O147" s="159"/>
      <c r="P147" s="155"/>
      <c r="Q147" s="212"/>
      <c r="R147" s="173"/>
      <c r="S147" s="213"/>
      <c r="T147" s="213"/>
      <c r="U147" s="214"/>
      <c r="V147" s="204"/>
      <c r="W147" s="173"/>
      <c r="X147" s="206"/>
      <c r="Y147" s="205"/>
    </row>
    <row r="148" spans="1:25" x14ac:dyDescent="0.2">
      <c r="B148" s="369"/>
      <c r="C148" s="180">
        <f t="shared" si="2"/>
        <v>0</v>
      </c>
      <c r="D148" s="164"/>
      <c r="E148" s="173"/>
      <c r="F148" s="173"/>
      <c r="G148" s="166"/>
      <c r="H148" s="165"/>
      <c r="I148" s="194"/>
      <c r="J148" s="173"/>
      <c r="K148" s="196"/>
      <c r="L148" s="195"/>
      <c r="M148" s="179"/>
      <c r="N148" s="173"/>
      <c r="O148" s="159"/>
      <c r="P148" s="155"/>
      <c r="Q148" s="212"/>
      <c r="R148" s="173"/>
      <c r="S148" s="213"/>
      <c r="T148" s="213"/>
      <c r="U148" s="214"/>
      <c r="V148" s="204"/>
      <c r="W148" s="173"/>
      <c r="X148" s="206"/>
      <c r="Y148" s="205"/>
    </row>
    <row r="149" spans="1:25" x14ac:dyDescent="0.2">
      <c r="B149" s="369"/>
      <c r="C149" s="180">
        <f t="shared" si="2"/>
        <v>0</v>
      </c>
      <c r="D149" s="164"/>
      <c r="E149" s="173"/>
      <c r="F149" s="173"/>
      <c r="G149" s="166"/>
      <c r="H149" s="165"/>
      <c r="I149" s="194"/>
      <c r="J149" s="173"/>
      <c r="K149" s="196"/>
      <c r="L149" s="195"/>
      <c r="M149" s="179"/>
      <c r="N149" s="173"/>
      <c r="O149" s="159"/>
      <c r="P149" s="155"/>
      <c r="Q149" s="212"/>
      <c r="R149" s="173"/>
      <c r="S149" s="213"/>
      <c r="T149" s="213"/>
      <c r="U149" s="214"/>
      <c r="V149" s="204"/>
      <c r="W149" s="173"/>
      <c r="X149" s="206"/>
      <c r="Y149" s="205"/>
    </row>
    <row r="150" spans="1:25" x14ac:dyDescent="0.2">
      <c r="B150" s="369"/>
      <c r="C150" s="180">
        <f t="shared" si="2"/>
        <v>0</v>
      </c>
      <c r="D150" s="164"/>
      <c r="E150" s="173"/>
      <c r="F150" s="173"/>
      <c r="G150" s="166"/>
      <c r="H150" s="165"/>
      <c r="I150" s="194"/>
      <c r="J150" s="173"/>
      <c r="K150" s="196"/>
      <c r="L150" s="195"/>
      <c r="M150" s="179"/>
      <c r="N150" s="173"/>
      <c r="O150" s="159"/>
      <c r="P150" s="155"/>
      <c r="Q150" s="212"/>
      <c r="R150" s="173"/>
      <c r="S150" s="213"/>
      <c r="T150" s="213"/>
      <c r="U150" s="214"/>
      <c r="V150" s="204"/>
      <c r="W150" s="173"/>
      <c r="X150" s="206"/>
      <c r="Y150" s="205"/>
    </row>
    <row r="151" spans="1:25" x14ac:dyDescent="0.2">
      <c r="A151" s="140">
        <f>A147+1</f>
        <v>45083</v>
      </c>
      <c r="B151" s="369" t="str">
        <f>IF(WEEKDAY(A151)=1,"CN","T"&amp;WEEKDAY(A151))</f>
        <v>T3</v>
      </c>
      <c r="C151" s="180">
        <f t="shared" si="2"/>
        <v>0</v>
      </c>
      <c r="D151" s="164"/>
      <c r="E151" s="173"/>
      <c r="F151" s="173"/>
      <c r="G151" s="166"/>
      <c r="H151" s="165"/>
      <c r="I151" s="194"/>
      <c r="J151" s="173"/>
      <c r="K151" s="196"/>
      <c r="L151" s="195"/>
      <c r="M151" s="179"/>
      <c r="N151" s="173"/>
      <c r="O151" s="159"/>
      <c r="P151" s="155"/>
      <c r="Q151" s="212"/>
      <c r="R151" s="173"/>
      <c r="S151" s="213"/>
      <c r="T151" s="213"/>
      <c r="U151" s="214"/>
      <c r="V151" s="204"/>
      <c r="W151" s="173"/>
      <c r="X151" s="206"/>
      <c r="Y151" s="205"/>
    </row>
    <row r="152" spans="1:25" x14ac:dyDescent="0.2">
      <c r="B152" s="369"/>
      <c r="C152" s="180">
        <f t="shared" si="2"/>
        <v>0</v>
      </c>
      <c r="D152" s="164"/>
      <c r="E152" s="173"/>
      <c r="F152" s="173"/>
      <c r="G152" s="166"/>
      <c r="H152" s="165"/>
      <c r="I152" s="194"/>
      <c r="J152" s="173"/>
      <c r="K152" s="196"/>
      <c r="L152" s="195"/>
      <c r="M152" s="179"/>
      <c r="N152" s="173"/>
      <c r="O152" s="159"/>
      <c r="P152" s="155"/>
      <c r="Q152" s="212"/>
      <c r="R152" s="173"/>
      <c r="S152" s="213"/>
      <c r="T152" s="213"/>
      <c r="U152" s="214"/>
      <c r="V152" s="204"/>
      <c r="W152" s="173"/>
      <c r="X152" s="206"/>
      <c r="Y152" s="205"/>
    </row>
    <row r="153" spans="1:25" x14ac:dyDescent="0.2">
      <c r="B153" s="369"/>
      <c r="C153" s="180">
        <f t="shared" si="2"/>
        <v>0</v>
      </c>
      <c r="D153" s="164"/>
      <c r="E153" s="173"/>
      <c r="F153" s="173"/>
      <c r="G153" s="166"/>
      <c r="H153" s="165"/>
      <c r="I153" s="194"/>
      <c r="J153" s="173"/>
      <c r="K153" s="196"/>
      <c r="L153" s="195"/>
      <c r="M153" s="179"/>
      <c r="N153" s="173"/>
      <c r="O153" s="159"/>
      <c r="P153" s="155"/>
      <c r="Q153" s="212"/>
      <c r="R153" s="173"/>
      <c r="S153" s="213"/>
      <c r="T153" s="213"/>
      <c r="U153" s="214"/>
      <c r="V153" s="204"/>
      <c r="W153" s="173"/>
      <c r="X153" s="206"/>
      <c r="Y153" s="205"/>
    </row>
    <row r="154" spans="1:25" x14ac:dyDescent="0.2">
      <c r="B154" s="369"/>
      <c r="C154" s="180">
        <f t="shared" si="2"/>
        <v>0</v>
      </c>
      <c r="D154" s="164"/>
      <c r="E154" s="173"/>
      <c r="F154" s="173"/>
      <c r="G154" s="166"/>
      <c r="H154" s="165"/>
      <c r="I154" s="194"/>
      <c r="J154" s="173"/>
      <c r="K154" s="196"/>
      <c r="L154" s="195"/>
      <c r="M154" s="179"/>
      <c r="N154" s="173"/>
      <c r="O154" s="159"/>
      <c r="P154" s="155"/>
      <c r="Q154" s="212"/>
      <c r="R154" s="173"/>
      <c r="S154" s="213"/>
      <c r="T154" s="213"/>
      <c r="U154" s="214"/>
      <c r="V154" s="204"/>
      <c r="W154" s="173"/>
      <c r="X154" s="206"/>
      <c r="Y154" s="205"/>
    </row>
    <row r="155" spans="1:25" x14ac:dyDescent="0.2">
      <c r="A155" s="140">
        <f>A151+1</f>
        <v>45084</v>
      </c>
      <c r="B155" s="369" t="str">
        <f>IF(WEEKDAY(A155)=1,"CN","T"&amp;WEEKDAY(A155))</f>
        <v>T4</v>
      </c>
      <c r="C155" s="180">
        <f t="shared" si="2"/>
        <v>0</v>
      </c>
      <c r="D155" s="164"/>
      <c r="E155" s="173"/>
      <c r="F155" s="173"/>
      <c r="G155" s="166"/>
      <c r="H155" s="165"/>
      <c r="I155" s="194"/>
      <c r="J155" s="173"/>
      <c r="K155" s="196"/>
      <c r="L155" s="195"/>
      <c r="M155" s="179"/>
      <c r="N155" s="173"/>
      <c r="O155" s="159"/>
      <c r="P155" s="155"/>
      <c r="Q155" s="212"/>
      <c r="R155" s="173"/>
      <c r="S155" s="213"/>
      <c r="T155" s="213"/>
      <c r="U155" s="214"/>
      <c r="V155" s="204"/>
      <c r="W155" s="173"/>
      <c r="X155" s="206"/>
      <c r="Y155" s="205"/>
    </row>
    <row r="156" spans="1:25" x14ac:dyDescent="0.2">
      <c r="B156" s="369"/>
      <c r="C156" s="180">
        <f t="shared" si="2"/>
        <v>0</v>
      </c>
      <c r="D156" s="164"/>
      <c r="E156" s="173"/>
      <c r="F156" s="173"/>
      <c r="G156" s="166"/>
      <c r="H156" s="165"/>
      <c r="I156" s="194"/>
      <c r="J156" s="173"/>
      <c r="K156" s="196"/>
      <c r="L156" s="195"/>
      <c r="M156" s="179"/>
      <c r="N156" s="173"/>
      <c r="O156" s="159"/>
      <c r="P156" s="155"/>
      <c r="Q156" s="212"/>
      <c r="R156" s="173"/>
      <c r="S156" s="213"/>
      <c r="T156" s="213"/>
      <c r="U156" s="214"/>
      <c r="V156" s="204"/>
      <c r="W156" s="173"/>
      <c r="X156" s="206"/>
      <c r="Y156" s="205"/>
    </row>
    <row r="157" spans="1:25" x14ac:dyDescent="0.2">
      <c r="B157" s="369"/>
      <c r="C157" s="180">
        <f t="shared" si="2"/>
        <v>0</v>
      </c>
      <c r="D157" s="164"/>
      <c r="E157" s="173"/>
      <c r="F157" s="173"/>
      <c r="G157" s="166"/>
      <c r="H157" s="165"/>
      <c r="I157" s="194"/>
      <c r="J157" s="173"/>
      <c r="K157" s="196"/>
      <c r="L157" s="195"/>
      <c r="M157" s="179"/>
      <c r="N157" s="173"/>
      <c r="O157" s="159"/>
      <c r="P157" s="155"/>
      <c r="Q157" s="212"/>
      <c r="R157" s="173"/>
      <c r="S157" s="213"/>
      <c r="T157" s="213"/>
      <c r="U157" s="214"/>
      <c r="V157" s="204"/>
      <c r="W157" s="173"/>
      <c r="X157" s="206"/>
      <c r="Y157" s="205"/>
    </row>
    <row r="158" spans="1:25" x14ac:dyDescent="0.2">
      <c r="B158" s="369"/>
      <c r="C158" s="180">
        <f t="shared" si="2"/>
        <v>0</v>
      </c>
      <c r="D158" s="164"/>
      <c r="E158" s="173"/>
      <c r="F158" s="173"/>
      <c r="G158" s="166"/>
      <c r="H158" s="165"/>
      <c r="I158" s="194"/>
      <c r="J158" s="173"/>
      <c r="K158" s="196"/>
      <c r="L158" s="195"/>
      <c r="M158" s="179"/>
      <c r="N158" s="173"/>
      <c r="O158" s="159"/>
      <c r="P158" s="155"/>
      <c r="Q158" s="212"/>
      <c r="R158" s="173"/>
      <c r="S158" s="213"/>
      <c r="T158" s="213"/>
      <c r="U158" s="214"/>
      <c r="V158" s="204"/>
      <c r="W158" s="173"/>
      <c r="X158" s="206"/>
      <c r="Y158" s="205"/>
    </row>
    <row r="159" spans="1:25" x14ac:dyDescent="0.2">
      <c r="A159" s="140">
        <f>A155+1</f>
        <v>45085</v>
      </c>
      <c r="B159" s="369" t="str">
        <f>IF(WEEKDAY(A159)=1,"CN","T"&amp;WEEKDAY(A159))</f>
        <v>T5</v>
      </c>
      <c r="C159" s="180">
        <f t="shared" si="2"/>
        <v>0</v>
      </c>
      <c r="D159" s="164"/>
      <c r="E159" s="173"/>
      <c r="F159" s="173"/>
      <c r="G159" s="166"/>
      <c r="H159" s="165"/>
      <c r="I159" s="194"/>
      <c r="J159" s="173"/>
      <c r="K159" s="196"/>
      <c r="L159" s="195"/>
      <c r="M159" s="179"/>
      <c r="N159" s="173"/>
      <c r="O159" s="159"/>
      <c r="P159" s="155"/>
      <c r="Q159" s="212"/>
      <c r="R159" s="173"/>
      <c r="S159" s="213"/>
      <c r="T159" s="213"/>
      <c r="U159" s="214"/>
      <c r="V159" s="204"/>
      <c r="W159" s="173"/>
      <c r="X159" s="206"/>
      <c r="Y159" s="205"/>
    </row>
    <row r="160" spans="1:25" x14ac:dyDescent="0.2">
      <c r="B160" s="369"/>
      <c r="C160" s="180">
        <f t="shared" si="2"/>
        <v>0</v>
      </c>
      <c r="D160" s="164"/>
      <c r="E160" s="173"/>
      <c r="F160" s="173"/>
      <c r="G160" s="166"/>
      <c r="H160" s="165"/>
      <c r="I160" s="194"/>
      <c r="J160" s="173"/>
      <c r="K160" s="196"/>
      <c r="L160" s="195"/>
      <c r="M160" s="179"/>
      <c r="N160" s="173"/>
      <c r="O160" s="159"/>
      <c r="P160" s="155"/>
      <c r="Q160" s="212"/>
      <c r="R160" s="173"/>
      <c r="S160" s="213"/>
      <c r="T160" s="213"/>
      <c r="U160" s="214"/>
      <c r="V160" s="204"/>
      <c r="W160" s="173"/>
      <c r="X160" s="206"/>
      <c r="Y160" s="205"/>
    </row>
    <row r="161" spans="2:25" x14ac:dyDescent="0.2">
      <c r="B161" s="369"/>
      <c r="C161" s="180">
        <f t="shared" si="2"/>
        <v>0</v>
      </c>
      <c r="D161" s="164"/>
      <c r="E161" s="173"/>
      <c r="F161" s="173"/>
      <c r="G161" s="166"/>
      <c r="H161" s="165"/>
      <c r="I161" s="194"/>
      <c r="J161" s="173"/>
      <c r="K161" s="196"/>
      <c r="L161" s="195"/>
      <c r="M161" s="179"/>
      <c r="N161" s="173"/>
      <c r="O161" s="159"/>
      <c r="P161" s="155"/>
      <c r="Q161" s="212"/>
      <c r="R161" s="173"/>
      <c r="S161" s="213"/>
      <c r="T161" s="213"/>
      <c r="U161" s="214"/>
      <c r="V161" s="204"/>
      <c r="W161" s="173"/>
      <c r="X161" s="206"/>
      <c r="Y161" s="205"/>
    </row>
    <row r="162" spans="2:25" x14ac:dyDescent="0.2">
      <c r="B162" s="369"/>
      <c r="C162" s="180">
        <f t="shared" si="2"/>
        <v>0</v>
      </c>
      <c r="D162" s="164"/>
      <c r="E162" s="173"/>
      <c r="F162" s="173"/>
      <c r="G162" s="166"/>
      <c r="H162" s="165"/>
      <c r="I162" s="194"/>
      <c r="J162" s="173"/>
      <c r="K162" s="196"/>
      <c r="L162" s="195"/>
      <c r="M162" s="179"/>
      <c r="N162" s="173"/>
      <c r="O162" s="159"/>
      <c r="P162" s="155"/>
      <c r="Q162" s="212"/>
      <c r="R162" s="173"/>
      <c r="S162" s="213"/>
      <c r="T162" s="213"/>
      <c r="U162" s="214"/>
      <c r="V162" s="204"/>
      <c r="W162" s="173"/>
      <c r="X162" s="206"/>
      <c r="Y162" s="205"/>
    </row>
  </sheetData>
  <autoFilter ref="A6:U18"/>
  <mergeCells count="80">
    <mergeCell ref="A1:K1"/>
    <mergeCell ref="M1:N1"/>
    <mergeCell ref="E3:H3"/>
    <mergeCell ref="J3:L3"/>
    <mergeCell ref="N3:P3"/>
    <mergeCell ref="Q5:U5"/>
    <mergeCell ref="V5:Y5"/>
    <mergeCell ref="A7:A10"/>
    <mergeCell ref="B7:B10"/>
    <mergeCell ref="A11:A14"/>
    <mergeCell ref="B11:B14"/>
    <mergeCell ref="D5:H5"/>
    <mergeCell ref="I5:L5"/>
    <mergeCell ref="M5:P5"/>
    <mergeCell ref="A15:A18"/>
    <mergeCell ref="B15:B18"/>
    <mergeCell ref="A19:A22"/>
    <mergeCell ref="B19:B22"/>
    <mergeCell ref="A23:A26"/>
    <mergeCell ref="B23:B26"/>
    <mergeCell ref="A27:A30"/>
    <mergeCell ref="B27:B30"/>
    <mergeCell ref="A31:A34"/>
    <mergeCell ref="B31:B34"/>
    <mergeCell ref="A35:A38"/>
    <mergeCell ref="B35:B38"/>
    <mergeCell ref="A39:A42"/>
    <mergeCell ref="B39:B42"/>
    <mergeCell ref="A43:A46"/>
    <mergeCell ref="B43:B46"/>
    <mergeCell ref="A47:A50"/>
    <mergeCell ref="B47:B50"/>
    <mergeCell ref="A51:A54"/>
    <mergeCell ref="B51:B54"/>
    <mergeCell ref="A55:A58"/>
    <mergeCell ref="B55:B58"/>
    <mergeCell ref="A59:A62"/>
    <mergeCell ref="B59:B62"/>
    <mergeCell ref="A63:A66"/>
    <mergeCell ref="B63:B66"/>
    <mergeCell ref="A67:A70"/>
    <mergeCell ref="B67:B70"/>
    <mergeCell ref="A71:A74"/>
    <mergeCell ref="B71:B74"/>
    <mergeCell ref="A75:A78"/>
    <mergeCell ref="B75:B78"/>
    <mergeCell ref="A79:A82"/>
    <mergeCell ref="B79:B82"/>
    <mergeCell ref="A83:A86"/>
    <mergeCell ref="B83:B86"/>
    <mergeCell ref="A87:A90"/>
    <mergeCell ref="B87:B90"/>
    <mergeCell ref="A91:A94"/>
    <mergeCell ref="B91:B94"/>
    <mergeCell ref="A95:A98"/>
    <mergeCell ref="B95:B98"/>
    <mergeCell ref="A99:A102"/>
    <mergeCell ref="B99:B102"/>
    <mergeCell ref="A103:A106"/>
    <mergeCell ref="B103:B106"/>
    <mergeCell ref="A107:A110"/>
    <mergeCell ref="B107:B110"/>
    <mergeCell ref="A111:A114"/>
    <mergeCell ref="B111:B114"/>
    <mergeCell ref="A115:A118"/>
    <mergeCell ref="B115:B118"/>
    <mergeCell ref="A119:A122"/>
    <mergeCell ref="B119:B122"/>
    <mergeCell ref="B159:B162"/>
    <mergeCell ref="A123:A126"/>
    <mergeCell ref="B123:B126"/>
    <mergeCell ref="A127:A130"/>
    <mergeCell ref="B127:B130"/>
    <mergeCell ref="B131:B134"/>
    <mergeCell ref="B135:B138"/>
    <mergeCell ref="B139:B142"/>
    <mergeCell ref="B143:B146"/>
    <mergeCell ref="B147:B150"/>
    <mergeCell ref="B151:B154"/>
    <mergeCell ref="B155:B158"/>
  </mergeCells>
  <conditionalFormatting sqref="G7:G18 G123:G124">
    <cfRule type="expression" dxfId="2541" priority="1060">
      <formula>G7=$M$3</formula>
    </cfRule>
    <cfRule type="expression" dxfId="2540" priority="1061">
      <formula>G7=$I$3</formula>
    </cfRule>
    <cfRule type="expression" dxfId="2539" priority="1062">
      <formula>G7=$D$3</formula>
    </cfRule>
  </conditionalFormatting>
  <conditionalFormatting sqref="H2:H4 L2:L4 P2:P4 U2:U4 H163:H1048576 L163:L1048576 P163:P1048576 U163:U1048576 H123:H124">
    <cfRule type="cellIs" dxfId="2538" priority="1059" operator="greaterThan">
      <formula>0</formula>
    </cfRule>
  </conditionalFormatting>
  <conditionalFormatting sqref="K7:K10">
    <cfRule type="expression" dxfId="2537" priority="1056">
      <formula>K7=$M$3</formula>
    </cfRule>
    <cfRule type="expression" dxfId="2536" priority="1057">
      <formula>K7=$I$3</formula>
    </cfRule>
    <cfRule type="expression" dxfId="2535" priority="1058">
      <formula>K7=$D$3</formula>
    </cfRule>
  </conditionalFormatting>
  <conditionalFormatting sqref="O8:O10">
    <cfRule type="expression" dxfId="2534" priority="1053">
      <formula>O8=$M$3</formula>
    </cfRule>
    <cfRule type="expression" dxfId="2533" priority="1054">
      <formula>O8=$I$3</formula>
    </cfRule>
    <cfRule type="expression" dxfId="2532" priority="1055">
      <formula>O8=$D$3</formula>
    </cfRule>
  </conditionalFormatting>
  <conditionalFormatting sqref="S7:T10">
    <cfRule type="expression" dxfId="2531" priority="1050">
      <formula>S7=$M$3</formula>
    </cfRule>
    <cfRule type="expression" dxfId="2530" priority="1051">
      <formula>S7=$I$3</formula>
    </cfRule>
    <cfRule type="expression" dxfId="2529" priority="1052">
      <formula>S7=$D$3</formula>
    </cfRule>
  </conditionalFormatting>
  <conditionalFormatting sqref="B7:B10">
    <cfRule type="expression" dxfId="2528" priority="1049">
      <formula>B7="CN"</formula>
    </cfRule>
  </conditionalFormatting>
  <conditionalFormatting sqref="U7:U10 P8:P10 L7:L10 H7:H10">
    <cfRule type="cellIs" dxfId="2527" priority="1048" operator="greaterThan">
      <formula>0</formula>
    </cfRule>
  </conditionalFormatting>
  <conditionalFormatting sqref="K13:K14">
    <cfRule type="expression" dxfId="2526" priority="1045">
      <formula>K13=$M$3</formula>
    </cfRule>
    <cfRule type="expression" dxfId="2525" priority="1046">
      <formula>K13=$I$3</formula>
    </cfRule>
    <cfRule type="expression" dxfId="2524" priority="1047">
      <formula>K13=$D$3</formula>
    </cfRule>
  </conditionalFormatting>
  <conditionalFormatting sqref="O13:O14">
    <cfRule type="expression" dxfId="2523" priority="1042">
      <formula>O13=$M$3</formula>
    </cfRule>
    <cfRule type="expression" dxfId="2522" priority="1043">
      <formula>O13=$I$3</formula>
    </cfRule>
    <cfRule type="expression" dxfId="2521" priority="1044">
      <formula>O13=$D$3</formula>
    </cfRule>
  </conditionalFormatting>
  <conditionalFormatting sqref="B11:B14">
    <cfRule type="expression" dxfId="2520" priority="1041">
      <formula>B11="CN"</formula>
    </cfRule>
  </conditionalFormatting>
  <conditionalFormatting sqref="P13:P14 L13:L14 H11:H14">
    <cfRule type="cellIs" dxfId="2519" priority="1040" operator="greaterThan">
      <formula>0</formula>
    </cfRule>
  </conditionalFormatting>
  <conditionalFormatting sqref="K16:K18">
    <cfRule type="expression" dxfId="2518" priority="1037">
      <formula>K16=$M$3</formula>
    </cfRule>
    <cfRule type="expression" dxfId="2517" priority="1038">
      <formula>K16=$I$3</formula>
    </cfRule>
    <cfRule type="expression" dxfId="2516" priority="1039">
      <formula>K16=$D$3</formula>
    </cfRule>
  </conditionalFormatting>
  <conditionalFormatting sqref="O15:O18">
    <cfRule type="expression" dxfId="2515" priority="1034">
      <formula>O15=$M$3</formula>
    </cfRule>
    <cfRule type="expression" dxfId="2514" priority="1035">
      <formula>O15=$I$3</formula>
    </cfRule>
    <cfRule type="expression" dxfId="2513" priority="1036">
      <formula>O15=$D$3</formula>
    </cfRule>
  </conditionalFormatting>
  <conditionalFormatting sqref="B15:B18">
    <cfRule type="expression" dxfId="2512" priority="1033">
      <formula>B15="CN"</formula>
    </cfRule>
  </conditionalFormatting>
  <conditionalFormatting sqref="P15:P18 L16:L18 H15:H18">
    <cfRule type="cellIs" dxfId="2511" priority="1032" operator="greaterThan">
      <formula>0</formula>
    </cfRule>
  </conditionalFormatting>
  <conditionalFormatting sqref="O7">
    <cfRule type="expression" dxfId="2510" priority="1029">
      <formula>O7=$M$3</formula>
    </cfRule>
    <cfRule type="expression" dxfId="2509" priority="1030">
      <formula>O7=$I$3</formula>
    </cfRule>
    <cfRule type="expression" dxfId="2508" priority="1031">
      <formula>O7=$D$3</formula>
    </cfRule>
  </conditionalFormatting>
  <conditionalFormatting sqref="P7">
    <cfRule type="cellIs" dxfId="2507" priority="1028" operator="greaterThan">
      <formula>0</formula>
    </cfRule>
  </conditionalFormatting>
  <conditionalFormatting sqref="Y2:Y4 Y163:Y1048576">
    <cfRule type="cellIs" dxfId="2506" priority="1027" operator="greaterThan">
      <formula>0</formula>
    </cfRule>
  </conditionalFormatting>
  <conditionalFormatting sqref="X7:X10">
    <cfRule type="expression" dxfId="2505" priority="1024">
      <formula>X7=$M$3</formula>
    </cfRule>
    <cfRule type="expression" dxfId="2504" priority="1025">
      <formula>X7=$I$3</formula>
    </cfRule>
    <cfRule type="expression" dxfId="2503" priority="1026">
      <formula>X7=$D$3</formula>
    </cfRule>
  </conditionalFormatting>
  <conditionalFormatting sqref="Y7:Y10">
    <cfRule type="cellIs" dxfId="2502" priority="1023" operator="greaterThan">
      <formula>0</formula>
    </cfRule>
  </conditionalFormatting>
  <conditionalFormatting sqref="X11:X14">
    <cfRule type="expression" dxfId="2501" priority="1020">
      <formula>X11=$M$3</formula>
    </cfRule>
    <cfRule type="expression" dxfId="2500" priority="1021">
      <formula>X11=$I$3</formula>
    </cfRule>
    <cfRule type="expression" dxfId="2499" priority="1022">
      <formula>X11=$D$3</formula>
    </cfRule>
  </conditionalFormatting>
  <conditionalFormatting sqref="Y11:Y14">
    <cfRule type="cellIs" dxfId="2498" priority="1019" operator="greaterThan">
      <formula>0</formula>
    </cfRule>
  </conditionalFormatting>
  <conditionalFormatting sqref="X15:X18">
    <cfRule type="expression" dxfId="2497" priority="1016">
      <formula>X15=$M$3</formula>
    </cfRule>
    <cfRule type="expression" dxfId="2496" priority="1017">
      <formula>X15=$I$3</formula>
    </cfRule>
    <cfRule type="expression" dxfId="2495" priority="1018">
      <formula>X15=$D$3</formula>
    </cfRule>
  </conditionalFormatting>
  <conditionalFormatting sqref="Y15:Y18">
    <cfRule type="cellIs" dxfId="2494" priority="1015" operator="greaterThan">
      <formula>0</formula>
    </cfRule>
  </conditionalFormatting>
  <conditionalFormatting sqref="G20:G22">
    <cfRule type="expression" dxfId="2493" priority="1012">
      <formula>G20=$M$3</formula>
    </cfRule>
    <cfRule type="expression" dxfId="2492" priority="1013">
      <formula>G20=$I$3</formula>
    </cfRule>
    <cfRule type="expression" dxfId="2491" priority="1014">
      <formula>G20=$D$3</formula>
    </cfRule>
  </conditionalFormatting>
  <conditionalFormatting sqref="K20:K22">
    <cfRule type="expression" dxfId="2490" priority="1009">
      <formula>K20=$M$3</formula>
    </cfRule>
    <cfRule type="expression" dxfId="2489" priority="1010">
      <formula>K20=$I$3</formula>
    </cfRule>
    <cfRule type="expression" dxfId="2488" priority="1011">
      <formula>K20=$D$3</formula>
    </cfRule>
  </conditionalFormatting>
  <conditionalFormatting sqref="O20:O22">
    <cfRule type="expression" dxfId="2487" priority="1006">
      <formula>O20=$M$3</formula>
    </cfRule>
    <cfRule type="expression" dxfId="2486" priority="1007">
      <formula>O20=$I$3</formula>
    </cfRule>
    <cfRule type="expression" dxfId="2485" priority="1008">
      <formula>O20=$D$3</formula>
    </cfRule>
  </conditionalFormatting>
  <conditionalFormatting sqref="B19:B22">
    <cfRule type="expression" dxfId="2484" priority="1005">
      <formula>B19="CN"</formula>
    </cfRule>
  </conditionalFormatting>
  <conditionalFormatting sqref="P20:P22 L20:L22 H20:H22">
    <cfRule type="cellIs" dxfId="2483" priority="1004" operator="greaterThan">
      <formula>0</formula>
    </cfRule>
  </conditionalFormatting>
  <conditionalFormatting sqref="X19:X22">
    <cfRule type="expression" dxfId="2482" priority="1001">
      <formula>X19=$M$3</formula>
    </cfRule>
    <cfRule type="expression" dxfId="2481" priority="1002">
      <formula>X19=$I$3</formula>
    </cfRule>
    <cfRule type="expression" dxfId="2480" priority="1003">
      <formula>X19=$D$3</formula>
    </cfRule>
  </conditionalFormatting>
  <conditionalFormatting sqref="Y19:Y22">
    <cfRule type="cellIs" dxfId="2479" priority="1000" operator="greaterThan">
      <formula>0</formula>
    </cfRule>
  </conditionalFormatting>
  <conditionalFormatting sqref="G24:G26">
    <cfRule type="expression" dxfId="2478" priority="997">
      <formula>G24=$M$3</formula>
    </cfRule>
    <cfRule type="expression" dxfId="2477" priority="998">
      <formula>G24=$I$3</formula>
    </cfRule>
    <cfRule type="expression" dxfId="2476" priority="999">
      <formula>G24=$D$3</formula>
    </cfRule>
  </conditionalFormatting>
  <conditionalFormatting sqref="K24:K26">
    <cfRule type="expression" dxfId="2475" priority="994">
      <formula>K24=$M$3</formula>
    </cfRule>
    <cfRule type="expression" dxfId="2474" priority="995">
      <formula>K24=$I$3</formula>
    </cfRule>
    <cfRule type="expression" dxfId="2473" priority="996">
      <formula>K24=$D$3</formula>
    </cfRule>
  </conditionalFormatting>
  <conditionalFormatting sqref="O24:O26">
    <cfRule type="expression" dxfId="2472" priority="991">
      <formula>O24=$M$3</formula>
    </cfRule>
    <cfRule type="expression" dxfId="2471" priority="992">
      <formula>O24=$I$3</formula>
    </cfRule>
    <cfRule type="expression" dxfId="2470" priority="993">
      <formula>O24=$D$3</formula>
    </cfRule>
  </conditionalFormatting>
  <conditionalFormatting sqref="B23:B26">
    <cfRule type="expression" dxfId="2469" priority="990">
      <formula>B23="CN"</formula>
    </cfRule>
  </conditionalFormatting>
  <conditionalFormatting sqref="P24:P26 L24:L26 H24:H26">
    <cfRule type="cellIs" dxfId="2468" priority="989" operator="greaterThan">
      <formula>0</formula>
    </cfRule>
  </conditionalFormatting>
  <conditionalFormatting sqref="X23:X26">
    <cfRule type="expression" dxfId="2467" priority="986">
      <formula>X23=$M$3</formula>
    </cfRule>
    <cfRule type="expression" dxfId="2466" priority="987">
      <formula>X23=$I$3</formula>
    </cfRule>
    <cfRule type="expression" dxfId="2465" priority="988">
      <formula>X23=$D$3</formula>
    </cfRule>
  </conditionalFormatting>
  <conditionalFormatting sqref="Y23:Y26">
    <cfRule type="cellIs" dxfId="2464" priority="985" operator="greaterThan">
      <formula>0</formula>
    </cfRule>
  </conditionalFormatting>
  <conditionalFormatting sqref="G27:G30">
    <cfRule type="expression" dxfId="2463" priority="982">
      <formula>G27=$M$3</formula>
    </cfRule>
    <cfRule type="expression" dxfId="2462" priority="983">
      <formula>G27=$I$3</formula>
    </cfRule>
    <cfRule type="expression" dxfId="2461" priority="984">
      <formula>G27=$D$3</formula>
    </cfRule>
  </conditionalFormatting>
  <conditionalFormatting sqref="K27:K30">
    <cfRule type="expression" dxfId="2460" priority="979">
      <formula>K27=$M$3</formula>
    </cfRule>
    <cfRule type="expression" dxfId="2459" priority="980">
      <formula>K27=$I$3</formula>
    </cfRule>
    <cfRule type="expression" dxfId="2458" priority="981">
      <formula>K27=$D$3</formula>
    </cfRule>
  </conditionalFormatting>
  <conditionalFormatting sqref="O28:O30">
    <cfRule type="expression" dxfId="2457" priority="976">
      <formula>O28=$M$3</formula>
    </cfRule>
    <cfRule type="expression" dxfId="2456" priority="977">
      <formula>O28=$I$3</formula>
    </cfRule>
    <cfRule type="expression" dxfId="2455" priority="978">
      <formula>O28=$D$3</formula>
    </cfRule>
  </conditionalFormatting>
  <conditionalFormatting sqref="B27:B30">
    <cfRule type="expression" dxfId="2454" priority="975">
      <formula>B27="CN"</formula>
    </cfRule>
  </conditionalFormatting>
  <conditionalFormatting sqref="P28:P30 L27:L30 H27:H30">
    <cfRule type="cellIs" dxfId="2453" priority="974" operator="greaterThan">
      <formula>0</formula>
    </cfRule>
  </conditionalFormatting>
  <conditionalFormatting sqref="X27:X30">
    <cfRule type="expression" dxfId="2452" priority="971">
      <formula>X27=$M$3</formula>
    </cfRule>
    <cfRule type="expression" dxfId="2451" priority="972">
      <formula>X27=$I$3</formula>
    </cfRule>
    <cfRule type="expression" dxfId="2450" priority="973">
      <formula>X27=$D$3</formula>
    </cfRule>
  </conditionalFormatting>
  <conditionalFormatting sqref="Y27:Y30">
    <cfRule type="cellIs" dxfId="2449" priority="970" operator="greaterThan">
      <formula>0</formula>
    </cfRule>
  </conditionalFormatting>
  <conditionalFormatting sqref="G33:G34">
    <cfRule type="expression" dxfId="2448" priority="967">
      <formula>G33=$M$3</formula>
    </cfRule>
    <cfRule type="expression" dxfId="2447" priority="968">
      <formula>G33=$I$3</formula>
    </cfRule>
    <cfRule type="expression" dxfId="2446" priority="969">
      <formula>G33=$D$3</formula>
    </cfRule>
  </conditionalFormatting>
  <conditionalFormatting sqref="K31:K34">
    <cfRule type="expression" dxfId="2445" priority="964">
      <formula>K31=$M$3</formula>
    </cfRule>
    <cfRule type="expression" dxfId="2444" priority="965">
      <formula>K31=$I$3</formula>
    </cfRule>
    <cfRule type="expression" dxfId="2443" priority="966">
      <formula>K31=$D$3</formula>
    </cfRule>
  </conditionalFormatting>
  <conditionalFormatting sqref="O32:O34">
    <cfRule type="expression" dxfId="2442" priority="961">
      <formula>O32=$M$3</formula>
    </cfRule>
    <cfRule type="expression" dxfId="2441" priority="962">
      <formula>O32=$I$3</formula>
    </cfRule>
    <cfRule type="expression" dxfId="2440" priority="963">
      <formula>O32=$D$3</formula>
    </cfRule>
  </conditionalFormatting>
  <conditionalFormatting sqref="B31:B34">
    <cfRule type="expression" dxfId="2439" priority="960">
      <formula>B31="CN"</formula>
    </cfRule>
  </conditionalFormatting>
  <conditionalFormatting sqref="P32:P34 L31:L34 H33:H34">
    <cfRule type="cellIs" dxfId="2438" priority="959" operator="greaterThan">
      <formula>0</formula>
    </cfRule>
  </conditionalFormatting>
  <conditionalFormatting sqref="X31:X34">
    <cfRule type="expression" dxfId="2437" priority="956">
      <formula>X31=$M$3</formula>
    </cfRule>
    <cfRule type="expression" dxfId="2436" priority="957">
      <formula>X31=$I$3</formula>
    </cfRule>
    <cfRule type="expression" dxfId="2435" priority="958">
      <formula>X31=$D$3</formula>
    </cfRule>
  </conditionalFormatting>
  <conditionalFormatting sqref="Y31:Y34">
    <cfRule type="cellIs" dxfId="2434" priority="955" operator="greaterThan">
      <formula>0</formula>
    </cfRule>
  </conditionalFormatting>
  <conditionalFormatting sqref="G38">
    <cfRule type="expression" dxfId="2433" priority="952">
      <formula>G38=$M$3</formula>
    </cfRule>
    <cfRule type="expression" dxfId="2432" priority="953">
      <formula>G38=$I$3</formula>
    </cfRule>
    <cfRule type="expression" dxfId="2431" priority="954">
      <formula>G38=$D$3</formula>
    </cfRule>
  </conditionalFormatting>
  <conditionalFormatting sqref="K36:K38">
    <cfRule type="expression" dxfId="2430" priority="949">
      <formula>K36=$M$3</formula>
    </cfRule>
    <cfRule type="expression" dxfId="2429" priority="950">
      <formula>K36=$I$3</formula>
    </cfRule>
    <cfRule type="expression" dxfId="2428" priority="951">
      <formula>K36=$D$3</formula>
    </cfRule>
  </conditionalFormatting>
  <conditionalFormatting sqref="O36:O38">
    <cfRule type="expression" dxfId="2427" priority="946">
      <formula>O36=$M$3</formula>
    </cfRule>
    <cfRule type="expression" dxfId="2426" priority="947">
      <formula>O36=$I$3</formula>
    </cfRule>
    <cfRule type="expression" dxfId="2425" priority="948">
      <formula>O36=$D$3</formula>
    </cfRule>
  </conditionalFormatting>
  <conditionalFormatting sqref="B35:B38">
    <cfRule type="expression" dxfId="2424" priority="945">
      <formula>B35="CN"</formula>
    </cfRule>
  </conditionalFormatting>
  <conditionalFormatting sqref="P36:P38 L36:L38 H38">
    <cfRule type="cellIs" dxfId="2423" priority="944" operator="greaterThan">
      <formula>0</formula>
    </cfRule>
  </conditionalFormatting>
  <conditionalFormatting sqref="X35:X38">
    <cfRule type="expression" dxfId="2422" priority="941">
      <formula>X35=$M$3</formula>
    </cfRule>
    <cfRule type="expression" dxfId="2421" priority="942">
      <formula>X35=$I$3</formula>
    </cfRule>
    <cfRule type="expression" dxfId="2420" priority="943">
      <formula>X35=$D$3</formula>
    </cfRule>
  </conditionalFormatting>
  <conditionalFormatting sqref="Y35:Y38">
    <cfRule type="cellIs" dxfId="2419" priority="940" operator="greaterThan">
      <formula>0</formula>
    </cfRule>
  </conditionalFormatting>
  <conditionalFormatting sqref="G39:G42">
    <cfRule type="expression" dxfId="2418" priority="937">
      <formula>G39=$M$3</formula>
    </cfRule>
    <cfRule type="expression" dxfId="2417" priority="938">
      <formula>G39=$I$3</formula>
    </cfRule>
    <cfRule type="expression" dxfId="2416" priority="939">
      <formula>G39=$D$3</formula>
    </cfRule>
  </conditionalFormatting>
  <conditionalFormatting sqref="K40:K42">
    <cfRule type="expression" dxfId="2415" priority="934">
      <formula>K40=$M$3</formula>
    </cfRule>
    <cfRule type="expression" dxfId="2414" priority="935">
      <formula>K40=$I$3</formula>
    </cfRule>
    <cfRule type="expression" dxfId="2413" priority="936">
      <formula>K40=$D$3</formula>
    </cfRule>
  </conditionalFormatting>
  <conditionalFormatting sqref="O40:O42">
    <cfRule type="expression" dxfId="2412" priority="931">
      <formula>O40=$M$3</formula>
    </cfRule>
    <cfRule type="expression" dxfId="2411" priority="932">
      <formula>O40=$I$3</formula>
    </cfRule>
    <cfRule type="expression" dxfId="2410" priority="933">
      <formula>O40=$D$3</formula>
    </cfRule>
  </conditionalFormatting>
  <conditionalFormatting sqref="B39:B42">
    <cfRule type="expression" dxfId="2409" priority="930">
      <formula>B39="CN"</formula>
    </cfRule>
  </conditionalFormatting>
  <conditionalFormatting sqref="P40:P42 L40:L42 H39:H42">
    <cfRule type="cellIs" dxfId="2408" priority="929" operator="greaterThan">
      <formula>0</formula>
    </cfRule>
  </conditionalFormatting>
  <conditionalFormatting sqref="X39:X42">
    <cfRule type="expression" dxfId="2407" priority="926">
      <formula>X39=$M$3</formula>
    </cfRule>
    <cfRule type="expression" dxfId="2406" priority="927">
      <formula>X39=$I$3</formula>
    </cfRule>
    <cfRule type="expression" dxfId="2405" priority="928">
      <formula>X39=$D$3</formula>
    </cfRule>
  </conditionalFormatting>
  <conditionalFormatting sqref="Y39:Y42">
    <cfRule type="cellIs" dxfId="2404" priority="925" operator="greaterThan">
      <formula>0</formula>
    </cfRule>
  </conditionalFormatting>
  <conditionalFormatting sqref="G44:G46">
    <cfRule type="expression" dxfId="2403" priority="922">
      <formula>G44=$M$3</formula>
    </cfRule>
    <cfRule type="expression" dxfId="2402" priority="923">
      <formula>G44=$I$3</formula>
    </cfRule>
    <cfRule type="expression" dxfId="2401" priority="924">
      <formula>G44=$D$3</formula>
    </cfRule>
  </conditionalFormatting>
  <conditionalFormatting sqref="K44:K46">
    <cfRule type="expression" dxfId="2400" priority="919">
      <formula>K44=$M$3</formula>
    </cfRule>
    <cfRule type="expression" dxfId="2399" priority="920">
      <formula>K44=$I$3</formula>
    </cfRule>
    <cfRule type="expression" dxfId="2398" priority="921">
      <formula>K44=$D$3</formula>
    </cfRule>
  </conditionalFormatting>
  <conditionalFormatting sqref="O44:O46">
    <cfRule type="expression" dxfId="2397" priority="916">
      <formula>O44=$M$3</formula>
    </cfRule>
    <cfRule type="expression" dxfId="2396" priority="917">
      <formula>O44=$I$3</formula>
    </cfRule>
    <cfRule type="expression" dxfId="2395" priority="918">
      <formula>O44=$D$3</formula>
    </cfRule>
  </conditionalFormatting>
  <conditionalFormatting sqref="B43:B46">
    <cfRule type="expression" dxfId="2394" priority="915">
      <formula>B43="CN"</formula>
    </cfRule>
  </conditionalFormatting>
  <conditionalFormatting sqref="P44:P46 L44:L46 H44:H46">
    <cfRule type="cellIs" dxfId="2393" priority="914" operator="greaterThan">
      <formula>0</formula>
    </cfRule>
  </conditionalFormatting>
  <conditionalFormatting sqref="X43:X46">
    <cfRule type="expression" dxfId="2392" priority="911">
      <formula>X43=$M$3</formula>
    </cfRule>
    <cfRule type="expression" dxfId="2391" priority="912">
      <formula>X43=$I$3</formula>
    </cfRule>
    <cfRule type="expression" dxfId="2390" priority="913">
      <formula>X43=$D$3</formula>
    </cfRule>
  </conditionalFormatting>
  <conditionalFormatting sqref="Y43:Y46">
    <cfRule type="cellIs" dxfId="2389" priority="910" operator="greaterThan">
      <formula>0</formula>
    </cfRule>
  </conditionalFormatting>
  <conditionalFormatting sqref="G47:G50">
    <cfRule type="expression" dxfId="2388" priority="907">
      <formula>G47=$M$3</formula>
    </cfRule>
    <cfRule type="expression" dxfId="2387" priority="908">
      <formula>G47=$I$3</formula>
    </cfRule>
    <cfRule type="expression" dxfId="2386" priority="909">
      <formula>G47=$D$3</formula>
    </cfRule>
  </conditionalFormatting>
  <conditionalFormatting sqref="K48:K50">
    <cfRule type="expression" dxfId="2385" priority="904">
      <formula>K48=$M$3</formula>
    </cfRule>
    <cfRule type="expression" dxfId="2384" priority="905">
      <formula>K48=$I$3</formula>
    </cfRule>
    <cfRule type="expression" dxfId="2383" priority="906">
      <formula>K48=$D$3</formula>
    </cfRule>
  </conditionalFormatting>
  <conditionalFormatting sqref="O48:O50">
    <cfRule type="expression" dxfId="2382" priority="901">
      <formula>O48=$M$3</formula>
    </cfRule>
    <cfRule type="expression" dxfId="2381" priority="902">
      <formula>O48=$I$3</formula>
    </cfRule>
    <cfRule type="expression" dxfId="2380" priority="903">
      <formula>O48=$D$3</formula>
    </cfRule>
  </conditionalFormatting>
  <conditionalFormatting sqref="B47:B50">
    <cfRule type="expression" dxfId="2379" priority="900">
      <formula>B47="CN"</formula>
    </cfRule>
  </conditionalFormatting>
  <conditionalFormatting sqref="P48:P50 L48:L50 H47:H50">
    <cfRule type="cellIs" dxfId="2378" priority="899" operator="greaterThan">
      <formula>0</formula>
    </cfRule>
  </conditionalFormatting>
  <conditionalFormatting sqref="X47:X50">
    <cfRule type="expression" dxfId="2377" priority="896">
      <formula>X47=$M$3</formula>
    </cfRule>
    <cfRule type="expression" dxfId="2376" priority="897">
      <formula>X47=$I$3</formula>
    </cfRule>
    <cfRule type="expression" dxfId="2375" priority="898">
      <formula>X47=$D$3</formula>
    </cfRule>
  </conditionalFormatting>
  <conditionalFormatting sqref="Y47:Y50">
    <cfRule type="cellIs" dxfId="2374" priority="895" operator="greaterThan">
      <formula>0</formula>
    </cfRule>
  </conditionalFormatting>
  <conditionalFormatting sqref="G51:G54">
    <cfRule type="expression" dxfId="2373" priority="892">
      <formula>G51=$M$3</formula>
    </cfRule>
    <cfRule type="expression" dxfId="2372" priority="893">
      <formula>G51=$I$3</formula>
    </cfRule>
    <cfRule type="expression" dxfId="2371" priority="894">
      <formula>G51=$D$3</formula>
    </cfRule>
  </conditionalFormatting>
  <conditionalFormatting sqref="K52:K53">
    <cfRule type="expression" dxfId="2370" priority="889">
      <formula>K52=$M$3</formula>
    </cfRule>
    <cfRule type="expression" dxfId="2369" priority="890">
      <formula>K52=$I$3</formula>
    </cfRule>
    <cfRule type="expression" dxfId="2368" priority="891">
      <formula>K52=$D$3</formula>
    </cfRule>
  </conditionalFormatting>
  <conditionalFormatting sqref="O52:O53">
    <cfRule type="expression" dxfId="2367" priority="886">
      <formula>O52=$M$3</formula>
    </cfRule>
    <cfRule type="expression" dxfId="2366" priority="887">
      <formula>O52=$I$3</formula>
    </cfRule>
    <cfRule type="expression" dxfId="2365" priority="888">
      <formula>O52=$D$3</formula>
    </cfRule>
  </conditionalFormatting>
  <conditionalFormatting sqref="B51:B54">
    <cfRule type="expression" dxfId="2364" priority="885">
      <formula>B51="CN"</formula>
    </cfRule>
  </conditionalFormatting>
  <conditionalFormatting sqref="P52:P53 L52:L53 H51:H54">
    <cfRule type="cellIs" dxfId="2363" priority="884" operator="greaterThan">
      <formula>0</formula>
    </cfRule>
  </conditionalFormatting>
  <conditionalFormatting sqref="X52:X54">
    <cfRule type="expression" dxfId="2362" priority="881">
      <formula>X52=$M$3</formula>
    </cfRule>
    <cfRule type="expression" dxfId="2361" priority="882">
      <formula>X52=$I$3</formula>
    </cfRule>
    <cfRule type="expression" dxfId="2360" priority="883">
      <formula>X52=$D$3</formula>
    </cfRule>
  </conditionalFormatting>
  <conditionalFormatting sqref="Y52:Y54">
    <cfRule type="cellIs" dxfId="2359" priority="880" operator="greaterThan">
      <formula>0</formula>
    </cfRule>
  </conditionalFormatting>
  <conditionalFormatting sqref="G56:G58">
    <cfRule type="expression" dxfId="2358" priority="877">
      <formula>G56=$M$3</formula>
    </cfRule>
    <cfRule type="expression" dxfId="2357" priority="878">
      <formula>G56=$I$3</formula>
    </cfRule>
    <cfRule type="expression" dxfId="2356" priority="879">
      <formula>G56=$D$3</formula>
    </cfRule>
  </conditionalFormatting>
  <conditionalFormatting sqref="K57:K58">
    <cfRule type="expression" dxfId="2355" priority="874">
      <formula>K57=$M$3</formula>
    </cfRule>
    <cfRule type="expression" dxfId="2354" priority="875">
      <formula>K57=$I$3</formula>
    </cfRule>
    <cfRule type="expression" dxfId="2353" priority="876">
      <formula>K57=$D$3</formula>
    </cfRule>
  </conditionalFormatting>
  <conditionalFormatting sqref="B55:B58">
    <cfRule type="expression" dxfId="2352" priority="870">
      <formula>B55="CN"</formula>
    </cfRule>
  </conditionalFormatting>
  <conditionalFormatting sqref="L57:L58 H56:H58">
    <cfRule type="cellIs" dxfId="2351" priority="869" operator="greaterThan">
      <formula>0</formula>
    </cfRule>
  </conditionalFormatting>
  <conditionalFormatting sqref="X56:X58">
    <cfRule type="expression" dxfId="2350" priority="866">
      <formula>X56=$M$3</formula>
    </cfRule>
    <cfRule type="expression" dxfId="2349" priority="867">
      <formula>X56=$I$3</formula>
    </cfRule>
    <cfRule type="expression" dxfId="2348" priority="868">
      <formula>X56=$D$3</formula>
    </cfRule>
  </conditionalFormatting>
  <conditionalFormatting sqref="Y56:Y58">
    <cfRule type="cellIs" dxfId="2347" priority="865" operator="greaterThan">
      <formula>0</formula>
    </cfRule>
  </conditionalFormatting>
  <conditionalFormatting sqref="G60:G62">
    <cfRule type="expression" dxfId="2346" priority="862">
      <formula>G60=$M$3</formula>
    </cfRule>
    <cfRule type="expression" dxfId="2345" priority="863">
      <formula>G60=$I$3</formula>
    </cfRule>
    <cfRule type="expression" dxfId="2344" priority="864">
      <formula>G60=$D$3</formula>
    </cfRule>
  </conditionalFormatting>
  <conditionalFormatting sqref="K60:K62">
    <cfRule type="expression" dxfId="2343" priority="859">
      <formula>K60=$M$3</formula>
    </cfRule>
    <cfRule type="expression" dxfId="2342" priority="860">
      <formula>K60=$I$3</formula>
    </cfRule>
    <cfRule type="expression" dxfId="2341" priority="861">
      <formula>K60=$D$3</formula>
    </cfRule>
  </conditionalFormatting>
  <conditionalFormatting sqref="O62">
    <cfRule type="expression" dxfId="2340" priority="856">
      <formula>O62=$M$3</formula>
    </cfRule>
    <cfRule type="expression" dxfId="2339" priority="857">
      <formula>O62=$I$3</formula>
    </cfRule>
    <cfRule type="expression" dxfId="2338" priority="858">
      <formula>O62=$D$3</formula>
    </cfRule>
  </conditionalFormatting>
  <conditionalFormatting sqref="B59:B62">
    <cfRule type="expression" dxfId="2337" priority="855">
      <formula>B59="CN"</formula>
    </cfRule>
  </conditionalFormatting>
  <conditionalFormatting sqref="P62 L60:L62 H60:H62">
    <cfRule type="cellIs" dxfId="2336" priority="854" operator="greaterThan">
      <formula>0</formula>
    </cfRule>
  </conditionalFormatting>
  <conditionalFormatting sqref="X60:X62">
    <cfRule type="expression" dxfId="2335" priority="851">
      <formula>X60=$M$3</formula>
    </cfRule>
    <cfRule type="expression" dxfId="2334" priority="852">
      <formula>X60=$I$3</formula>
    </cfRule>
    <cfRule type="expression" dxfId="2333" priority="853">
      <formula>X60=$D$3</formula>
    </cfRule>
  </conditionalFormatting>
  <conditionalFormatting sqref="Y60:Y62">
    <cfRule type="cellIs" dxfId="2332" priority="850" operator="greaterThan">
      <formula>0</formula>
    </cfRule>
  </conditionalFormatting>
  <conditionalFormatting sqref="G64:G66">
    <cfRule type="expression" dxfId="2331" priority="847">
      <formula>G64=$M$3</formula>
    </cfRule>
    <cfRule type="expression" dxfId="2330" priority="848">
      <formula>G64=$I$3</formula>
    </cfRule>
    <cfRule type="expression" dxfId="2329" priority="849">
      <formula>G64=$D$3</formula>
    </cfRule>
  </conditionalFormatting>
  <conditionalFormatting sqref="K64:K66">
    <cfRule type="expression" dxfId="2328" priority="844">
      <formula>K64=$M$3</formula>
    </cfRule>
    <cfRule type="expression" dxfId="2327" priority="845">
      <formula>K64=$I$3</formula>
    </cfRule>
    <cfRule type="expression" dxfId="2326" priority="846">
      <formula>K64=$D$3</formula>
    </cfRule>
  </conditionalFormatting>
  <conditionalFormatting sqref="O64:O66">
    <cfRule type="expression" dxfId="2325" priority="841">
      <formula>O64=$M$3</formula>
    </cfRule>
    <cfRule type="expression" dxfId="2324" priority="842">
      <formula>O64=$I$3</formula>
    </cfRule>
    <cfRule type="expression" dxfId="2323" priority="843">
      <formula>O64=$D$3</formula>
    </cfRule>
  </conditionalFormatting>
  <conditionalFormatting sqref="B63:B66">
    <cfRule type="expression" dxfId="2322" priority="840">
      <formula>B63="CN"</formula>
    </cfRule>
  </conditionalFormatting>
  <conditionalFormatting sqref="P64:P66 L64:L66 H64:H66">
    <cfRule type="cellIs" dxfId="2321" priority="839" operator="greaterThan">
      <formula>0</formula>
    </cfRule>
  </conditionalFormatting>
  <conditionalFormatting sqref="X64:X66">
    <cfRule type="expression" dxfId="2320" priority="836">
      <formula>X64=$M$3</formula>
    </cfRule>
    <cfRule type="expression" dxfId="2319" priority="837">
      <formula>X64=$I$3</formula>
    </cfRule>
    <cfRule type="expression" dxfId="2318" priority="838">
      <formula>X64=$D$3</formula>
    </cfRule>
  </conditionalFormatting>
  <conditionalFormatting sqref="Y64:Y66">
    <cfRule type="cellIs" dxfId="2317" priority="835" operator="greaterThan">
      <formula>0</formula>
    </cfRule>
  </conditionalFormatting>
  <conditionalFormatting sqref="G67:G70">
    <cfRule type="expression" dxfId="2316" priority="832">
      <formula>G67=$M$3</formula>
    </cfRule>
    <cfRule type="expression" dxfId="2315" priority="833">
      <formula>G67=$I$3</formula>
    </cfRule>
    <cfRule type="expression" dxfId="2314" priority="834">
      <formula>G67=$D$3</formula>
    </cfRule>
  </conditionalFormatting>
  <conditionalFormatting sqref="K68:K70">
    <cfRule type="expression" dxfId="2313" priority="829">
      <formula>K68=$M$3</formula>
    </cfRule>
    <cfRule type="expression" dxfId="2312" priority="830">
      <formula>K68=$I$3</formula>
    </cfRule>
    <cfRule type="expression" dxfId="2311" priority="831">
      <formula>K68=$D$3</formula>
    </cfRule>
  </conditionalFormatting>
  <conditionalFormatting sqref="O68:O70">
    <cfRule type="expression" dxfId="2310" priority="826">
      <formula>O68=$M$3</formula>
    </cfRule>
    <cfRule type="expression" dxfId="2309" priority="827">
      <formula>O68=$I$3</formula>
    </cfRule>
    <cfRule type="expression" dxfId="2308" priority="828">
      <formula>O68=$D$3</formula>
    </cfRule>
  </conditionalFormatting>
  <conditionalFormatting sqref="B67:B70">
    <cfRule type="expression" dxfId="2307" priority="825">
      <formula>B67="CN"</formula>
    </cfRule>
  </conditionalFormatting>
  <conditionalFormatting sqref="P68:P70 L68:L70 H67:H70">
    <cfRule type="cellIs" dxfId="2306" priority="824" operator="greaterThan">
      <formula>0</formula>
    </cfRule>
  </conditionalFormatting>
  <conditionalFormatting sqref="X68:X70">
    <cfRule type="expression" dxfId="2305" priority="821">
      <formula>X68=$M$3</formula>
    </cfRule>
    <cfRule type="expression" dxfId="2304" priority="822">
      <formula>X68=$I$3</formula>
    </cfRule>
    <cfRule type="expression" dxfId="2303" priority="823">
      <formula>X68=$D$3</formula>
    </cfRule>
  </conditionalFormatting>
  <conditionalFormatting sqref="Y68:Y70">
    <cfRule type="cellIs" dxfId="2302" priority="820" operator="greaterThan">
      <formula>0</formula>
    </cfRule>
  </conditionalFormatting>
  <conditionalFormatting sqref="G71:G74">
    <cfRule type="expression" dxfId="2301" priority="817">
      <formula>G71=$M$3</formula>
    </cfRule>
    <cfRule type="expression" dxfId="2300" priority="818">
      <formula>G71=$I$3</formula>
    </cfRule>
    <cfRule type="expression" dxfId="2299" priority="819">
      <formula>G71=$D$3</formula>
    </cfRule>
  </conditionalFormatting>
  <conditionalFormatting sqref="K72:K74">
    <cfRule type="expression" dxfId="2298" priority="814">
      <formula>K72=$M$3</formula>
    </cfRule>
    <cfRule type="expression" dxfId="2297" priority="815">
      <formula>K72=$I$3</formula>
    </cfRule>
    <cfRule type="expression" dxfId="2296" priority="816">
      <formula>K72=$D$3</formula>
    </cfRule>
  </conditionalFormatting>
  <conditionalFormatting sqref="O72:O74">
    <cfRule type="expression" dxfId="2295" priority="811">
      <formula>O72=$M$3</formula>
    </cfRule>
    <cfRule type="expression" dxfId="2294" priority="812">
      <formula>O72=$I$3</formula>
    </cfRule>
    <cfRule type="expression" dxfId="2293" priority="813">
      <formula>O72=$D$3</formula>
    </cfRule>
  </conditionalFormatting>
  <conditionalFormatting sqref="B71:B74">
    <cfRule type="expression" dxfId="2292" priority="810">
      <formula>B71="CN"</formula>
    </cfRule>
  </conditionalFormatting>
  <conditionalFormatting sqref="P72:P74 L72:L74 H71:H74">
    <cfRule type="cellIs" dxfId="2291" priority="809" operator="greaterThan">
      <formula>0</formula>
    </cfRule>
  </conditionalFormatting>
  <conditionalFormatting sqref="X71:X74">
    <cfRule type="expression" dxfId="2290" priority="806">
      <formula>X71=$M$3</formula>
    </cfRule>
    <cfRule type="expression" dxfId="2289" priority="807">
      <formula>X71=$I$3</formula>
    </cfRule>
    <cfRule type="expression" dxfId="2288" priority="808">
      <formula>X71=$D$3</formula>
    </cfRule>
  </conditionalFormatting>
  <conditionalFormatting sqref="Y71:Y74">
    <cfRule type="cellIs" dxfId="2287" priority="805" operator="greaterThan">
      <formula>0</formula>
    </cfRule>
  </conditionalFormatting>
  <conditionalFormatting sqref="G75 G77:G78">
    <cfRule type="expression" dxfId="2286" priority="802">
      <formula>G75=$M$3</formula>
    </cfRule>
    <cfRule type="expression" dxfId="2285" priority="803">
      <formula>G75=$I$3</formula>
    </cfRule>
    <cfRule type="expression" dxfId="2284" priority="804">
      <formula>G75=$D$3</formula>
    </cfRule>
  </conditionalFormatting>
  <conditionalFormatting sqref="K76:K78">
    <cfRule type="expression" dxfId="2283" priority="799">
      <formula>K76=$M$3</formula>
    </cfRule>
    <cfRule type="expression" dxfId="2282" priority="800">
      <formula>K76=$I$3</formula>
    </cfRule>
    <cfRule type="expression" dxfId="2281" priority="801">
      <formula>K76=$D$3</formula>
    </cfRule>
  </conditionalFormatting>
  <conditionalFormatting sqref="O76:O78">
    <cfRule type="expression" dxfId="2280" priority="796">
      <formula>O76=$M$3</formula>
    </cfRule>
    <cfRule type="expression" dxfId="2279" priority="797">
      <formula>O76=$I$3</formula>
    </cfRule>
    <cfRule type="expression" dxfId="2278" priority="798">
      <formula>O76=$D$3</formula>
    </cfRule>
  </conditionalFormatting>
  <conditionalFormatting sqref="B75:B78">
    <cfRule type="expression" dxfId="2277" priority="795">
      <formula>B75="CN"</formula>
    </cfRule>
  </conditionalFormatting>
  <conditionalFormatting sqref="P76:P78 L76:L78 H75 H77:H78">
    <cfRule type="cellIs" dxfId="2276" priority="794" operator="greaterThan">
      <formula>0</formula>
    </cfRule>
  </conditionalFormatting>
  <conditionalFormatting sqref="X75:X78">
    <cfRule type="expression" dxfId="2275" priority="791">
      <formula>X75=$M$3</formula>
    </cfRule>
    <cfRule type="expression" dxfId="2274" priority="792">
      <formula>X75=$I$3</formula>
    </cfRule>
    <cfRule type="expression" dxfId="2273" priority="793">
      <formula>X75=$D$3</formula>
    </cfRule>
  </conditionalFormatting>
  <conditionalFormatting sqref="Y75:Y78">
    <cfRule type="cellIs" dxfId="2272" priority="790" operator="greaterThan">
      <formula>0</formula>
    </cfRule>
  </conditionalFormatting>
  <conditionalFormatting sqref="G80:G82">
    <cfRule type="expression" dxfId="2271" priority="787">
      <formula>G80=$M$3</formula>
    </cfRule>
    <cfRule type="expression" dxfId="2270" priority="788">
      <formula>G80=$I$3</formula>
    </cfRule>
    <cfRule type="expression" dxfId="2269" priority="789">
      <formula>G80=$D$3</formula>
    </cfRule>
  </conditionalFormatting>
  <conditionalFormatting sqref="K93:K94">
    <cfRule type="expression" dxfId="2268" priority="784">
      <formula>K93=$M$3</formula>
    </cfRule>
    <cfRule type="expression" dxfId="2267" priority="785">
      <formula>K93=$I$3</formula>
    </cfRule>
    <cfRule type="expression" dxfId="2266" priority="786">
      <formula>K93=$D$3</formula>
    </cfRule>
  </conditionalFormatting>
  <conditionalFormatting sqref="O80:O82">
    <cfRule type="expression" dxfId="2265" priority="781">
      <formula>O80=$M$3</formula>
    </cfRule>
    <cfRule type="expression" dxfId="2264" priority="782">
      <formula>O80=$I$3</formula>
    </cfRule>
    <cfRule type="expression" dxfId="2263" priority="783">
      <formula>O80=$D$3</formula>
    </cfRule>
  </conditionalFormatting>
  <conditionalFormatting sqref="B79:B82">
    <cfRule type="expression" dxfId="2262" priority="780">
      <formula>B79="CN"</formula>
    </cfRule>
  </conditionalFormatting>
  <conditionalFormatting sqref="P80:P82 L93:L94 H80:H82">
    <cfRule type="cellIs" dxfId="2261" priority="779" operator="greaterThan">
      <formula>0</formula>
    </cfRule>
  </conditionalFormatting>
  <conditionalFormatting sqref="X79:X82">
    <cfRule type="expression" dxfId="2260" priority="776">
      <formula>X79=$M$3</formula>
    </cfRule>
    <cfRule type="expression" dxfId="2259" priority="777">
      <formula>X79=$I$3</formula>
    </cfRule>
    <cfRule type="expression" dxfId="2258" priority="778">
      <formula>X79=$D$3</formula>
    </cfRule>
  </conditionalFormatting>
  <conditionalFormatting sqref="Y79:Y82">
    <cfRule type="cellIs" dxfId="2257" priority="775" operator="greaterThan">
      <formula>0</formula>
    </cfRule>
  </conditionalFormatting>
  <conditionalFormatting sqref="G84:G86">
    <cfRule type="expression" dxfId="2256" priority="772">
      <formula>G84=$M$3</formula>
    </cfRule>
    <cfRule type="expression" dxfId="2255" priority="773">
      <formula>G84=$I$3</formula>
    </cfRule>
    <cfRule type="expression" dxfId="2254" priority="774">
      <formula>G84=$D$3</formula>
    </cfRule>
  </conditionalFormatting>
  <conditionalFormatting sqref="K85:K86">
    <cfRule type="expression" dxfId="2253" priority="769">
      <formula>K85=$M$3</formula>
    </cfRule>
    <cfRule type="expression" dxfId="2252" priority="770">
      <formula>K85=$I$3</formula>
    </cfRule>
    <cfRule type="expression" dxfId="2251" priority="771">
      <formula>K85=$D$3</formula>
    </cfRule>
  </conditionalFormatting>
  <conditionalFormatting sqref="O84:O86">
    <cfRule type="expression" dxfId="2250" priority="766">
      <formula>O84=$M$3</formula>
    </cfRule>
    <cfRule type="expression" dxfId="2249" priority="767">
      <formula>O84=$I$3</formula>
    </cfRule>
    <cfRule type="expression" dxfId="2248" priority="768">
      <formula>O84=$D$3</formula>
    </cfRule>
  </conditionalFormatting>
  <conditionalFormatting sqref="B83:B86">
    <cfRule type="expression" dxfId="2247" priority="765">
      <formula>B83="CN"</formula>
    </cfRule>
  </conditionalFormatting>
  <conditionalFormatting sqref="P84:P86 L85:L86 H84:H86">
    <cfRule type="cellIs" dxfId="2246" priority="764" operator="greaterThan">
      <formula>0</formula>
    </cfRule>
  </conditionalFormatting>
  <conditionalFormatting sqref="X83:X86">
    <cfRule type="expression" dxfId="2245" priority="761">
      <formula>X83=$M$3</formula>
    </cfRule>
    <cfRule type="expression" dxfId="2244" priority="762">
      <formula>X83=$I$3</formula>
    </cfRule>
    <cfRule type="expression" dxfId="2243" priority="763">
      <formula>X83=$D$3</formula>
    </cfRule>
  </conditionalFormatting>
  <conditionalFormatting sqref="Y83:Y86">
    <cfRule type="cellIs" dxfId="2242" priority="760" operator="greaterThan">
      <formula>0</formula>
    </cfRule>
  </conditionalFormatting>
  <conditionalFormatting sqref="G87 G89:G90">
    <cfRule type="expression" dxfId="2241" priority="757">
      <formula>G87=$M$3</formula>
    </cfRule>
    <cfRule type="expression" dxfId="2240" priority="758">
      <formula>G87=$I$3</formula>
    </cfRule>
    <cfRule type="expression" dxfId="2239" priority="759">
      <formula>G87=$D$3</formula>
    </cfRule>
  </conditionalFormatting>
  <conditionalFormatting sqref="K88:K90">
    <cfRule type="expression" dxfId="2238" priority="754">
      <formula>K88=$M$3</formula>
    </cfRule>
    <cfRule type="expression" dxfId="2237" priority="755">
      <formula>K88=$I$3</formula>
    </cfRule>
    <cfRule type="expression" dxfId="2236" priority="756">
      <formula>K88=$D$3</formula>
    </cfRule>
  </conditionalFormatting>
  <conditionalFormatting sqref="O88:O90">
    <cfRule type="expression" dxfId="2235" priority="751">
      <formula>O88=$M$3</formula>
    </cfRule>
    <cfRule type="expression" dxfId="2234" priority="752">
      <formula>O88=$I$3</formula>
    </cfRule>
    <cfRule type="expression" dxfId="2233" priority="753">
      <formula>O88=$D$3</formula>
    </cfRule>
  </conditionalFormatting>
  <conditionalFormatting sqref="B87:B90">
    <cfRule type="expression" dxfId="2232" priority="750">
      <formula>B87="CN"</formula>
    </cfRule>
  </conditionalFormatting>
  <conditionalFormatting sqref="P88:P90 L88:L90 H87:H90">
    <cfRule type="cellIs" dxfId="2231" priority="749" operator="greaterThan">
      <formula>0</formula>
    </cfRule>
  </conditionalFormatting>
  <conditionalFormatting sqref="X87:X90">
    <cfRule type="expression" dxfId="2230" priority="746">
      <formula>X87=$M$3</formula>
    </cfRule>
    <cfRule type="expression" dxfId="2229" priority="747">
      <formula>X87=$I$3</formula>
    </cfRule>
    <cfRule type="expression" dxfId="2228" priority="748">
      <formula>X87=$D$3</formula>
    </cfRule>
  </conditionalFormatting>
  <conditionalFormatting sqref="Y87:Y90">
    <cfRule type="cellIs" dxfId="2227" priority="745" operator="greaterThan">
      <formula>0</formula>
    </cfRule>
  </conditionalFormatting>
  <conditionalFormatting sqref="G91:G94">
    <cfRule type="expression" dxfId="2226" priority="742">
      <formula>G91=$M$3</formula>
    </cfRule>
    <cfRule type="expression" dxfId="2225" priority="743">
      <formula>G91=$I$3</formula>
    </cfRule>
    <cfRule type="expression" dxfId="2224" priority="744">
      <formula>G91=$D$3</formula>
    </cfRule>
  </conditionalFormatting>
  <conditionalFormatting sqref="O93:O94">
    <cfRule type="expression" dxfId="2223" priority="739">
      <formula>O93=$M$3</formula>
    </cfRule>
    <cfRule type="expression" dxfId="2222" priority="740">
      <formula>O93=$I$3</formula>
    </cfRule>
    <cfRule type="expression" dxfId="2221" priority="741">
      <formula>O93=$D$3</formula>
    </cfRule>
  </conditionalFormatting>
  <conditionalFormatting sqref="B91:B94">
    <cfRule type="expression" dxfId="2220" priority="738">
      <formula>B91="CN"</formula>
    </cfRule>
  </conditionalFormatting>
  <conditionalFormatting sqref="P93:P94 H91:H94">
    <cfRule type="cellIs" dxfId="2219" priority="737" operator="greaterThan">
      <formula>0</formula>
    </cfRule>
  </conditionalFormatting>
  <conditionalFormatting sqref="X91:X94">
    <cfRule type="expression" dxfId="2218" priority="734">
      <formula>X91=$M$3</formula>
    </cfRule>
    <cfRule type="expression" dxfId="2217" priority="735">
      <formula>X91=$I$3</formula>
    </cfRule>
    <cfRule type="expression" dxfId="2216" priority="736">
      <formula>X91=$D$3</formula>
    </cfRule>
  </conditionalFormatting>
  <conditionalFormatting sqref="Y91:Y94">
    <cfRule type="cellIs" dxfId="2215" priority="733" operator="greaterThan">
      <formula>0</formula>
    </cfRule>
  </conditionalFormatting>
  <conditionalFormatting sqref="K96:K98">
    <cfRule type="expression" dxfId="2214" priority="730">
      <formula>K96=$M$3</formula>
    </cfRule>
    <cfRule type="expression" dxfId="2213" priority="731">
      <formula>K96=$I$3</formula>
    </cfRule>
    <cfRule type="expression" dxfId="2212" priority="732">
      <formula>K96=$D$3</formula>
    </cfRule>
  </conditionalFormatting>
  <conditionalFormatting sqref="O96:O98">
    <cfRule type="expression" dxfId="2211" priority="727">
      <formula>O96=$M$3</formula>
    </cfRule>
    <cfRule type="expression" dxfId="2210" priority="728">
      <formula>O96=$I$3</formula>
    </cfRule>
    <cfRule type="expression" dxfId="2209" priority="729">
      <formula>O96=$D$3</formula>
    </cfRule>
  </conditionalFormatting>
  <conditionalFormatting sqref="B95:B98">
    <cfRule type="expression" dxfId="2208" priority="726">
      <formula>B95="CN"</formula>
    </cfRule>
  </conditionalFormatting>
  <conditionalFormatting sqref="P96:P98 L96:L98">
    <cfRule type="cellIs" dxfId="2207" priority="725" operator="greaterThan">
      <formula>0</formula>
    </cfRule>
  </conditionalFormatting>
  <conditionalFormatting sqref="X95:X98">
    <cfRule type="expression" dxfId="2206" priority="722">
      <formula>X95=$M$3</formula>
    </cfRule>
    <cfRule type="expression" dxfId="2205" priority="723">
      <formula>X95=$I$3</formula>
    </cfRule>
    <cfRule type="expression" dxfId="2204" priority="724">
      <formula>X95=$D$3</formula>
    </cfRule>
  </conditionalFormatting>
  <conditionalFormatting sqref="Y95:Y98">
    <cfRule type="cellIs" dxfId="2203" priority="721" operator="greaterThan">
      <formula>0</formula>
    </cfRule>
  </conditionalFormatting>
  <conditionalFormatting sqref="G100:G102">
    <cfRule type="expression" dxfId="2202" priority="718">
      <formula>G100=$M$3</formula>
    </cfRule>
    <cfRule type="expression" dxfId="2201" priority="719">
      <formula>G100=$I$3</formula>
    </cfRule>
    <cfRule type="expression" dxfId="2200" priority="720">
      <formula>G100=$D$3</formula>
    </cfRule>
  </conditionalFormatting>
  <conditionalFormatting sqref="K101:K102">
    <cfRule type="expression" dxfId="2199" priority="715">
      <formula>K101=$M$3</formula>
    </cfRule>
    <cfRule type="expression" dxfId="2198" priority="716">
      <formula>K101=$I$3</formula>
    </cfRule>
    <cfRule type="expression" dxfId="2197" priority="717">
      <formula>K101=$D$3</formula>
    </cfRule>
  </conditionalFormatting>
  <conditionalFormatting sqref="O100:O102">
    <cfRule type="expression" dxfId="2196" priority="712">
      <formula>O100=$M$3</formula>
    </cfRule>
    <cfRule type="expression" dxfId="2195" priority="713">
      <formula>O100=$I$3</formula>
    </cfRule>
    <cfRule type="expression" dxfId="2194" priority="714">
      <formula>O100=$D$3</formula>
    </cfRule>
  </conditionalFormatting>
  <conditionalFormatting sqref="B99:B102">
    <cfRule type="expression" dxfId="2193" priority="711">
      <formula>B99="CN"</formula>
    </cfRule>
  </conditionalFormatting>
  <conditionalFormatting sqref="P100:P102 L101:L102 H100:H102">
    <cfRule type="cellIs" dxfId="2192" priority="710" operator="greaterThan">
      <formula>0</formula>
    </cfRule>
  </conditionalFormatting>
  <conditionalFormatting sqref="X99:X102">
    <cfRule type="expression" dxfId="2191" priority="707">
      <formula>X99=$M$3</formula>
    </cfRule>
    <cfRule type="expression" dxfId="2190" priority="708">
      <formula>X99=$I$3</formula>
    </cfRule>
    <cfRule type="expression" dxfId="2189" priority="709">
      <formula>X99=$D$3</formula>
    </cfRule>
  </conditionalFormatting>
  <conditionalFormatting sqref="Y99:Y102">
    <cfRule type="cellIs" dxfId="2188" priority="706" operator="greaterThan">
      <formula>0</formula>
    </cfRule>
  </conditionalFormatting>
  <conditionalFormatting sqref="G103:G106">
    <cfRule type="expression" dxfId="2187" priority="703">
      <formula>G103=$M$3</formula>
    </cfRule>
    <cfRule type="expression" dxfId="2186" priority="704">
      <formula>G103=$I$3</formula>
    </cfRule>
    <cfRule type="expression" dxfId="2185" priority="705">
      <formula>G103=$D$3</formula>
    </cfRule>
  </conditionalFormatting>
  <conditionalFormatting sqref="K104:K106">
    <cfRule type="expression" dxfId="2184" priority="700">
      <formula>K104=$M$3</formula>
    </cfRule>
    <cfRule type="expression" dxfId="2183" priority="701">
      <formula>K104=$I$3</formula>
    </cfRule>
    <cfRule type="expression" dxfId="2182" priority="702">
      <formula>K104=$D$3</formula>
    </cfRule>
  </conditionalFormatting>
  <conditionalFormatting sqref="O104:O106">
    <cfRule type="expression" dxfId="2181" priority="697">
      <formula>O104=$M$3</formula>
    </cfRule>
    <cfRule type="expression" dxfId="2180" priority="698">
      <formula>O104=$I$3</formula>
    </cfRule>
    <cfRule type="expression" dxfId="2179" priority="699">
      <formula>O104=$D$3</formula>
    </cfRule>
  </conditionalFormatting>
  <conditionalFormatting sqref="B103:B106">
    <cfRule type="expression" dxfId="2178" priority="696">
      <formula>B103="CN"</formula>
    </cfRule>
  </conditionalFormatting>
  <conditionalFormatting sqref="P104:P106 L104:L106 H103:H106">
    <cfRule type="cellIs" dxfId="2177" priority="695" operator="greaterThan">
      <formula>0</formula>
    </cfRule>
  </conditionalFormatting>
  <conditionalFormatting sqref="X103:X106">
    <cfRule type="expression" dxfId="2176" priority="692">
      <formula>X103=$M$3</formula>
    </cfRule>
    <cfRule type="expression" dxfId="2175" priority="693">
      <formula>X103=$I$3</formula>
    </cfRule>
    <cfRule type="expression" dxfId="2174" priority="694">
      <formula>X103=$D$3</formula>
    </cfRule>
  </conditionalFormatting>
  <conditionalFormatting sqref="Y103:Y106">
    <cfRule type="cellIs" dxfId="2173" priority="691" operator="greaterThan">
      <formula>0</formula>
    </cfRule>
  </conditionalFormatting>
  <conditionalFormatting sqref="G107:G110">
    <cfRule type="expression" dxfId="2172" priority="688">
      <formula>G107=$M$3</formula>
    </cfRule>
    <cfRule type="expression" dxfId="2171" priority="689">
      <formula>G107=$I$3</formula>
    </cfRule>
    <cfRule type="expression" dxfId="2170" priority="690">
      <formula>G107=$D$3</formula>
    </cfRule>
  </conditionalFormatting>
  <conditionalFormatting sqref="K108:K110">
    <cfRule type="expression" dxfId="2169" priority="685">
      <formula>K108=$M$3</formula>
    </cfRule>
    <cfRule type="expression" dxfId="2168" priority="686">
      <formula>K108=$I$3</formula>
    </cfRule>
    <cfRule type="expression" dxfId="2167" priority="687">
      <formula>K108=$D$3</formula>
    </cfRule>
  </conditionalFormatting>
  <conditionalFormatting sqref="O108:O110">
    <cfRule type="expression" dxfId="2166" priority="682">
      <formula>O108=$M$3</formula>
    </cfRule>
    <cfRule type="expression" dxfId="2165" priority="683">
      <formula>O108=$I$3</formula>
    </cfRule>
    <cfRule type="expression" dxfId="2164" priority="684">
      <formula>O108=$D$3</formula>
    </cfRule>
  </conditionalFormatting>
  <conditionalFormatting sqref="B107:B110">
    <cfRule type="expression" dxfId="2163" priority="681">
      <formula>B107="CN"</formula>
    </cfRule>
  </conditionalFormatting>
  <conditionalFormatting sqref="P108:P110 L108:L110 H107:H110">
    <cfRule type="cellIs" dxfId="2162" priority="680" operator="greaterThan">
      <formula>0</formula>
    </cfRule>
  </conditionalFormatting>
  <conditionalFormatting sqref="X107:X110">
    <cfRule type="expression" dxfId="2161" priority="677">
      <formula>X107=$M$3</formula>
    </cfRule>
    <cfRule type="expression" dxfId="2160" priority="678">
      <formula>X107=$I$3</formula>
    </cfRule>
    <cfRule type="expression" dxfId="2159" priority="679">
      <formula>X107=$D$3</formula>
    </cfRule>
  </conditionalFormatting>
  <conditionalFormatting sqref="Y107:Y110">
    <cfRule type="cellIs" dxfId="2158" priority="676" operator="greaterThan">
      <formula>0</formula>
    </cfRule>
  </conditionalFormatting>
  <conditionalFormatting sqref="G111:G114">
    <cfRule type="expression" dxfId="2157" priority="673">
      <formula>G111=$M$3</formula>
    </cfRule>
    <cfRule type="expression" dxfId="2156" priority="674">
      <formula>G111=$I$3</formula>
    </cfRule>
    <cfRule type="expression" dxfId="2155" priority="675">
      <formula>G111=$D$3</formula>
    </cfRule>
  </conditionalFormatting>
  <conditionalFormatting sqref="K112:K114">
    <cfRule type="expression" dxfId="2154" priority="670">
      <formula>K112=$M$3</formula>
    </cfRule>
    <cfRule type="expression" dxfId="2153" priority="671">
      <formula>K112=$I$3</formula>
    </cfRule>
    <cfRule type="expression" dxfId="2152" priority="672">
      <formula>K112=$D$3</formula>
    </cfRule>
  </conditionalFormatting>
  <conditionalFormatting sqref="O112:O114">
    <cfRule type="expression" dxfId="2151" priority="667">
      <formula>O112=$M$3</formula>
    </cfRule>
    <cfRule type="expression" dxfId="2150" priority="668">
      <formula>O112=$I$3</formula>
    </cfRule>
    <cfRule type="expression" dxfId="2149" priority="669">
      <formula>O112=$D$3</formula>
    </cfRule>
  </conditionalFormatting>
  <conditionalFormatting sqref="B111:B114">
    <cfRule type="expression" dxfId="2148" priority="666">
      <formula>B111="CN"</formula>
    </cfRule>
  </conditionalFormatting>
  <conditionalFormatting sqref="P112:P114 L112:L114 H111:H114">
    <cfRule type="cellIs" dxfId="2147" priority="665" operator="greaterThan">
      <formula>0</formula>
    </cfRule>
  </conditionalFormatting>
  <conditionalFormatting sqref="X111:X114">
    <cfRule type="expression" dxfId="2146" priority="662">
      <formula>X111=$M$3</formula>
    </cfRule>
    <cfRule type="expression" dxfId="2145" priority="663">
      <formula>X111=$I$3</formula>
    </cfRule>
    <cfRule type="expression" dxfId="2144" priority="664">
      <formula>X111=$D$3</formula>
    </cfRule>
  </conditionalFormatting>
  <conditionalFormatting sqref="Y111:Y114">
    <cfRule type="cellIs" dxfId="2143" priority="661" operator="greaterThan">
      <formula>0</formula>
    </cfRule>
  </conditionalFormatting>
  <conditionalFormatting sqref="G115:G118">
    <cfRule type="expression" dxfId="2142" priority="658">
      <formula>G115=$M$3</formula>
    </cfRule>
    <cfRule type="expression" dxfId="2141" priority="659">
      <formula>G115=$I$3</formula>
    </cfRule>
    <cfRule type="expression" dxfId="2140" priority="660">
      <formula>G115=$D$3</formula>
    </cfRule>
  </conditionalFormatting>
  <conditionalFormatting sqref="K116:K118">
    <cfRule type="expression" dxfId="2139" priority="655">
      <formula>K116=$M$3</formula>
    </cfRule>
    <cfRule type="expression" dxfId="2138" priority="656">
      <formula>K116=$I$3</formula>
    </cfRule>
    <cfRule type="expression" dxfId="2137" priority="657">
      <formula>K116=$D$3</formula>
    </cfRule>
  </conditionalFormatting>
  <conditionalFormatting sqref="O116:O118">
    <cfRule type="expression" dxfId="2136" priority="652">
      <formula>O116=$M$3</formula>
    </cfRule>
    <cfRule type="expression" dxfId="2135" priority="653">
      <formula>O116=$I$3</formula>
    </cfRule>
    <cfRule type="expression" dxfId="2134" priority="654">
      <formula>O116=$D$3</formula>
    </cfRule>
  </conditionalFormatting>
  <conditionalFormatting sqref="B115:B118">
    <cfRule type="expression" dxfId="2133" priority="651">
      <formula>B115="CN"</formula>
    </cfRule>
  </conditionalFormatting>
  <conditionalFormatting sqref="P116:P118 L116:L118 H115:H118">
    <cfRule type="cellIs" dxfId="2132" priority="650" operator="greaterThan">
      <formula>0</formula>
    </cfRule>
  </conditionalFormatting>
  <conditionalFormatting sqref="X115:X118">
    <cfRule type="expression" dxfId="2131" priority="647">
      <formula>X115=$M$3</formula>
    </cfRule>
    <cfRule type="expression" dxfId="2130" priority="648">
      <formula>X115=$I$3</formula>
    </cfRule>
    <cfRule type="expression" dxfId="2129" priority="649">
      <formula>X115=$D$3</formula>
    </cfRule>
  </conditionalFormatting>
  <conditionalFormatting sqref="Y115:Y118">
    <cfRule type="cellIs" dxfId="2128" priority="646" operator="greaterThan">
      <formula>0</formula>
    </cfRule>
  </conditionalFormatting>
  <conditionalFormatting sqref="K120:K122">
    <cfRule type="expression" dxfId="2127" priority="643">
      <formula>K120=$M$3</formula>
    </cfRule>
    <cfRule type="expression" dxfId="2126" priority="644">
      <formula>K120=$I$3</formula>
    </cfRule>
    <cfRule type="expression" dxfId="2125" priority="645">
      <formula>K120=$D$3</formula>
    </cfRule>
  </conditionalFormatting>
  <conditionalFormatting sqref="O120:O122">
    <cfRule type="expression" dxfId="2124" priority="640">
      <formula>O120=$M$3</formula>
    </cfRule>
    <cfRule type="expression" dxfId="2123" priority="641">
      <formula>O120=$I$3</formula>
    </cfRule>
    <cfRule type="expression" dxfId="2122" priority="642">
      <formula>O120=$D$3</formula>
    </cfRule>
  </conditionalFormatting>
  <conditionalFormatting sqref="B119:B122">
    <cfRule type="expression" dxfId="2121" priority="639">
      <formula>B119="CN"</formula>
    </cfRule>
  </conditionalFormatting>
  <conditionalFormatting sqref="P120:P122 L120:L122">
    <cfRule type="cellIs" dxfId="2120" priority="638" operator="greaterThan">
      <formula>0</formula>
    </cfRule>
  </conditionalFormatting>
  <conditionalFormatting sqref="X119:X122">
    <cfRule type="expression" dxfId="2119" priority="635">
      <formula>X119=$M$3</formula>
    </cfRule>
    <cfRule type="expression" dxfId="2118" priority="636">
      <formula>X119=$I$3</formula>
    </cfRule>
    <cfRule type="expression" dxfId="2117" priority="637">
      <formula>X119=$D$3</formula>
    </cfRule>
  </conditionalFormatting>
  <conditionalFormatting sqref="Y119:Y122">
    <cfRule type="cellIs" dxfId="2116" priority="634" operator="greaterThan">
      <formula>0</formula>
    </cfRule>
  </conditionalFormatting>
  <conditionalFormatting sqref="G119:G122">
    <cfRule type="expression" dxfId="2115" priority="631">
      <formula>G119=$M$3</formula>
    </cfRule>
    <cfRule type="expression" dxfId="2114" priority="632">
      <formula>G119=$I$3</formula>
    </cfRule>
    <cfRule type="expression" dxfId="2113" priority="633">
      <formula>G119=$D$3</formula>
    </cfRule>
  </conditionalFormatting>
  <conditionalFormatting sqref="K124:K126">
    <cfRule type="expression" dxfId="2112" priority="628">
      <formula>K124=$M$3</formula>
    </cfRule>
    <cfRule type="expression" dxfId="2111" priority="629">
      <formula>K124=$I$3</formula>
    </cfRule>
    <cfRule type="expression" dxfId="2110" priority="630">
      <formula>K124=$D$3</formula>
    </cfRule>
  </conditionalFormatting>
  <conditionalFormatting sqref="O124:O126">
    <cfRule type="expression" dxfId="2109" priority="625">
      <formula>O124=$M$3</formula>
    </cfRule>
    <cfRule type="expression" dxfId="2108" priority="626">
      <formula>O124=$I$3</formula>
    </cfRule>
    <cfRule type="expression" dxfId="2107" priority="627">
      <formula>O124=$D$3</formula>
    </cfRule>
  </conditionalFormatting>
  <conditionalFormatting sqref="S124:T126">
    <cfRule type="expression" dxfId="2106" priority="622">
      <formula>S124=$M$3</formula>
    </cfRule>
    <cfRule type="expression" dxfId="2105" priority="623">
      <formula>S124=$I$3</formula>
    </cfRule>
    <cfRule type="expression" dxfId="2104" priority="624">
      <formula>S124=$D$3</formula>
    </cfRule>
  </conditionalFormatting>
  <conditionalFormatting sqref="B123:B126">
    <cfRule type="expression" dxfId="2103" priority="621">
      <formula>B123="CN"</formula>
    </cfRule>
  </conditionalFormatting>
  <conditionalFormatting sqref="U124:U126 P124:P126 L124:L126 H119:H122">
    <cfRule type="cellIs" dxfId="2102" priority="620" operator="greaterThan">
      <formula>0</formula>
    </cfRule>
  </conditionalFormatting>
  <conditionalFormatting sqref="X123:X126">
    <cfRule type="expression" dxfId="2101" priority="617">
      <formula>X123=$M$3</formula>
    </cfRule>
    <cfRule type="expression" dxfId="2100" priority="618">
      <formula>X123=$I$3</formula>
    </cfRule>
    <cfRule type="expression" dxfId="2099" priority="619">
      <formula>X123=$D$3</formula>
    </cfRule>
  </conditionalFormatting>
  <conditionalFormatting sqref="Y123:Y126">
    <cfRule type="cellIs" dxfId="2098" priority="616" operator="greaterThan">
      <formula>0</formula>
    </cfRule>
  </conditionalFormatting>
  <conditionalFormatting sqref="K128:K130">
    <cfRule type="expression" dxfId="2097" priority="613">
      <formula>K128=$M$3</formula>
    </cfRule>
    <cfRule type="expression" dxfId="2096" priority="614">
      <formula>K128=$I$3</formula>
    </cfRule>
    <cfRule type="expression" dxfId="2095" priority="615">
      <formula>K128=$D$3</formula>
    </cfRule>
  </conditionalFormatting>
  <conditionalFormatting sqref="O127:O130">
    <cfRule type="expression" dxfId="2094" priority="610">
      <formula>O127=$M$3</formula>
    </cfRule>
    <cfRule type="expression" dxfId="2093" priority="611">
      <formula>O127=$I$3</formula>
    </cfRule>
    <cfRule type="expression" dxfId="2092" priority="612">
      <formula>O127=$D$3</formula>
    </cfRule>
  </conditionalFormatting>
  <conditionalFormatting sqref="S127:T130">
    <cfRule type="expression" dxfId="2091" priority="607">
      <formula>S127=$M$3</formula>
    </cfRule>
    <cfRule type="expression" dxfId="2090" priority="608">
      <formula>S127=$I$3</formula>
    </cfRule>
    <cfRule type="expression" dxfId="2089" priority="609">
      <formula>S127=$D$3</formula>
    </cfRule>
  </conditionalFormatting>
  <conditionalFormatting sqref="B127:B130">
    <cfRule type="expression" dxfId="2088" priority="606">
      <formula>B127="CN"</formula>
    </cfRule>
  </conditionalFormatting>
  <conditionalFormatting sqref="U127:U130 P127:P130 L128:L130">
    <cfRule type="cellIs" dxfId="2087" priority="605" operator="greaterThan">
      <formula>0</formula>
    </cfRule>
  </conditionalFormatting>
  <conditionalFormatting sqref="X127:X130">
    <cfRule type="expression" dxfId="2086" priority="602">
      <formula>X127=$M$3</formula>
    </cfRule>
    <cfRule type="expression" dxfId="2085" priority="603">
      <formula>X127=$I$3</formula>
    </cfRule>
    <cfRule type="expression" dxfId="2084" priority="604">
      <formula>X127=$D$3</formula>
    </cfRule>
  </conditionalFormatting>
  <conditionalFormatting sqref="Y127:Y130">
    <cfRule type="cellIs" dxfId="2083" priority="601" operator="greaterThan">
      <formula>0</formula>
    </cfRule>
  </conditionalFormatting>
  <conditionalFormatting sqref="G132:G162">
    <cfRule type="expression" dxfId="2082" priority="598">
      <formula>G132=$M$3</formula>
    </cfRule>
    <cfRule type="expression" dxfId="2081" priority="599">
      <formula>G132=$I$3</formula>
    </cfRule>
    <cfRule type="expression" dxfId="2080" priority="600">
      <formula>G132=$D$3</formula>
    </cfRule>
  </conditionalFormatting>
  <conditionalFormatting sqref="K132:K134 K136:K162">
    <cfRule type="expression" dxfId="2079" priority="595">
      <formula>K132=$M$3</formula>
    </cfRule>
    <cfRule type="expression" dxfId="2078" priority="596">
      <formula>K132=$I$3</formula>
    </cfRule>
    <cfRule type="expression" dxfId="2077" priority="597">
      <formula>K132=$D$3</formula>
    </cfRule>
  </conditionalFormatting>
  <conditionalFormatting sqref="O131:O138 O140:O162">
    <cfRule type="expression" dxfId="2076" priority="592">
      <formula>O131=$M$3</formula>
    </cfRule>
    <cfRule type="expression" dxfId="2075" priority="593">
      <formula>O131=$I$3</formula>
    </cfRule>
    <cfRule type="expression" dxfId="2074" priority="594">
      <formula>O131=$D$3</formula>
    </cfRule>
  </conditionalFormatting>
  <conditionalFormatting sqref="S131:T162">
    <cfRule type="expression" dxfId="2073" priority="589">
      <formula>S131=$M$3</formula>
    </cfRule>
    <cfRule type="expression" dxfId="2072" priority="590">
      <formula>S131=$I$3</formula>
    </cfRule>
    <cfRule type="expression" dxfId="2071" priority="591">
      <formula>S131=$D$3</formula>
    </cfRule>
  </conditionalFormatting>
  <conditionalFormatting sqref="B131:B162">
    <cfRule type="expression" dxfId="2070" priority="588">
      <formula>B131="CN"</formula>
    </cfRule>
  </conditionalFormatting>
  <conditionalFormatting sqref="U131:U162 P131:P138 L132:L134 H132:H162 P140:P162 L136:L162">
    <cfRule type="cellIs" dxfId="2069" priority="587" operator="greaterThan">
      <formula>0</formula>
    </cfRule>
  </conditionalFormatting>
  <conditionalFormatting sqref="X131:X162">
    <cfRule type="expression" dxfId="2068" priority="584">
      <formula>X131=$M$3</formula>
    </cfRule>
    <cfRule type="expression" dxfId="2067" priority="585">
      <formula>X131=$I$3</formula>
    </cfRule>
    <cfRule type="expression" dxfId="2066" priority="586">
      <formula>X131=$D$3</formula>
    </cfRule>
  </conditionalFormatting>
  <conditionalFormatting sqref="Y131:Y162">
    <cfRule type="cellIs" dxfId="2065" priority="583" operator="greaterThan">
      <formula>0</formula>
    </cfRule>
  </conditionalFormatting>
  <conditionalFormatting sqref="O19">
    <cfRule type="expression" dxfId="2064" priority="580">
      <formula>O19=$M$3</formula>
    </cfRule>
    <cfRule type="expression" dxfId="2063" priority="581">
      <formula>O19=$I$3</formula>
    </cfRule>
    <cfRule type="expression" dxfId="2062" priority="582">
      <formula>O19=$D$3</formula>
    </cfRule>
  </conditionalFormatting>
  <conditionalFormatting sqref="P19">
    <cfRule type="cellIs" dxfId="2061" priority="579" operator="greaterThan">
      <formula>0</formula>
    </cfRule>
  </conditionalFormatting>
  <conditionalFormatting sqref="O23">
    <cfRule type="expression" dxfId="2060" priority="576">
      <formula>O23=$M$3</formula>
    </cfRule>
    <cfRule type="expression" dxfId="2059" priority="577">
      <formula>O23=$I$3</formula>
    </cfRule>
    <cfRule type="expression" dxfId="2058" priority="578">
      <formula>O23=$D$3</formula>
    </cfRule>
  </conditionalFormatting>
  <conditionalFormatting sqref="P23">
    <cfRule type="cellIs" dxfId="2057" priority="575" operator="greaterThan">
      <formula>0</formula>
    </cfRule>
  </conditionalFormatting>
  <conditionalFormatting sqref="O27">
    <cfRule type="expression" dxfId="2056" priority="572">
      <formula>O27=$M$3</formula>
    </cfRule>
    <cfRule type="expression" dxfId="2055" priority="573">
      <formula>O27=$I$3</formula>
    </cfRule>
    <cfRule type="expression" dxfId="2054" priority="574">
      <formula>O27=$D$3</formula>
    </cfRule>
  </conditionalFormatting>
  <conditionalFormatting sqref="P27">
    <cfRule type="cellIs" dxfId="2053" priority="571" operator="greaterThan">
      <formula>0</formula>
    </cfRule>
  </conditionalFormatting>
  <conditionalFormatting sqref="O31">
    <cfRule type="expression" dxfId="2052" priority="568">
      <formula>O31=$M$3</formula>
    </cfRule>
    <cfRule type="expression" dxfId="2051" priority="569">
      <formula>O31=$I$3</formula>
    </cfRule>
    <cfRule type="expression" dxfId="2050" priority="570">
      <formula>O31=$D$3</formula>
    </cfRule>
  </conditionalFormatting>
  <conditionalFormatting sqref="P31">
    <cfRule type="cellIs" dxfId="2049" priority="567" operator="greaterThan">
      <formula>0</formula>
    </cfRule>
  </conditionalFormatting>
  <conditionalFormatting sqref="O35">
    <cfRule type="expression" dxfId="2048" priority="564">
      <formula>O35=$M$3</formula>
    </cfRule>
    <cfRule type="expression" dxfId="2047" priority="565">
      <formula>O35=$I$3</formula>
    </cfRule>
    <cfRule type="expression" dxfId="2046" priority="566">
      <formula>O35=$D$3</formula>
    </cfRule>
  </conditionalFormatting>
  <conditionalFormatting sqref="P35">
    <cfRule type="cellIs" dxfId="2045" priority="563" operator="greaterThan">
      <formula>0</formula>
    </cfRule>
  </conditionalFormatting>
  <conditionalFormatting sqref="O39">
    <cfRule type="expression" dxfId="2044" priority="560">
      <formula>O39=$M$3</formula>
    </cfRule>
    <cfRule type="expression" dxfId="2043" priority="561">
      <formula>O39=$I$3</formula>
    </cfRule>
    <cfRule type="expression" dxfId="2042" priority="562">
      <formula>O39=$D$3</formula>
    </cfRule>
  </conditionalFormatting>
  <conditionalFormatting sqref="P39">
    <cfRule type="cellIs" dxfId="2041" priority="559" operator="greaterThan">
      <formula>0</formula>
    </cfRule>
  </conditionalFormatting>
  <conditionalFormatting sqref="O47">
    <cfRule type="expression" dxfId="2040" priority="556">
      <formula>O47=$M$3</formula>
    </cfRule>
    <cfRule type="expression" dxfId="2039" priority="557">
      <formula>O47=$I$3</formula>
    </cfRule>
    <cfRule type="expression" dxfId="2038" priority="558">
      <formula>O47=$D$3</formula>
    </cfRule>
  </conditionalFormatting>
  <conditionalFormatting sqref="P47">
    <cfRule type="cellIs" dxfId="2037" priority="555" operator="greaterThan">
      <formula>0</formula>
    </cfRule>
  </conditionalFormatting>
  <conditionalFormatting sqref="O51">
    <cfRule type="expression" dxfId="2036" priority="552">
      <formula>O51=$M$3</formula>
    </cfRule>
    <cfRule type="expression" dxfId="2035" priority="553">
      <formula>O51=$I$3</formula>
    </cfRule>
    <cfRule type="expression" dxfId="2034" priority="554">
      <formula>O51=$D$3</formula>
    </cfRule>
  </conditionalFormatting>
  <conditionalFormatting sqref="P51">
    <cfRule type="cellIs" dxfId="2033" priority="551" operator="greaterThan">
      <formula>0</formula>
    </cfRule>
  </conditionalFormatting>
  <conditionalFormatting sqref="O67">
    <cfRule type="expression" dxfId="2032" priority="544">
      <formula>O67=$M$3</formula>
    </cfRule>
    <cfRule type="expression" dxfId="2031" priority="545">
      <formula>O67=$I$3</formula>
    </cfRule>
    <cfRule type="expression" dxfId="2030" priority="546">
      <formula>O67=$D$3</formula>
    </cfRule>
  </conditionalFormatting>
  <conditionalFormatting sqref="P67">
    <cfRule type="cellIs" dxfId="2029" priority="543" operator="greaterThan">
      <formula>0</formula>
    </cfRule>
  </conditionalFormatting>
  <conditionalFormatting sqref="O75">
    <cfRule type="expression" dxfId="2028" priority="536">
      <formula>O75=$M$3</formula>
    </cfRule>
    <cfRule type="expression" dxfId="2027" priority="537">
      <formula>O75=$I$3</formula>
    </cfRule>
    <cfRule type="expression" dxfId="2026" priority="538">
      <formula>O75=$D$3</formula>
    </cfRule>
  </conditionalFormatting>
  <conditionalFormatting sqref="P75">
    <cfRule type="cellIs" dxfId="2025" priority="535" operator="greaterThan">
      <formula>0</formula>
    </cfRule>
  </conditionalFormatting>
  <conditionalFormatting sqref="O63">
    <cfRule type="expression" dxfId="2024" priority="548">
      <formula>O63=$M$3</formula>
    </cfRule>
    <cfRule type="expression" dxfId="2023" priority="549">
      <formula>O63=$I$3</formula>
    </cfRule>
    <cfRule type="expression" dxfId="2022" priority="550">
      <formula>O63=$D$3</formula>
    </cfRule>
  </conditionalFormatting>
  <conditionalFormatting sqref="P63">
    <cfRule type="cellIs" dxfId="2021" priority="547" operator="greaterThan">
      <formula>0</formula>
    </cfRule>
  </conditionalFormatting>
  <conditionalFormatting sqref="O71">
    <cfRule type="expression" dxfId="2020" priority="540">
      <formula>O71=$M$3</formula>
    </cfRule>
    <cfRule type="expression" dxfId="2019" priority="541">
      <formula>O71=$I$3</formula>
    </cfRule>
    <cfRule type="expression" dxfId="2018" priority="542">
      <formula>O71=$D$3</formula>
    </cfRule>
  </conditionalFormatting>
  <conditionalFormatting sqref="P71">
    <cfRule type="cellIs" dxfId="2017" priority="539" operator="greaterThan">
      <formula>0</formula>
    </cfRule>
  </conditionalFormatting>
  <conditionalFormatting sqref="O79">
    <cfRule type="expression" dxfId="2016" priority="532">
      <formula>O79=$M$3</formula>
    </cfRule>
    <cfRule type="expression" dxfId="2015" priority="533">
      <formula>O79=$I$3</formula>
    </cfRule>
    <cfRule type="expression" dxfId="2014" priority="534">
      <formula>O79=$D$3</formula>
    </cfRule>
  </conditionalFormatting>
  <conditionalFormatting sqref="P79">
    <cfRule type="cellIs" dxfId="2013" priority="531" operator="greaterThan">
      <formula>0</formula>
    </cfRule>
  </conditionalFormatting>
  <conditionalFormatting sqref="O87">
    <cfRule type="expression" dxfId="2012" priority="528">
      <formula>O87=$M$3</formula>
    </cfRule>
    <cfRule type="expression" dxfId="2011" priority="529">
      <formula>O87=$I$3</formula>
    </cfRule>
    <cfRule type="expression" dxfId="2010" priority="530">
      <formula>O87=$D$3</formula>
    </cfRule>
  </conditionalFormatting>
  <conditionalFormatting sqref="P87">
    <cfRule type="cellIs" dxfId="2009" priority="527" operator="greaterThan">
      <formula>0</formula>
    </cfRule>
  </conditionalFormatting>
  <conditionalFormatting sqref="O91">
    <cfRule type="expression" dxfId="2008" priority="524">
      <formula>O91=$M$3</formula>
    </cfRule>
    <cfRule type="expression" dxfId="2007" priority="525">
      <formula>O91=$I$3</formula>
    </cfRule>
    <cfRule type="expression" dxfId="2006" priority="526">
      <formula>O91=$D$3</formula>
    </cfRule>
  </conditionalFormatting>
  <conditionalFormatting sqref="P91">
    <cfRule type="cellIs" dxfId="2005" priority="523" operator="greaterThan">
      <formula>0</formula>
    </cfRule>
  </conditionalFormatting>
  <conditionalFormatting sqref="K11:K12">
    <cfRule type="expression" dxfId="2004" priority="520">
      <formula>K11=$M$3</formula>
    </cfRule>
    <cfRule type="expression" dxfId="2003" priority="521">
      <formula>K11=$I$3</formula>
    </cfRule>
    <cfRule type="expression" dxfId="2002" priority="522">
      <formula>K11=$D$3</formula>
    </cfRule>
  </conditionalFormatting>
  <conditionalFormatting sqref="O12">
    <cfRule type="expression" dxfId="2001" priority="517">
      <formula>O12=$M$3</formula>
    </cfRule>
    <cfRule type="expression" dxfId="2000" priority="518">
      <formula>O12=$I$3</formula>
    </cfRule>
    <cfRule type="expression" dxfId="1999" priority="519">
      <formula>O12=$D$3</formula>
    </cfRule>
  </conditionalFormatting>
  <conditionalFormatting sqref="P12 L11:L12">
    <cfRule type="cellIs" dxfId="1998" priority="516" operator="greaterThan">
      <formula>0</formula>
    </cfRule>
  </conditionalFormatting>
  <conditionalFormatting sqref="O11">
    <cfRule type="expression" dxfId="1997" priority="513">
      <formula>O11=$M$3</formula>
    </cfRule>
    <cfRule type="expression" dxfId="1996" priority="514">
      <formula>O11=$I$3</formula>
    </cfRule>
    <cfRule type="expression" dxfId="1995" priority="515">
      <formula>O11=$D$3</formula>
    </cfRule>
  </conditionalFormatting>
  <conditionalFormatting sqref="P11">
    <cfRule type="cellIs" dxfId="1994" priority="512" operator="greaterThan">
      <formula>0</formula>
    </cfRule>
  </conditionalFormatting>
  <conditionalFormatting sqref="K92">
    <cfRule type="expression" dxfId="1993" priority="509">
      <formula>K92=$M$3</formula>
    </cfRule>
    <cfRule type="expression" dxfId="1992" priority="510">
      <formula>K92=$I$3</formula>
    </cfRule>
    <cfRule type="expression" dxfId="1991" priority="511">
      <formula>K92=$D$3</formula>
    </cfRule>
  </conditionalFormatting>
  <conditionalFormatting sqref="L92">
    <cfRule type="cellIs" dxfId="1990" priority="508" operator="greaterThan">
      <formula>0</formula>
    </cfRule>
  </conditionalFormatting>
  <conditionalFormatting sqref="S27:T30">
    <cfRule type="expression" dxfId="1989" priority="481">
      <formula>S27=$M$3</formula>
    </cfRule>
    <cfRule type="expression" dxfId="1988" priority="482">
      <formula>S27=$I$3</formula>
    </cfRule>
    <cfRule type="expression" dxfId="1987" priority="483">
      <formula>S27=$D$3</formula>
    </cfRule>
  </conditionalFormatting>
  <conditionalFormatting sqref="U27:U30">
    <cfRule type="cellIs" dxfId="1986" priority="480" operator="greaterThan">
      <formula>0</formula>
    </cfRule>
  </conditionalFormatting>
  <conditionalFormatting sqref="S19:T22">
    <cfRule type="expression" dxfId="1985" priority="489">
      <formula>S19=$M$3</formula>
    </cfRule>
    <cfRule type="expression" dxfId="1984" priority="490">
      <formula>S19=$I$3</formula>
    </cfRule>
    <cfRule type="expression" dxfId="1983" priority="491">
      <formula>S19=$D$3</formula>
    </cfRule>
  </conditionalFormatting>
  <conditionalFormatting sqref="U19:U22">
    <cfRule type="cellIs" dxfId="1982" priority="488" operator="greaterThan">
      <formula>0</formula>
    </cfRule>
  </conditionalFormatting>
  <conditionalFormatting sqref="S13:T14">
    <cfRule type="expression" dxfId="1981" priority="497">
      <formula>S13=$M$3</formula>
    </cfRule>
    <cfRule type="expression" dxfId="1980" priority="498">
      <formula>S13=$I$3</formula>
    </cfRule>
    <cfRule type="expression" dxfId="1979" priority="499">
      <formula>S13=$D$3</formula>
    </cfRule>
  </conditionalFormatting>
  <conditionalFormatting sqref="U13:U14">
    <cfRule type="cellIs" dxfId="1978" priority="496" operator="greaterThan">
      <formula>0</formula>
    </cfRule>
  </conditionalFormatting>
  <conditionalFormatting sqref="S15:T18">
    <cfRule type="expression" dxfId="1977" priority="493">
      <formula>S15=$M$3</formula>
    </cfRule>
    <cfRule type="expression" dxfId="1976" priority="494">
      <formula>S15=$I$3</formula>
    </cfRule>
    <cfRule type="expression" dxfId="1975" priority="495">
      <formula>S15=$D$3</formula>
    </cfRule>
  </conditionalFormatting>
  <conditionalFormatting sqref="U15:U18">
    <cfRule type="cellIs" dxfId="1974" priority="492" operator="greaterThan">
      <formula>0</formula>
    </cfRule>
  </conditionalFormatting>
  <conditionalFormatting sqref="S23:T26">
    <cfRule type="expression" dxfId="1973" priority="485">
      <formula>S23=$M$3</formula>
    </cfRule>
    <cfRule type="expression" dxfId="1972" priority="486">
      <formula>S23=$I$3</formula>
    </cfRule>
    <cfRule type="expression" dxfId="1971" priority="487">
      <formula>S23=$D$3</formula>
    </cfRule>
  </conditionalFormatting>
  <conditionalFormatting sqref="U23:U26">
    <cfRule type="cellIs" dxfId="1970" priority="484" operator="greaterThan">
      <formula>0</formula>
    </cfRule>
  </conditionalFormatting>
  <conditionalFormatting sqref="S31:T34">
    <cfRule type="expression" dxfId="1969" priority="477">
      <formula>S31=$M$3</formula>
    </cfRule>
    <cfRule type="expression" dxfId="1968" priority="478">
      <formula>S31=$I$3</formula>
    </cfRule>
    <cfRule type="expression" dxfId="1967" priority="479">
      <formula>S31=$D$3</formula>
    </cfRule>
  </conditionalFormatting>
  <conditionalFormatting sqref="U31:U34">
    <cfRule type="cellIs" dxfId="1966" priority="476" operator="greaterThan">
      <formula>0</formula>
    </cfRule>
  </conditionalFormatting>
  <conditionalFormatting sqref="S35:T38">
    <cfRule type="expression" dxfId="1965" priority="473">
      <formula>S35=$M$3</formula>
    </cfRule>
    <cfRule type="expression" dxfId="1964" priority="474">
      <formula>S35=$I$3</formula>
    </cfRule>
    <cfRule type="expression" dxfId="1963" priority="475">
      <formula>S35=$D$3</formula>
    </cfRule>
  </conditionalFormatting>
  <conditionalFormatting sqref="U35:U38">
    <cfRule type="cellIs" dxfId="1962" priority="472" operator="greaterThan">
      <formula>0</formula>
    </cfRule>
  </conditionalFormatting>
  <conditionalFormatting sqref="S39:T42">
    <cfRule type="expression" dxfId="1961" priority="469">
      <formula>S39=$M$3</formula>
    </cfRule>
    <cfRule type="expression" dxfId="1960" priority="470">
      <formula>S39=$I$3</formula>
    </cfRule>
    <cfRule type="expression" dxfId="1959" priority="471">
      <formula>S39=$D$3</formula>
    </cfRule>
  </conditionalFormatting>
  <conditionalFormatting sqref="U39:U42">
    <cfRule type="cellIs" dxfId="1958" priority="468" operator="greaterThan">
      <formula>0</formula>
    </cfRule>
  </conditionalFormatting>
  <conditionalFormatting sqref="S43:T46">
    <cfRule type="expression" dxfId="1957" priority="465">
      <formula>S43=$M$3</formula>
    </cfRule>
    <cfRule type="expression" dxfId="1956" priority="466">
      <formula>S43=$I$3</formula>
    </cfRule>
    <cfRule type="expression" dxfId="1955" priority="467">
      <formula>S43=$D$3</formula>
    </cfRule>
  </conditionalFormatting>
  <conditionalFormatting sqref="U43:U46">
    <cfRule type="cellIs" dxfId="1954" priority="464" operator="greaterThan">
      <formula>0</formula>
    </cfRule>
  </conditionalFormatting>
  <conditionalFormatting sqref="S47:T50">
    <cfRule type="expression" dxfId="1953" priority="461">
      <formula>S47=$M$3</formula>
    </cfRule>
    <cfRule type="expression" dxfId="1952" priority="462">
      <formula>S47=$I$3</formula>
    </cfRule>
    <cfRule type="expression" dxfId="1951" priority="463">
      <formula>S47=$D$3</formula>
    </cfRule>
  </conditionalFormatting>
  <conditionalFormatting sqref="U47:U50">
    <cfRule type="cellIs" dxfId="1950" priority="460" operator="greaterThan">
      <formula>0</formula>
    </cfRule>
  </conditionalFormatting>
  <conditionalFormatting sqref="S52:T54">
    <cfRule type="expression" dxfId="1949" priority="457">
      <formula>S52=$M$3</formula>
    </cfRule>
    <cfRule type="expression" dxfId="1948" priority="458">
      <formula>S52=$I$3</formula>
    </cfRule>
    <cfRule type="expression" dxfId="1947" priority="459">
      <formula>S52=$D$3</formula>
    </cfRule>
  </conditionalFormatting>
  <conditionalFormatting sqref="U52:U54">
    <cfRule type="cellIs" dxfId="1946" priority="456" operator="greaterThan">
      <formula>0</formula>
    </cfRule>
  </conditionalFormatting>
  <conditionalFormatting sqref="S56:T58">
    <cfRule type="expression" dxfId="1945" priority="453">
      <formula>S56=$M$3</formula>
    </cfRule>
    <cfRule type="expression" dxfId="1944" priority="454">
      <formula>S56=$I$3</formula>
    </cfRule>
    <cfRule type="expression" dxfId="1943" priority="455">
      <formula>S56=$D$3</formula>
    </cfRule>
  </conditionalFormatting>
  <conditionalFormatting sqref="U56:U58">
    <cfRule type="cellIs" dxfId="1942" priority="452" operator="greaterThan">
      <formula>0</formula>
    </cfRule>
  </conditionalFormatting>
  <conditionalFormatting sqref="S59:T62">
    <cfRule type="expression" dxfId="1941" priority="449">
      <formula>S59=$M$3</formula>
    </cfRule>
    <cfRule type="expression" dxfId="1940" priority="450">
      <formula>S59=$I$3</formula>
    </cfRule>
    <cfRule type="expression" dxfId="1939" priority="451">
      <formula>S59=$D$3</formula>
    </cfRule>
  </conditionalFormatting>
  <conditionalFormatting sqref="U59:U62">
    <cfRule type="cellIs" dxfId="1938" priority="448" operator="greaterThan">
      <formula>0</formula>
    </cfRule>
  </conditionalFormatting>
  <conditionalFormatting sqref="S63:T66">
    <cfRule type="expression" dxfId="1937" priority="445">
      <formula>S63=$M$3</formula>
    </cfRule>
    <cfRule type="expression" dxfId="1936" priority="446">
      <formula>S63=$I$3</formula>
    </cfRule>
    <cfRule type="expression" dxfId="1935" priority="447">
      <formula>S63=$D$3</formula>
    </cfRule>
  </conditionalFormatting>
  <conditionalFormatting sqref="U63:U66">
    <cfRule type="cellIs" dxfId="1934" priority="444" operator="greaterThan">
      <formula>0</formula>
    </cfRule>
  </conditionalFormatting>
  <conditionalFormatting sqref="S67:T70">
    <cfRule type="expression" dxfId="1933" priority="441">
      <formula>S67=$M$3</formula>
    </cfRule>
    <cfRule type="expression" dxfId="1932" priority="442">
      <formula>S67=$I$3</formula>
    </cfRule>
    <cfRule type="expression" dxfId="1931" priority="443">
      <formula>S67=$D$3</formula>
    </cfRule>
  </conditionalFormatting>
  <conditionalFormatting sqref="U67:U70">
    <cfRule type="cellIs" dxfId="1930" priority="440" operator="greaterThan">
      <formula>0</formula>
    </cfRule>
  </conditionalFormatting>
  <conditionalFormatting sqref="S71:T74">
    <cfRule type="expression" dxfId="1929" priority="437">
      <formula>S71=$M$3</formula>
    </cfRule>
    <cfRule type="expression" dxfId="1928" priority="438">
      <formula>S71=$I$3</formula>
    </cfRule>
    <cfRule type="expression" dxfId="1927" priority="439">
      <formula>S71=$D$3</formula>
    </cfRule>
  </conditionalFormatting>
  <conditionalFormatting sqref="U71:U74">
    <cfRule type="cellIs" dxfId="1926" priority="436" operator="greaterThan">
      <formula>0</formula>
    </cfRule>
  </conditionalFormatting>
  <conditionalFormatting sqref="S76:T78">
    <cfRule type="expression" dxfId="1925" priority="433">
      <formula>S76=$M$3</formula>
    </cfRule>
    <cfRule type="expression" dxfId="1924" priority="434">
      <formula>S76=$I$3</formula>
    </cfRule>
    <cfRule type="expression" dxfId="1923" priority="435">
      <formula>S76=$D$3</formula>
    </cfRule>
  </conditionalFormatting>
  <conditionalFormatting sqref="U76:U78">
    <cfRule type="cellIs" dxfId="1922" priority="432" operator="greaterThan">
      <formula>0</formula>
    </cfRule>
  </conditionalFormatting>
  <conditionalFormatting sqref="S80:T82">
    <cfRule type="expression" dxfId="1921" priority="429">
      <formula>S80=$M$3</formula>
    </cfRule>
    <cfRule type="expression" dxfId="1920" priority="430">
      <formula>S80=$I$3</formula>
    </cfRule>
    <cfRule type="expression" dxfId="1919" priority="431">
      <formula>S80=$D$3</formula>
    </cfRule>
  </conditionalFormatting>
  <conditionalFormatting sqref="U80:U82">
    <cfRule type="cellIs" dxfId="1918" priority="428" operator="greaterThan">
      <formula>0</formula>
    </cfRule>
  </conditionalFormatting>
  <conditionalFormatting sqref="S84:T86">
    <cfRule type="expression" dxfId="1917" priority="425">
      <formula>S84=$M$3</formula>
    </cfRule>
    <cfRule type="expression" dxfId="1916" priority="426">
      <formula>S84=$I$3</formula>
    </cfRule>
    <cfRule type="expression" dxfId="1915" priority="427">
      <formula>S84=$D$3</formula>
    </cfRule>
  </conditionalFormatting>
  <conditionalFormatting sqref="U84:U86">
    <cfRule type="cellIs" dxfId="1914" priority="424" operator="greaterThan">
      <formula>0</formula>
    </cfRule>
  </conditionalFormatting>
  <conditionalFormatting sqref="S88:T90">
    <cfRule type="expression" dxfId="1913" priority="421">
      <formula>S88=$M$3</formula>
    </cfRule>
    <cfRule type="expression" dxfId="1912" priority="422">
      <formula>S88=$I$3</formula>
    </cfRule>
    <cfRule type="expression" dxfId="1911" priority="423">
      <formula>S88=$D$3</formula>
    </cfRule>
  </conditionalFormatting>
  <conditionalFormatting sqref="U88:U90">
    <cfRule type="cellIs" dxfId="1910" priority="420" operator="greaterThan">
      <formula>0</formula>
    </cfRule>
  </conditionalFormatting>
  <conditionalFormatting sqref="S92:T94">
    <cfRule type="expression" dxfId="1909" priority="417">
      <formula>S92=$M$3</formula>
    </cfRule>
    <cfRule type="expression" dxfId="1908" priority="418">
      <formula>S92=$I$3</formula>
    </cfRule>
    <cfRule type="expression" dxfId="1907" priority="419">
      <formula>S92=$D$3</formula>
    </cfRule>
  </conditionalFormatting>
  <conditionalFormatting sqref="U92:U94">
    <cfRule type="cellIs" dxfId="1906" priority="416" operator="greaterThan">
      <formula>0</formula>
    </cfRule>
  </conditionalFormatting>
  <conditionalFormatting sqref="S96:T98">
    <cfRule type="expression" dxfId="1905" priority="413">
      <formula>S96=$M$3</formula>
    </cfRule>
    <cfRule type="expression" dxfId="1904" priority="414">
      <formula>S96=$I$3</formula>
    </cfRule>
    <cfRule type="expression" dxfId="1903" priority="415">
      <formula>S96=$D$3</formula>
    </cfRule>
  </conditionalFormatting>
  <conditionalFormatting sqref="U96:U98">
    <cfRule type="cellIs" dxfId="1902" priority="412" operator="greaterThan">
      <formula>0</formula>
    </cfRule>
  </conditionalFormatting>
  <conditionalFormatting sqref="S100:T102">
    <cfRule type="expression" dxfId="1901" priority="409">
      <formula>S100=$M$3</formula>
    </cfRule>
    <cfRule type="expression" dxfId="1900" priority="410">
      <formula>S100=$I$3</formula>
    </cfRule>
    <cfRule type="expression" dxfId="1899" priority="411">
      <formula>S100=$D$3</formula>
    </cfRule>
  </conditionalFormatting>
  <conditionalFormatting sqref="U100:U102">
    <cfRule type="cellIs" dxfId="1898" priority="408" operator="greaterThan">
      <formula>0</formula>
    </cfRule>
  </conditionalFormatting>
  <conditionalFormatting sqref="S104:T106">
    <cfRule type="expression" dxfId="1897" priority="405">
      <formula>S104=$M$3</formula>
    </cfRule>
    <cfRule type="expression" dxfId="1896" priority="406">
      <formula>S104=$I$3</formula>
    </cfRule>
    <cfRule type="expression" dxfId="1895" priority="407">
      <formula>S104=$D$3</formula>
    </cfRule>
  </conditionalFormatting>
  <conditionalFormatting sqref="U104:U106">
    <cfRule type="cellIs" dxfId="1894" priority="404" operator="greaterThan">
      <formula>0</formula>
    </cfRule>
  </conditionalFormatting>
  <conditionalFormatting sqref="S108:T110">
    <cfRule type="expression" dxfId="1893" priority="401">
      <formula>S108=$M$3</formula>
    </cfRule>
    <cfRule type="expression" dxfId="1892" priority="402">
      <formula>S108=$I$3</formula>
    </cfRule>
    <cfRule type="expression" dxfId="1891" priority="403">
      <formula>S108=$D$3</formula>
    </cfRule>
  </conditionalFormatting>
  <conditionalFormatting sqref="U108:U110">
    <cfRule type="cellIs" dxfId="1890" priority="400" operator="greaterThan">
      <formula>0</formula>
    </cfRule>
  </conditionalFormatting>
  <conditionalFormatting sqref="S112:T114">
    <cfRule type="expression" dxfId="1889" priority="397">
      <formula>S112=$M$3</formula>
    </cfRule>
    <cfRule type="expression" dxfId="1888" priority="398">
      <formula>S112=$I$3</formula>
    </cfRule>
    <cfRule type="expression" dxfId="1887" priority="399">
      <formula>S112=$D$3</formula>
    </cfRule>
  </conditionalFormatting>
  <conditionalFormatting sqref="U112:U114">
    <cfRule type="cellIs" dxfId="1886" priority="396" operator="greaterThan">
      <formula>0</formula>
    </cfRule>
  </conditionalFormatting>
  <conditionalFormatting sqref="S115:T118">
    <cfRule type="expression" dxfId="1885" priority="393">
      <formula>S115=$M$3</formula>
    </cfRule>
    <cfRule type="expression" dxfId="1884" priority="394">
      <formula>S115=$I$3</formula>
    </cfRule>
    <cfRule type="expression" dxfId="1883" priority="395">
      <formula>S115=$D$3</formula>
    </cfRule>
  </conditionalFormatting>
  <conditionalFormatting sqref="U115:U118">
    <cfRule type="cellIs" dxfId="1882" priority="392" operator="greaterThan">
      <formula>0</formula>
    </cfRule>
  </conditionalFormatting>
  <conditionalFormatting sqref="S120:T122">
    <cfRule type="expression" dxfId="1881" priority="389">
      <formula>S120=$M$3</formula>
    </cfRule>
    <cfRule type="expression" dxfId="1880" priority="390">
      <formula>S120=$I$3</formula>
    </cfRule>
    <cfRule type="expression" dxfId="1879" priority="391">
      <formula>S120=$D$3</formula>
    </cfRule>
  </conditionalFormatting>
  <conditionalFormatting sqref="U120:U122">
    <cfRule type="cellIs" dxfId="1878" priority="388" operator="greaterThan">
      <formula>0</formula>
    </cfRule>
  </conditionalFormatting>
  <conditionalFormatting sqref="S11:T12">
    <cfRule type="expression" dxfId="1877" priority="385">
      <formula>S11=$M$3</formula>
    </cfRule>
    <cfRule type="expression" dxfId="1876" priority="386">
      <formula>S11=$I$3</formula>
    </cfRule>
    <cfRule type="expression" dxfId="1875" priority="387">
      <formula>S11=$D$3</formula>
    </cfRule>
  </conditionalFormatting>
  <conditionalFormatting sqref="U11:U12">
    <cfRule type="cellIs" dxfId="1874" priority="384" operator="greaterThan">
      <formula>0</formula>
    </cfRule>
  </conditionalFormatting>
  <conditionalFormatting sqref="S75:T75">
    <cfRule type="expression" dxfId="1873" priority="381">
      <formula>S75=$M$3</formula>
    </cfRule>
    <cfRule type="expression" dxfId="1872" priority="382">
      <formula>S75=$I$3</formula>
    </cfRule>
    <cfRule type="expression" dxfId="1871" priority="383">
      <formula>S75=$D$3</formula>
    </cfRule>
  </conditionalFormatting>
  <conditionalFormatting sqref="U75">
    <cfRule type="cellIs" dxfId="1870" priority="380" operator="greaterThan">
      <formula>0</formula>
    </cfRule>
  </conditionalFormatting>
  <conditionalFormatting sqref="S79:T79">
    <cfRule type="expression" dxfId="1869" priority="377">
      <formula>S79=$M$3</formula>
    </cfRule>
    <cfRule type="expression" dxfId="1868" priority="378">
      <formula>S79=$I$3</formula>
    </cfRule>
    <cfRule type="expression" dxfId="1867" priority="379">
      <formula>S79=$D$3</formula>
    </cfRule>
  </conditionalFormatting>
  <conditionalFormatting sqref="U79">
    <cfRule type="cellIs" dxfId="1866" priority="376" operator="greaterThan">
      <formula>0</formula>
    </cfRule>
  </conditionalFormatting>
  <conditionalFormatting sqref="S83:T83">
    <cfRule type="expression" dxfId="1865" priority="373">
      <formula>S83=$M$3</formula>
    </cfRule>
    <cfRule type="expression" dxfId="1864" priority="374">
      <formula>S83=$I$3</formula>
    </cfRule>
    <cfRule type="expression" dxfId="1863" priority="375">
      <formula>S83=$D$3</formula>
    </cfRule>
  </conditionalFormatting>
  <conditionalFormatting sqref="U83">
    <cfRule type="cellIs" dxfId="1862" priority="372" operator="greaterThan">
      <formula>0</formula>
    </cfRule>
  </conditionalFormatting>
  <conditionalFormatting sqref="S91:T91">
    <cfRule type="expression" dxfId="1861" priority="369">
      <formula>S91=$M$3</formula>
    </cfRule>
    <cfRule type="expression" dxfId="1860" priority="370">
      <formula>S91=$I$3</formula>
    </cfRule>
    <cfRule type="expression" dxfId="1859" priority="371">
      <formula>S91=$D$3</formula>
    </cfRule>
  </conditionalFormatting>
  <conditionalFormatting sqref="U91">
    <cfRule type="cellIs" dxfId="1858" priority="368" operator="greaterThan">
      <formula>0</formula>
    </cfRule>
  </conditionalFormatting>
  <conditionalFormatting sqref="S95:T95">
    <cfRule type="expression" dxfId="1857" priority="365">
      <formula>S95=$M$3</formula>
    </cfRule>
    <cfRule type="expression" dxfId="1856" priority="366">
      <formula>S95=$I$3</formula>
    </cfRule>
    <cfRule type="expression" dxfId="1855" priority="367">
      <formula>S95=$D$3</formula>
    </cfRule>
  </conditionalFormatting>
  <conditionalFormatting sqref="U95">
    <cfRule type="cellIs" dxfId="1854" priority="364" operator="greaterThan">
      <formula>0</formula>
    </cfRule>
  </conditionalFormatting>
  <conditionalFormatting sqref="S99:T99">
    <cfRule type="expression" dxfId="1853" priority="361">
      <formula>S99=$M$3</formula>
    </cfRule>
    <cfRule type="expression" dxfId="1852" priority="362">
      <formula>S99=$I$3</formula>
    </cfRule>
    <cfRule type="expression" dxfId="1851" priority="363">
      <formula>S99=$D$3</formula>
    </cfRule>
  </conditionalFormatting>
  <conditionalFormatting sqref="U99">
    <cfRule type="cellIs" dxfId="1850" priority="360" operator="greaterThan">
      <formula>0</formula>
    </cfRule>
  </conditionalFormatting>
  <conditionalFormatting sqref="S103:T103">
    <cfRule type="expression" dxfId="1849" priority="357">
      <formula>S103=$M$3</formula>
    </cfRule>
    <cfRule type="expression" dxfId="1848" priority="358">
      <formula>S103=$I$3</formula>
    </cfRule>
    <cfRule type="expression" dxfId="1847" priority="359">
      <formula>S103=$D$3</formula>
    </cfRule>
  </conditionalFormatting>
  <conditionalFormatting sqref="U103">
    <cfRule type="cellIs" dxfId="1846" priority="356" operator="greaterThan">
      <formula>0</formula>
    </cfRule>
  </conditionalFormatting>
  <conditionalFormatting sqref="S107:T107">
    <cfRule type="expression" dxfId="1845" priority="353">
      <formula>S107=$M$3</formula>
    </cfRule>
    <cfRule type="expression" dxfId="1844" priority="354">
      <formula>S107=$I$3</formula>
    </cfRule>
    <cfRule type="expression" dxfId="1843" priority="355">
      <formula>S107=$D$3</formula>
    </cfRule>
  </conditionalFormatting>
  <conditionalFormatting sqref="U107">
    <cfRule type="cellIs" dxfId="1842" priority="352" operator="greaterThan">
      <formula>0</formula>
    </cfRule>
  </conditionalFormatting>
  <conditionalFormatting sqref="S111:T111">
    <cfRule type="expression" dxfId="1841" priority="349">
      <formula>S111=$M$3</formula>
    </cfRule>
    <cfRule type="expression" dxfId="1840" priority="350">
      <formula>S111=$I$3</formula>
    </cfRule>
    <cfRule type="expression" dxfId="1839" priority="351">
      <formula>S111=$D$3</formula>
    </cfRule>
  </conditionalFormatting>
  <conditionalFormatting sqref="U111">
    <cfRule type="cellIs" dxfId="1838" priority="348" operator="greaterThan">
      <formula>0</formula>
    </cfRule>
  </conditionalFormatting>
  <conditionalFormatting sqref="S119:T119">
    <cfRule type="expression" dxfId="1837" priority="345">
      <formula>S119=$M$3</formula>
    </cfRule>
    <cfRule type="expression" dxfId="1836" priority="346">
      <formula>S119=$I$3</formula>
    </cfRule>
    <cfRule type="expression" dxfId="1835" priority="347">
      <formula>S119=$D$3</formula>
    </cfRule>
  </conditionalFormatting>
  <conditionalFormatting sqref="U119">
    <cfRule type="cellIs" dxfId="1834" priority="344" operator="greaterThan">
      <formula>0</formula>
    </cfRule>
  </conditionalFormatting>
  <conditionalFormatting sqref="S123:T123">
    <cfRule type="expression" dxfId="1833" priority="341">
      <formula>S123=$M$3</formula>
    </cfRule>
    <cfRule type="expression" dxfId="1832" priority="342">
      <formula>S123=$I$3</formula>
    </cfRule>
    <cfRule type="expression" dxfId="1831" priority="343">
      <formula>S123=$D$3</formula>
    </cfRule>
  </conditionalFormatting>
  <conditionalFormatting sqref="U123">
    <cfRule type="cellIs" dxfId="1830" priority="340" operator="greaterThan">
      <formula>0</formula>
    </cfRule>
  </conditionalFormatting>
  <conditionalFormatting sqref="K15">
    <cfRule type="expression" dxfId="1829" priority="337">
      <formula>K15=$M$3</formula>
    </cfRule>
    <cfRule type="expression" dxfId="1828" priority="338">
      <formula>K15=$I$3</formula>
    </cfRule>
    <cfRule type="expression" dxfId="1827" priority="339">
      <formula>K15=$D$3</formula>
    </cfRule>
  </conditionalFormatting>
  <conditionalFormatting sqref="L15">
    <cfRule type="cellIs" dxfId="1826" priority="336" operator="greaterThan">
      <formula>0</formula>
    </cfRule>
  </conditionalFormatting>
  <conditionalFormatting sqref="K19">
    <cfRule type="expression" dxfId="1825" priority="333">
      <formula>K19=$M$3</formula>
    </cfRule>
    <cfRule type="expression" dxfId="1824" priority="334">
      <formula>K19=$I$3</formula>
    </cfRule>
    <cfRule type="expression" dxfId="1823" priority="335">
      <formula>K19=$D$3</formula>
    </cfRule>
  </conditionalFormatting>
  <conditionalFormatting sqref="L19">
    <cfRule type="cellIs" dxfId="1822" priority="332" operator="greaterThan">
      <formula>0</formula>
    </cfRule>
  </conditionalFormatting>
  <conditionalFormatting sqref="K23">
    <cfRule type="expression" dxfId="1821" priority="329">
      <formula>K23=$M$3</formula>
    </cfRule>
    <cfRule type="expression" dxfId="1820" priority="330">
      <formula>K23=$I$3</formula>
    </cfRule>
    <cfRule type="expression" dxfId="1819" priority="331">
      <formula>K23=$D$3</formula>
    </cfRule>
  </conditionalFormatting>
  <conditionalFormatting sqref="L23">
    <cfRule type="cellIs" dxfId="1818" priority="328" operator="greaterThan">
      <formula>0</formula>
    </cfRule>
  </conditionalFormatting>
  <conditionalFormatting sqref="K35">
    <cfRule type="expression" dxfId="1817" priority="325">
      <formula>K35=$M$3</formula>
    </cfRule>
    <cfRule type="expression" dxfId="1816" priority="326">
      <formula>K35=$I$3</formula>
    </cfRule>
    <cfRule type="expression" dxfId="1815" priority="327">
      <formula>K35=$D$3</formula>
    </cfRule>
  </conditionalFormatting>
  <conditionalFormatting sqref="L35">
    <cfRule type="cellIs" dxfId="1814" priority="324" operator="greaterThan">
      <formula>0</formula>
    </cfRule>
  </conditionalFormatting>
  <conditionalFormatting sqref="K39">
    <cfRule type="expression" dxfId="1813" priority="321">
      <formula>K39=$M$3</formula>
    </cfRule>
    <cfRule type="expression" dxfId="1812" priority="322">
      <formula>K39=$I$3</formula>
    </cfRule>
    <cfRule type="expression" dxfId="1811" priority="323">
      <formula>K39=$D$3</formula>
    </cfRule>
  </conditionalFormatting>
  <conditionalFormatting sqref="L39">
    <cfRule type="cellIs" dxfId="1810" priority="320" operator="greaterThan">
      <formula>0</formula>
    </cfRule>
  </conditionalFormatting>
  <conditionalFormatting sqref="K43">
    <cfRule type="expression" dxfId="1809" priority="317">
      <formula>K43=$M$3</formula>
    </cfRule>
    <cfRule type="expression" dxfId="1808" priority="318">
      <formula>K43=$I$3</formula>
    </cfRule>
    <cfRule type="expression" dxfId="1807" priority="319">
      <formula>K43=$D$3</formula>
    </cfRule>
  </conditionalFormatting>
  <conditionalFormatting sqref="L43">
    <cfRule type="cellIs" dxfId="1806" priority="316" operator="greaterThan">
      <formula>0</formula>
    </cfRule>
  </conditionalFormatting>
  <conditionalFormatting sqref="K47">
    <cfRule type="expression" dxfId="1805" priority="313">
      <formula>K47=$M$3</formula>
    </cfRule>
    <cfRule type="expression" dxfId="1804" priority="314">
      <formula>K47=$I$3</formula>
    </cfRule>
    <cfRule type="expression" dxfId="1803" priority="315">
      <formula>K47=$D$3</formula>
    </cfRule>
  </conditionalFormatting>
  <conditionalFormatting sqref="L47">
    <cfRule type="cellIs" dxfId="1802" priority="312" operator="greaterThan">
      <formula>0</formula>
    </cfRule>
  </conditionalFormatting>
  <conditionalFormatting sqref="G35">
    <cfRule type="expression" dxfId="1801" priority="253">
      <formula>G35=$M$3</formula>
    </cfRule>
    <cfRule type="expression" dxfId="1800" priority="254">
      <formula>G35=$I$3</formula>
    </cfRule>
    <cfRule type="expression" dxfId="1799" priority="255">
      <formula>G35=$D$3</formula>
    </cfRule>
  </conditionalFormatting>
  <conditionalFormatting sqref="H35">
    <cfRule type="cellIs" dxfId="1798" priority="252" operator="greaterThan">
      <formula>0</formula>
    </cfRule>
  </conditionalFormatting>
  <conditionalFormatting sqref="K119">
    <cfRule type="expression" dxfId="1797" priority="277">
      <formula>K119=$M$3</formula>
    </cfRule>
    <cfRule type="expression" dxfId="1796" priority="278">
      <formula>K119=$I$3</formula>
    </cfRule>
    <cfRule type="expression" dxfId="1795" priority="279">
      <formula>K119=$D$3</formula>
    </cfRule>
  </conditionalFormatting>
  <conditionalFormatting sqref="L119">
    <cfRule type="cellIs" dxfId="1794" priority="276" operator="greaterThan">
      <formula>0</formula>
    </cfRule>
  </conditionalFormatting>
  <conditionalFormatting sqref="G19">
    <cfRule type="expression" dxfId="1793" priority="289">
      <formula>G19=$M$3</formula>
    </cfRule>
    <cfRule type="expression" dxfId="1792" priority="290">
      <formula>G19=$I$3</formula>
    </cfRule>
    <cfRule type="expression" dxfId="1791" priority="291">
      <formula>G19=$D$3</formula>
    </cfRule>
  </conditionalFormatting>
  <conditionalFormatting sqref="H19">
    <cfRule type="cellIs" dxfId="1790" priority="288" operator="greaterThan">
      <formula>0</formula>
    </cfRule>
  </conditionalFormatting>
  <conditionalFormatting sqref="K99">
    <cfRule type="expression" dxfId="1789" priority="297">
      <formula>K99=$M$3</formula>
    </cfRule>
    <cfRule type="expression" dxfId="1788" priority="298">
      <formula>K99=$I$3</formula>
    </cfRule>
    <cfRule type="expression" dxfId="1787" priority="299">
      <formula>K99=$D$3</formula>
    </cfRule>
  </conditionalFormatting>
  <conditionalFormatting sqref="L99">
    <cfRule type="cellIs" dxfId="1786" priority="296" operator="greaterThan">
      <formula>0</formula>
    </cfRule>
  </conditionalFormatting>
  <conditionalFormatting sqref="G23">
    <cfRule type="expression" dxfId="1785" priority="285">
      <formula>G23=$M$3</formula>
    </cfRule>
    <cfRule type="expression" dxfId="1784" priority="286">
      <formula>G23=$I$3</formula>
    </cfRule>
    <cfRule type="expression" dxfId="1783" priority="287">
      <formula>G23=$D$3</formula>
    </cfRule>
  </conditionalFormatting>
  <conditionalFormatting sqref="H23">
    <cfRule type="cellIs" dxfId="1782" priority="284" operator="greaterThan">
      <formula>0</formula>
    </cfRule>
  </conditionalFormatting>
  <conditionalFormatting sqref="K51">
    <cfRule type="expression" dxfId="1781" priority="273">
      <formula>K51=$M$3</formula>
    </cfRule>
    <cfRule type="expression" dxfId="1780" priority="274">
      <formula>K51=$I$3</formula>
    </cfRule>
    <cfRule type="expression" dxfId="1779" priority="275">
      <formula>K51=$D$3</formula>
    </cfRule>
  </conditionalFormatting>
  <conditionalFormatting sqref="L51">
    <cfRule type="cellIs" dxfId="1778" priority="272" operator="greaterThan">
      <formula>0</formula>
    </cfRule>
  </conditionalFormatting>
  <conditionalFormatting sqref="G32">
    <cfRule type="expression" dxfId="1777" priority="269">
      <formula>G32=$M$3</formula>
    </cfRule>
    <cfRule type="expression" dxfId="1776" priority="270">
      <formula>G32=$I$3</formula>
    </cfRule>
    <cfRule type="expression" dxfId="1775" priority="271">
      <formula>G32=$D$3</formula>
    </cfRule>
  </conditionalFormatting>
  <conditionalFormatting sqref="H32">
    <cfRule type="cellIs" dxfId="1774" priority="268" operator="greaterThan">
      <formula>0</formula>
    </cfRule>
  </conditionalFormatting>
  <conditionalFormatting sqref="G43">
    <cfRule type="expression" dxfId="1773" priority="265">
      <formula>G43=$M$3</formula>
    </cfRule>
    <cfRule type="expression" dxfId="1772" priority="266">
      <formula>G43=$I$3</formula>
    </cfRule>
    <cfRule type="expression" dxfId="1771" priority="267">
      <formula>G43=$D$3</formula>
    </cfRule>
  </conditionalFormatting>
  <conditionalFormatting sqref="H43">
    <cfRule type="cellIs" dxfId="1770" priority="264" operator="greaterThan">
      <formula>0</formula>
    </cfRule>
  </conditionalFormatting>
  <conditionalFormatting sqref="G31">
    <cfRule type="expression" dxfId="1769" priority="261">
      <formula>G31=$M$3</formula>
    </cfRule>
    <cfRule type="expression" dxfId="1768" priority="262">
      <formula>G31=$I$3</formula>
    </cfRule>
    <cfRule type="expression" dxfId="1767" priority="263">
      <formula>G31=$D$3</formula>
    </cfRule>
  </conditionalFormatting>
  <conditionalFormatting sqref="H31">
    <cfRule type="cellIs" dxfId="1766" priority="260" operator="greaterThan">
      <formula>0</formula>
    </cfRule>
  </conditionalFormatting>
  <conditionalFormatting sqref="G37">
    <cfRule type="expression" dxfId="1765" priority="257">
      <formula>G37=$M$3</formula>
    </cfRule>
    <cfRule type="expression" dxfId="1764" priority="258">
      <formula>G37=$I$3</formula>
    </cfRule>
    <cfRule type="expression" dxfId="1763" priority="259">
      <formula>G37=$D$3</formula>
    </cfRule>
  </conditionalFormatting>
  <conditionalFormatting sqref="H37">
    <cfRule type="cellIs" dxfId="1762" priority="256" operator="greaterThan">
      <formula>0</formula>
    </cfRule>
  </conditionalFormatting>
  <conditionalFormatting sqref="G36">
    <cfRule type="expression" dxfId="1761" priority="249">
      <formula>G36=$M$3</formula>
    </cfRule>
    <cfRule type="expression" dxfId="1760" priority="250">
      <formula>G36=$I$3</formula>
    </cfRule>
    <cfRule type="expression" dxfId="1759" priority="251">
      <formula>G36=$D$3</formula>
    </cfRule>
  </conditionalFormatting>
  <conditionalFormatting sqref="H36">
    <cfRule type="cellIs" dxfId="1758" priority="248" operator="greaterThan">
      <formula>0</formula>
    </cfRule>
  </conditionalFormatting>
  <conditionalFormatting sqref="X51">
    <cfRule type="expression" dxfId="1757" priority="245">
      <formula>X51=$M$3</formula>
    </cfRule>
    <cfRule type="expression" dxfId="1756" priority="246">
      <formula>X51=$I$3</formula>
    </cfRule>
    <cfRule type="expression" dxfId="1755" priority="247">
      <formula>X51=$D$3</formula>
    </cfRule>
  </conditionalFormatting>
  <conditionalFormatting sqref="Y51">
    <cfRule type="cellIs" dxfId="1754" priority="244" operator="greaterThan">
      <formula>0</formula>
    </cfRule>
  </conditionalFormatting>
  <conditionalFormatting sqref="X55">
    <cfRule type="expression" dxfId="1753" priority="241">
      <formula>X55=$M$3</formula>
    </cfRule>
    <cfRule type="expression" dxfId="1752" priority="242">
      <formula>X55=$I$3</formula>
    </cfRule>
    <cfRule type="expression" dxfId="1751" priority="243">
      <formula>X55=$D$3</formula>
    </cfRule>
  </conditionalFormatting>
  <conditionalFormatting sqref="Y55">
    <cfRule type="cellIs" dxfId="1750" priority="240" operator="greaterThan">
      <formula>0</formula>
    </cfRule>
  </conditionalFormatting>
  <conditionalFormatting sqref="X59">
    <cfRule type="expression" dxfId="1749" priority="237">
      <formula>X59=$M$3</formula>
    </cfRule>
    <cfRule type="expression" dxfId="1748" priority="238">
      <formula>X59=$I$3</formula>
    </cfRule>
    <cfRule type="expression" dxfId="1747" priority="239">
      <formula>X59=$D$3</formula>
    </cfRule>
  </conditionalFormatting>
  <conditionalFormatting sqref="Y59">
    <cfRule type="cellIs" dxfId="1746" priority="236" operator="greaterThan">
      <formula>0</formula>
    </cfRule>
  </conditionalFormatting>
  <conditionalFormatting sqref="X63">
    <cfRule type="expression" dxfId="1745" priority="233">
      <formula>X63=$M$3</formula>
    </cfRule>
    <cfRule type="expression" dxfId="1744" priority="234">
      <formula>X63=$I$3</formula>
    </cfRule>
    <cfRule type="expression" dxfId="1743" priority="235">
      <formula>X63=$D$3</formula>
    </cfRule>
  </conditionalFormatting>
  <conditionalFormatting sqref="Y63">
    <cfRule type="cellIs" dxfId="1742" priority="232" operator="greaterThan">
      <formula>0</formula>
    </cfRule>
  </conditionalFormatting>
  <conditionalFormatting sqref="Y67">
    <cfRule type="cellIs" dxfId="1741" priority="231" operator="greaterThan">
      <formula>0</formula>
    </cfRule>
  </conditionalFormatting>
  <conditionalFormatting sqref="X67">
    <cfRule type="expression" dxfId="1740" priority="228">
      <formula>X67=$M$3</formula>
    </cfRule>
    <cfRule type="expression" dxfId="1739" priority="229">
      <formula>X67=$I$3</formula>
    </cfRule>
    <cfRule type="expression" dxfId="1738" priority="230">
      <formula>X67=$D$3</formula>
    </cfRule>
  </conditionalFormatting>
  <conditionalFormatting sqref="U51">
    <cfRule type="cellIs" dxfId="1737" priority="227" operator="greaterThan">
      <formula>0</formula>
    </cfRule>
  </conditionalFormatting>
  <conditionalFormatting sqref="S55:T55">
    <cfRule type="expression" dxfId="1736" priority="224">
      <formula>S55=$M$3</formula>
    </cfRule>
    <cfRule type="expression" dxfId="1735" priority="225">
      <formula>S55=$I$3</formula>
    </cfRule>
    <cfRule type="expression" dxfId="1734" priority="226">
      <formula>S55=$D$3</formula>
    </cfRule>
  </conditionalFormatting>
  <conditionalFormatting sqref="U55">
    <cfRule type="cellIs" dxfId="1733" priority="223" operator="greaterThan">
      <formula>0</formula>
    </cfRule>
  </conditionalFormatting>
  <conditionalFormatting sqref="O43">
    <cfRule type="expression" dxfId="1732" priority="220">
      <formula>O43=$M$3</formula>
    </cfRule>
    <cfRule type="expression" dxfId="1731" priority="221">
      <formula>O43=$I$3</formula>
    </cfRule>
    <cfRule type="expression" dxfId="1730" priority="222">
      <formula>O43=$D$3</formula>
    </cfRule>
  </conditionalFormatting>
  <conditionalFormatting sqref="P43">
    <cfRule type="cellIs" dxfId="1729" priority="219" operator="greaterThan">
      <formula>0</formula>
    </cfRule>
  </conditionalFormatting>
  <conditionalFormatting sqref="S51:T51">
    <cfRule type="expression" dxfId="1728" priority="216">
      <formula>S51=$M$3</formula>
    </cfRule>
    <cfRule type="expression" dxfId="1727" priority="217">
      <formula>S51=$I$3</formula>
    </cfRule>
    <cfRule type="expression" dxfId="1726" priority="218">
      <formula>S51=$D$3</formula>
    </cfRule>
  </conditionalFormatting>
  <conditionalFormatting sqref="G127:G130">
    <cfRule type="expression" dxfId="1725" priority="205">
      <formula>G127=$M$3</formula>
    </cfRule>
    <cfRule type="expression" dxfId="1724" priority="206">
      <formula>G127=$I$3</formula>
    </cfRule>
    <cfRule type="expression" dxfId="1723" priority="207">
      <formula>G127=$D$3</formula>
    </cfRule>
  </conditionalFormatting>
  <conditionalFormatting sqref="H127:H130">
    <cfRule type="cellIs" dxfId="1722" priority="204" operator="greaterThan">
      <formula>0</formula>
    </cfRule>
  </conditionalFormatting>
  <conditionalFormatting sqref="G131">
    <cfRule type="expression" dxfId="1721" priority="201">
      <formula>G131=$M$3</formula>
    </cfRule>
    <cfRule type="expression" dxfId="1720" priority="202">
      <formula>G131=$I$3</formula>
    </cfRule>
    <cfRule type="expression" dxfId="1719" priority="203">
      <formula>G131=$D$3</formula>
    </cfRule>
  </conditionalFormatting>
  <conditionalFormatting sqref="H131">
    <cfRule type="cellIs" dxfId="1718" priority="200" operator="greaterThan">
      <formula>0</formula>
    </cfRule>
  </conditionalFormatting>
  <conditionalFormatting sqref="G55">
    <cfRule type="expression" dxfId="1717" priority="197">
      <formula>G55=$M$3</formula>
    </cfRule>
    <cfRule type="expression" dxfId="1716" priority="198">
      <formula>G55=$I$3</formula>
    </cfRule>
    <cfRule type="expression" dxfId="1715" priority="199">
      <formula>G55=$D$3</formula>
    </cfRule>
  </conditionalFormatting>
  <conditionalFormatting sqref="H55">
    <cfRule type="cellIs" dxfId="1714" priority="196" operator="greaterThan">
      <formula>0</formula>
    </cfRule>
  </conditionalFormatting>
  <conditionalFormatting sqref="G59">
    <cfRule type="expression" dxfId="1713" priority="193">
      <formula>G59=$M$3</formula>
    </cfRule>
    <cfRule type="expression" dxfId="1712" priority="194">
      <formula>G59=$I$3</formula>
    </cfRule>
    <cfRule type="expression" dxfId="1711" priority="195">
      <formula>G59=$D$3</formula>
    </cfRule>
  </conditionalFormatting>
  <conditionalFormatting sqref="H59">
    <cfRule type="cellIs" dxfId="1710" priority="192" operator="greaterThan">
      <formula>0</formula>
    </cfRule>
  </conditionalFormatting>
  <conditionalFormatting sqref="G63">
    <cfRule type="expression" dxfId="1709" priority="189">
      <formula>G63=$M$3</formula>
    </cfRule>
    <cfRule type="expression" dxfId="1708" priority="190">
      <formula>G63=$I$3</formula>
    </cfRule>
    <cfRule type="expression" dxfId="1707" priority="191">
      <formula>G63=$D$3</formula>
    </cfRule>
  </conditionalFormatting>
  <conditionalFormatting sqref="H63">
    <cfRule type="cellIs" dxfId="1706" priority="188" operator="greaterThan">
      <formula>0</formula>
    </cfRule>
  </conditionalFormatting>
  <conditionalFormatting sqref="G76">
    <cfRule type="expression" dxfId="1705" priority="185">
      <formula>G76=$M$3</formula>
    </cfRule>
    <cfRule type="expression" dxfId="1704" priority="186">
      <formula>G76=$I$3</formula>
    </cfRule>
    <cfRule type="expression" dxfId="1703" priority="187">
      <formula>G76=$D$3</formula>
    </cfRule>
  </conditionalFormatting>
  <conditionalFormatting sqref="H76">
    <cfRule type="cellIs" dxfId="1702" priority="184" operator="greaterThan">
      <formula>0</formula>
    </cfRule>
  </conditionalFormatting>
  <conditionalFormatting sqref="G79">
    <cfRule type="expression" dxfId="1701" priority="181">
      <formula>G79=$M$3</formula>
    </cfRule>
    <cfRule type="expression" dxfId="1700" priority="182">
      <formula>G79=$I$3</formula>
    </cfRule>
    <cfRule type="expression" dxfId="1699" priority="183">
      <formula>G79=$D$3</formula>
    </cfRule>
  </conditionalFormatting>
  <conditionalFormatting sqref="H79">
    <cfRule type="cellIs" dxfId="1698" priority="180" operator="greaterThan">
      <formula>0</formula>
    </cfRule>
  </conditionalFormatting>
  <conditionalFormatting sqref="G83">
    <cfRule type="expression" dxfId="1697" priority="177">
      <formula>G83=$M$3</formula>
    </cfRule>
    <cfRule type="expression" dxfId="1696" priority="178">
      <formula>G83=$I$3</formula>
    </cfRule>
    <cfRule type="expression" dxfId="1695" priority="179">
      <formula>G83=$D$3</formula>
    </cfRule>
  </conditionalFormatting>
  <conditionalFormatting sqref="H83">
    <cfRule type="cellIs" dxfId="1694" priority="176" operator="greaterThan">
      <formula>0</formula>
    </cfRule>
  </conditionalFormatting>
  <conditionalFormatting sqref="O99">
    <cfRule type="expression" dxfId="1693" priority="129">
      <formula>O99=$M$3</formula>
    </cfRule>
    <cfRule type="expression" dxfId="1692" priority="130">
      <formula>O99=$I$3</formula>
    </cfRule>
    <cfRule type="expression" dxfId="1691" priority="131">
      <formula>O99=$D$3</formula>
    </cfRule>
  </conditionalFormatting>
  <conditionalFormatting sqref="P99">
    <cfRule type="cellIs" dxfId="1690" priority="128" operator="greaterThan">
      <formula>0</formula>
    </cfRule>
  </conditionalFormatting>
  <conditionalFormatting sqref="K84">
    <cfRule type="expression" dxfId="1689" priority="165">
      <formula>K84=$M$3</formula>
    </cfRule>
    <cfRule type="expression" dxfId="1688" priority="166">
      <formula>K84=$I$3</formula>
    </cfRule>
    <cfRule type="expression" dxfId="1687" priority="167">
      <formula>K84=$D$3</formula>
    </cfRule>
  </conditionalFormatting>
  <conditionalFormatting sqref="L84">
    <cfRule type="cellIs" dxfId="1686" priority="164" operator="greaterThan">
      <formula>0</formula>
    </cfRule>
  </conditionalFormatting>
  <conditionalFormatting sqref="K123">
    <cfRule type="expression" dxfId="1685" priority="157">
      <formula>K123=$M$3</formula>
    </cfRule>
    <cfRule type="expression" dxfId="1684" priority="158">
      <formula>K123=$I$3</formula>
    </cfRule>
    <cfRule type="expression" dxfId="1683" priority="159">
      <formula>K123=$D$3</formula>
    </cfRule>
  </conditionalFormatting>
  <conditionalFormatting sqref="L123">
    <cfRule type="cellIs" dxfId="1682" priority="156" operator="greaterThan">
      <formula>0</formula>
    </cfRule>
  </conditionalFormatting>
  <conditionalFormatting sqref="K127">
    <cfRule type="expression" dxfId="1681" priority="153">
      <formula>K127=$M$3</formula>
    </cfRule>
    <cfRule type="expression" dxfId="1680" priority="154">
      <formula>K127=$I$3</formula>
    </cfRule>
    <cfRule type="expression" dxfId="1679" priority="155">
      <formula>K127=$D$3</formula>
    </cfRule>
  </conditionalFormatting>
  <conditionalFormatting sqref="L127">
    <cfRule type="cellIs" dxfId="1678" priority="152" operator="greaterThan">
      <formula>0</formula>
    </cfRule>
  </conditionalFormatting>
  <conditionalFormatting sqref="K131">
    <cfRule type="expression" dxfId="1677" priority="149">
      <formula>K131=$M$3</formula>
    </cfRule>
    <cfRule type="expression" dxfId="1676" priority="150">
      <formula>K131=$I$3</formula>
    </cfRule>
    <cfRule type="expression" dxfId="1675" priority="151">
      <formula>K131=$D$3</formula>
    </cfRule>
  </conditionalFormatting>
  <conditionalFormatting sqref="L131">
    <cfRule type="cellIs" dxfId="1674" priority="148" operator="greaterThan">
      <formula>0</formula>
    </cfRule>
  </conditionalFormatting>
  <conditionalFormatting sqref="K135">
    <cfRule type="expression" dxfId="1673" priority="145">
      <formula>K135=$M$3</formula>
    </cfRule>
    <cfRule type="expression" dxfId="1672" priority="146">
      <formula>K135=$I$3</formula>
    </cfRule>
    <cfRule type="expression" dxfId="1671" priority="147">
      <formula>K135=$D$3</formula>
    </cfRule>
  </conditionalFormatting>
  <conditionalFormatting sqref="L135">
    <cfRule type="cellIs" dxfId="1670" priority="144" operator="greaterThan">
      <formula>0</formula>
    </cfRule>
  </conditionalFormatting>
  <conditionalFormatting sqref="K139">
    <cfRule type="expression" dxfId="1669" priority="141">
      <formula>K139=$M$3</formula>
    </cfRule>
    <cfRule type="expression" dxfId="1668" priority="142">
      <formula>K139=$I$3</formula>
    </cfRule>
    <cfRule type="expression" dxfId="1667" priority="143">
      <formula>K139=$D$3</formula>
    </cfRule>
  </conditionalFormatting>
  <conditionalFormatting sqref="L139">
    <cfRule type="cellIs" dxfId="1666" priority="140" operator="greaterThan">
      <formula>0</formula>
    </cfRule>
  </conditionalFormatting>
  <conditionalFormatting sqref="O92">
    <cfRule type="expression" dxfId="1665" priority="137">
      <formula>O92=$M$3</formula>
    </cfRule>
    <cfRule type="expression" dxfId="1664" priority="138">
      <formula>O92=$I$3</formula>
    </cfRule>
    <cfRule type="expression" dxfId="1663" priority="139">
      <formula>O92=$D$3</formula>
    </cfRule>
  </conditionalFormatting>
  <conditionalFormatting sqref="P92">
    <cfRule type="cellIs" dxfId="1662" priority="136" operator="greaterThan">
      <formula>0</formula>
    </cfRule>
  </conditionalFormatting>
  <conditionalFormatting sqref="O95">
    <cfRule type="expression" dxfId="1661" priority="133">
      <formula>O95=$M$3</formula>
    </cfRule>
    <cfRule type="expression" dxfId="1660" priority="134">
      <formula>O95=$I$3</formula>
    </cfRule>
    <cfRule type="expression" dxfId="1659" priority="135">
      <formula>O95=$D$3</formula>
    </cfRule>
  </conditionalFormatting>
  <conditionalFormatting sqref="P95">
    <cfRule type="cellIs" dxfId="1658" priority="132" operator="greaterThan">
      <formula>0</formula>
    </cfRule>
  </conditionalFormatting>
  <conditionalFormatting sqref="O103">
    <cfRule type="expression" dxfId="1657" priority="125">
      <formula>O103=$M$3</formula>
    </cfRule>
    <cfRule type="expression" dxfId="1656" priority="126">
      <formula>O103=$I$3</formula>
    </cfRule>
    <cfRule type="expression" dxfId="1655" priority="127">
      <formula>O103=$D$3</formula>
    </cfRule>
  </conditionalFormatting>
  <conditionalFormatting sqref="P103">
    <cfRule type="cellIs" dxfId="1654" priority="124" operator="greaterThan">
      <formula>0</formula>
    </cfRule>
  </conditionalFormatting>
  <conditionalFormatting sqref="O107">
    <cfRule type="expression" dxfId="1653" priority="121">
      <formula>O107=$M$3</formula>
    </cfRule>
    <cfRule type="expression" dxfId="1652" priority="122">
      <formula>O107=$I$3</formula>
    </cfRule>
    <cfRule type="expression" dxfId="1651" priority="123">
      <formula>O107=$D$3</formula>
    </cfRule>
  </conditionalFormatting>
  <conditionalFormatting sqref="P107">
    <cfRule type="cellIs" dxfId="1650" priority="120" operator="greaterThan">
      <formula>0</formula>
    </cfRule>
  </conditionalFormatting>
  <conditionalFormatting sqref="O111">
    <cfRule type="expression" dxfId="1649" priority="117">
      <formula>O111=$M$3</formula>
    </cfRule>
    <cfRule type="expression" dxfId="1648" priority="118">
      <formula>O111=$I$3</formula>
    </cfRule>
    <cfRule type="expression" dxfId="1647" priority="119">
      <formula>O111=$D$3</formula>
    </cfRule>
  </conditionalFormatting>
  <conditionalFormatting sqref="P111">
    <cfRule type="cellIs" dxfId="1646" priority="116" operator="greaterThan">
      <formula>0</formula>
    </cfRule>
  </conditionalFormatting>
  <conditionalFormatting sqref="O115">
    <cfRule type="expression" dxfId="1645" priority="113">
      <formula>O115=$M$3</formula>
    </cfRule>
    <cfRule type="expression" dxfId="1644" priority="114">
      <formula>O115=$I$3</formula>
    </cfRule>
    <cfRule type="expression" dxfId="1643" priority="115">
      <formula>O115=$D$3</formula>
    </cfRule>
  </conditionalFormatting>
  <conditionalFormatting sqref="P115">
    <cfRule type="cellIs" dxfId="1642" priority="112" operator="greaterThan">
      <formula>0</formula>
    </cfRule>
  </conditionalFormatting>
  <conditionalFormatting sqref="O119">
    <cfRule type="expression" dxfId="1641" priority="109">
      <formula>O119=$M$3</formula>
    </cfRule>
    <cfRule type="expression" dxfId="1640" priority="110">
      <formula>O119=$I$3</formula>
    </cfRule>
    <cfRule type="expression" dxfId="1639" priority="111">
      <formula>O119=$D$3</formula>
    </cfRule>
  </conditionalFormatting>
  <conditionalFormatting sqref="P119">
    <cfRule type="cellIs" dxfId="1638" priority="108" operator="greaterThan">
      <formula>0</formula>
    </cfRule>
  </conditionalFormatting>
  <conditionalFormatting sqref="O123">
    <cfRule type="expression" dxfId="1637" priority="105">
      <formula>O123=$M$3</formula>
    </cfRule>
    <cfRule type="expression" dxfId="1636" priority="106">
      <formula>O123=$I$3</formula>
    </cfRule>
    <cfRule type="expression" dxfId="1635" priority="107">
      <formula>O123=$D$3</formula>
    </cfRule>
  </conditionalFormatting>
  <conditionalFormatting sqref="P123">
    <cfRule type="cellIs" dxfId="1634" priority="104" operator="greaterThan">
      <formula>0</formula>
    </cfRule>
  </conditionalFormatting>
  <conditionalFormatting sqref="K55">
    <cfRule type="expression" dxfId="1633" priority="89">
      <formula>K55=$M$3</formula>
    </cfRule>
    <cfRule type="expression" dxfId="1632" priority="90">
      <formula>K55=$I$3</formula>
    </cfRule>
    <cfRule type="expression" dxfId="1631" priority="91">
      <formula>K55=$D$3</formula>
    </cfRule>
  </conditionalFormatting>
  <conditionalFormatting sqref="L55">
    <cfRule type="cellIs" dxfId="1630" priority="88" operator="greaterThan">
      <formula>0</formula>
    </cfRule>
  </conditionalFormatting>
  <conditionalFormatting sqref="K54">
    <cfRule type="expression" dxfId="1629" priority="85">
      <formula>K54=$M$3</formula>
    </cfRule>
    <cfRule type="expression" dxfId="1628" priority="86">
      <formula>K54=$I$3</formula>
    </cfRule>
    <cfRule type="expression" dxfId="1627" priority="87">
      <formula>K54=$D$3</formula>
    </cfRule>
  </conditionalFormatting>
  <conditionalFormatting sqref="L54">
    <cfRule type="cellIs" dxfId="1626" priority="84" operator="greaterThan">
      <formula>0</formula>
    </cfRule>
  </conditionalFormatting>
  <conditionalFormatting sqref="L91">
    <cfRule type="cellIs" dxfId="1625" priority="47" operator="greaterThan">
      <formula>0</formula>
    </cfRule>
  </conditionalFormatting>
  <conditionalFormatting sqref="K59">
    <cfRule type="expression" dxfId="1624" priority="80">
      <formula>K59=$M$3</formula>
    </cfRule>
    <cfRule type="expression" dxfId="1623" priority="81">
      <formula>K59=$I$3</formula>
    </cfRule>
    <cfRule type="expression" dxfId="1622" priority="82">
      <formula>K59=$D$3</formula>
    </cfRule>
  </conditionalFormatting>
  <conditionalFormatting sqref="L59">
    <cfRule type="cellIs" dxfId="1621" priority="79" operator="greaterThan">
      <formula>0</formula>
    </cfRule>
  </conditionalFormatting>
  <conditionalFormatting sqref="K63">
    <cfRule type="expression" dxfId="1620" priority="76">
      <formula>K63=$M$3</formula>
    </cfRule>
    <cfRule type="expression" dxfId="1619" priority="77">
      <formula>K63=$I$3</formula>
    </cfRule>
    <cfRule type="expression" dxfId="1618" priority="78">
      <formula>K63=$D$3</formula>
    </cfRule>
  </conditionalFormatting>
  <conditionalFormatting sqref="L63">
    <cfRule type="cellIs" dxfId="1617" priority="75" operator="greaterThan">
      <formula>0</formula>
    </cfRule>
  </conditionalFormatting>
  <conditionalFormatting sqref="K67">
    <cfRule type="expression" dxfId="1616" priority="72">
      <formula>K67=$M$3</formula>
    </cfRule>
    <cfRule type="expression" dxfId="1615" priority="73">
      <formula>K67=$I$3</formula>
    </cfRule>
    <cfRule type="expression" dxfId="1614" priority="74">
      <formula>K67=$D$3</formula>
    </cfRule>
  </conditionalFormatting>
  <conditionalFormatting sqref="L67">
    <cfRule type="cellIs" dxfId="1613" priority="71" operator="greaterThan">
      <formula>0</formula>
    </cfRule>
  </conditionalFormatting>
  <conditionalFormatting sqref="K71">
    <cfRule type="expression" dxfId="1612" priority="68">
      <formula>K71=$M$3</formula>
    </cfRule>
    <cfRule type="expression" dxfId="1611" priority="69">
      <formula>K71=$I$3</formula>
    </cfRule>
    <cfRule type="expression" dxfId="1610" priority="70">
      <formula>K71=$D$3</formula>
    </cfRule>
  </conditionalFormatting>
  <conditionalFormatting sqref="L71">
    <cfRule type="cellIs" dxfId="1609" priority="67" operator="greaterThan">
      <formula>0</formula>
    </cfRule>
  </conditionalFormatting>
  <conditionalFormatting sqref="K75">
    <cfRule type="expression" dxfId="1608" priority="64">
      <formula>K75=$M$3</formula>
    </cfRule>
    <cfRule type="expression" dxfId="1607" priority="65">
      <formula>K75=$I$3</formula>
    </cfRule>
    <cfRule type="expression" dxfId="1606" priority="66">
      <formula>K75=$D$3</formula>
    </cfRule>
  </conditionalFormatting>
  <conditionalFormatting sqref="L75">
    <cfRule type="cellIs" dxfId="1605" priority="63" operator="greaterThan">
      <formula>0</formula>
    </cfRule>
  </conditionalFormatting>
  <conditionalFormatting sqref="K79">
    <cfRule type="expression" dxfId="1604" priority="60">
      <formula>K79=$M$3</formula>
    </cfRule>
    <cfRule type="expression" dxfId="1603" priority="61">
      <formula>K79=$I$3</formula>
    </cfRule>
    <cfRule type="expression" dxfId="1602" priority="62">
      <formula>K79=$D$3</formula>
    </cfRule>
  </conditionalFormatting>
  <conditionalFormatting sqref="L79">
    <cfRule type="cellIs" dxfId="1601" priority="59" operator="greaterThan">
      <formula>0</formula>
    </cfRule>
  </conditionalFormatting>
  <conditionalFormatting sqref="K83">
    <cfRule type="expression" dxfId="1600" priority="56">
      <formula>K83=$M$3</formula>
    </cfRule>
    <cfRule type="expression" dxfId="1599" priority="57">
      <formula>K83=$I$3</formula>
    </cfRule>
    <cfRule type="expression" dxfId="1598" priority="58">
      <formula>K83=$D$3</formula>
    </cfRule>
  </conditionalFormatting>
  <conditionalFormatting sqref="L83">
    <cfRule type="cellIs" dxfId="1597" priority="55" operator="greaterThan">
      <formula>0</formula>
    </cfRule>
  </conditionalFormatting>
  <conditionalFormatting sqref="K87">
    <cfRule type="expression" dxfId="1596" priority="52">
      <formula>K87=$M$3</formula>
    </cfRule>
    <cfRule type="expression" dxfId="1595" priority="53">
      <formula>K87=$I$3</formula>
    </cfRule>
    <cfRule type="expression" dxfId="1594" priority="54">
      <formula>K87=$D$3</formula>
    </cfRule>
  </conditionalFormatting>
  <conditionalFormatting sqref="L87">
    <cfRule type="cellIs" dxfId="1593" priority="51" operator="greaterThan">
      <formula>0</formula>
    </cfRule>
  </conditionalFormatting>
  <conditionalFormatting sqref="K91">
    <cfRule type="expression" dxfId="1592" priority="48">
      <formula>K91=$M$3</formula>
    </cfRule>
    <cfRule type="expression" dxfId="1591" priority="49">
      <formula>K91=$I$3</formula>
    </cfRule>
    <cfRule type="expression" dxfId="1590" priority="50">
      <formula>K91=$D$3</formula>
    </cfRule>
  </conditionalFormatting>
  <conditionalFormatting sqref="K95">
    <cfRule type="expression" dxfId="1589" priority="44">
      <formula>K95=$M$3</formula>
    </cfRule>
    <cfRule type="expression" dxfId="1588" priority="45">
      <formula>K95=$I$3</formula>
    </cfRule>
    <cfRule type="expression" dxfId="1587" priority="46">
      <formula>K95=$D$3</formula>
    </cfRule>
  </conditionalFormatting>
  <conditionalFormatting sqref="L95">
    <cfRule type="cellIs" dxfId="1586" priority="43" operator="greaterThan">
      <formula>0</formula>
    </cfRule>
  </conditionalFormatting>
  <conditionalFormatting sqref="K100">
    <cfRule type="expression" dxfId="1585" priority="40">
      <formula>K100=$M$3</formula>
    </cfRule>
    <cfRule type="expression" dxfId="1584" priority="41">
      <formula>K100=$I$3</formula>
    </cfRule>
    <cfRule type="expression" dxfId="1583" priority="42">
      <formula>K100=$D$3</formula>
    </cfRule>
  </conditionalFormatting>
  <conditionalFormatting sqref="L100">
    <cfRule type="cellIs" dxfId="1582" priority="39" operator="greaterThan">
      <formula>0</formula>
    </cfRule>
  </conditionalFormatting>
  <conditionalFormatting sqref="K103">
    <cfRule type="expression" dxfId="1581" priority="36">
      <formula>K103=$M$3</formula>
    </cfRule>
    <cfRule type="expression" dxfId="1580" priority="37">
      <formula>K103=$I$3</formula>
    </cfRule>
    <cfRule type="expression" dxfId="1579" priority="38">
      <formula>K103=$D$3</formula>
    </cfRule>
  </conditionalFormatting>
  <conditionalFormatting sqref="L103">
    <cfRule type="cellIs" dxfId="1578" priority="35" operator="greaterThan">
      <formula>0</formula>
    </cfRule>
  </conditionalFormatting>
  <conditionalFormatting sqref="K107">
    <cfRule type="expression" dxfId="1577" priority="32">
      <formula>K107=$M$3</formula>
    </cfRule>
    <cfRule type="expression" dxfId="1576" priority="33">
      <formula>K107=$I$3</formula>
    </cfRule>
    <cfRule type="expression" dxfId="1575" priority="34">
      <formula>K107=$D$3</formula>
    </cfRule>
  </conditionalFormatting>
  <conditionalFormatting sqref="L107">
    <cfRule type="cellIs" dxfId="1574" priority="31" operator="greaterThan">
      <formula>0</formula>
    </cfRule>
  </conditionalFormatting>
  <conditionalFormatting sqref="K111">
    <cfRule type="expression" dxfId="1573" priority="28">
      <formula>K111=$M$3</formula>
    </cfRule>
    <cfRule type="expression" dxfId="1572" priority="29">
      <formula>K111=$I$3</formula>
    </cfRule>
    <cfRule type="expression" dxfId="1571" priority="30">
      <formula>K111=$D$3</formula>
    </cfRule>
  </conditionalFormatting>
  <conditionalFormatting sqref="L111">
    <cfRule type="cellIs" dxfId="1570" priority="27" operator="greaterThan">
      <formula>0</formula>
    </cfRule>
  </conditionalFormatting>
  <conditionalFormatting sqref="K115">
    <cfRule type="expression" dxfId="1569" priority="24">
      <formula>K115=$M$3</formula>
    </cfRule>
    <cfRule type="expression" dxfId="1568" priority="25">
      <formula>K115=$I$3</formula>
    </cfRule>
    <cfRule type="expression" dxfId="1567" priority="26">
      <formula>K115=$D$3</formula>
    </cfRule>
  </conditionalFormatting>
  <conditionalFormatting sqref="L115">
    <cfRule type="cellIs" dxfId="1566" priority="23" operator="greaterThan">
      <formula>0</formula>
    </cfRule>
  </conditionalFormatting>
  <conditionalFormatting sqref="O83">
    <cfRule type="expression" dxfId="1565" priority="20">
      <formula>O83=$M$3</formula>
    </cfRule>
    <cfRule type="expression" dxfId="1564" priority="21">
      <formula>O83=$I$3</formula>
    </cfRule>
    <cfRule type="expression" dxfId="1563" priority="22">
      <formula>O83=$D$3</formula>
    </cfRule>
  </conditionalFormatting>
  <conditionalFormatting sqref="P83">
    <cfRule type="cellIs" dxfId="1562" priority="19" operator="greaterThan">
      <formula>0</formula>
    </cfRule>
  </conditionalFormatting>
  <conditionalFormatting sqref="G97:H99 G95:G96">
    <cfRule type="expression" dxfId="1561" priority="16">
      <formula>G95=$M$3</formula>
    </cfRule>
    <cfRule type="expression" dxfId="1560" priority="17">
      <formula>G95=$I$3</formula>
    </cfRule>
    <cfRule type="expression" dxfId="1559" priority="18">
      <formula>G95=$D$3</formula>
    </cfRule>
  </conditionalFormatting>
  <conditionalFormatting sqref="H95:H96">
    <cfRule type="cellIs" dxfId="1558" priority="15" operator="greaterThan">
      <formula>0</formula>
    </cfRule>
  </conditionalFormatting>
  <conditionalFormatting sqref="O139">
    <cfRule type="expression" dxfId="1557" priority="12">
      <formula>O139=$M$3</formula>
    </cfRule>
    <cfRule type="expression" dxfId="1556" priority="13">
      <formula>O139=$I$3</formula>
    </cfRule>
    <cfRule type="expression" dxfId="1555" priority="14">
      <formula>O139=$D$3</formula>
    </cfRule>
  </conditionalFormatting>
  <conditionalFormatting sqref="P139">
    <cfRule type="cellIs" dxfId="1554" priority="11" operator="greaterThan">
      <formula>0</formula>
    </cfRule>
  </conditionalFormatting>
  <conditionalFormatting sqref="M54:M61">
    <cfRule type="expression" dxfId="1553" priority="8">
      <formula>M54=$M$3</formula>
    </cfRule>
    <cfRule type="expression" dxfId="1552" priority="9">
      <formula>M54=$I$3</formula>
    </cfRule>
    <cfRule type="expression" dxfId="1551" priority="10">
      <formula>M54=$D$3</formula>
    </cfRule>
  </conditionalFormatting>
  <conditionalFormatting sqref="O54:O61">
    <cfRule type="expression" dxfId="1550" priority="5">
      <formula>O54=$M$3</formula>
    </cfRule>
    <cfRule type="expression" dxfId="1549" priority="6">
      <formula>O54=$I$3</formula>
    </cfRule>
    <cfRule type="expression" dxfId="1548" priority="7">
      <formula>O54=$D$3</formula>
    </cfRule>
  </conditionalFormatting>
  <conditionalFormatting sqref="P54:P61">
    <cfRule type="cellIs" dxfId="1547" priority="4" operator="greaterThan">
      <formula>0</formula>
    </cfRule>
  </conditionalFormatting>
  <conditionalFormatting sqref="G88">
    <cfRule type="expression" dxfId="1546" priority="1">
      <formula>G88=$M$3</formula>
    </cfRule>
    <cfRule type="expression" dxfId="1545" priority="2">
      <formula>G88=$I$3</formula>
    </cfRule>
    <cfRule type="expression" dxfId="1544" priority="3">
      <formula>G88=$D$3</formula>
    </cfRule>
  </conditionalFormatting>
  <printOptions horizontalCentered="1"/>
  <pageMargins left="0" right="0" top="0.25" bottom="0.25" header="0.3" footer="0.3"/>
  <pageSetup paperSize="9" scale="70" orientation="landscape" horizontalDpi="300" verticalDpi="3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:AE162"/>
  <sheetViews>
    <sheetView zoomScale="110" zoomScaleNormal="110" zoomScaleSheetLayoutView="85" workbookViewId="0">
      <pane xSplit="2" ySplit="6" topLeftCell="C49" activePane="bottomRight" state="frozen"/>
      <selection pane="topRight" activeCell="C1" sqref="C1"/>
      <selection pane="bottomLeft" activeCell="A7" sqref="A7"/>
      <selection pane="bottomRight" activeCell="C76" sqref="C76"/>
    </sheetView>
  </sheetViews>
  <sheetFormatPr defaultColWidth="8.85546875" defaultRowHeight="12.75" x14ac:dyDescent="0.2"/>
  <cols>
    <col min="1" max="1" width="8.5703125" style="140" customWidth="1"/>
    <col min="2" max="2" width="4.7109375" style="140" bestFit="1" customWidth="1"/>
    <col min="3" max="3" width="12.85546875" style="135" bestFit="1" customWidth="1"/>
    <col min="4" max="4" width="8.7109375" style="168" customWidth="1"/>
    <col min="5" max="5" width="14.42578125" style="135" bestFit="1" customWidth="1"/>
    <col min="6" max="6" width="14.42578125" style="135" customWidth="1"/>
    <col min="7" max="7" width="6.28515625" style="136" customWidth="1"/>
    <col min="8" max="8" width="8.5703125" style="170" customWidth="1"/>
    <col min="9" max="9" width="9" style="178" customWidth="1"/>
    <col min="10" max="10" width="8.140625" style="135" bestFit="1" customWidth="1"/>
    <col min="11" max="11" width="6.28515625" style="138" customWidth="1"/>
    <col min="12" max="12" width="8.5703125" style="170" customWidth="1"/>
    <col min="13" max="13" width="8.7109375" style="178" customWidth="1"/>
    <col min="14" max="14" width="13.85546875" style="135" customWidth="1"/>
    <col min="15" max="15" width="6.28515625" style="138" customWidth="1"/>
    <col min="16" max="16" width="8.5703125" style="170" customWidth="1"/>
    <col min="17" max="17" width="8" style="178" bestFit="1" customWidth="1"/>
    <col min="18" max="18" width="8.140625" style="135" bestFit="1" customWidth="1"/>
    <col min="19" max="19" width="6.28515625" style="161" bestFit="1" customWidth="1"/>
    <col min="20" max="20" width="6.28515625" style="198" customWidth="1"/>
    <col min="21" max="21" width="9.7109375" style="170" bestFit="1" customWidth="1"/>
    <col min="22" max="22" width="8" style="178" bestFit="1" customWidth="1"/>
    <col min="23" max="23" width="6" style="135" customWidth="1"/>
    <col min="24" max="24" width="6.28515625" style="198" bestFit="1" customWidth="1"/>
    <col min="25" max="25" width="9.7109375" style="170" bestFit="1" customWidth="1"/>
    <col min="26" max="16384" width="8.85546875" style="135"/>
  </cols>
  <sheetData>
    <row r="1" spans="1:31" s="143" customFormat="1" ht="25.5" x14ac:dyDescent="0.2">
      <c r="A1" s="361" t="s">
        <v>109</v>
      </c>
      <c r="B1" s="361"/>
      <c r="C1" s="361"/>
      <c r="D1" s="361"/>
      <c r="E1" s="361"/>
      <c r="F1" s="361"/>
      <c r="G1" s="361"/>
      <c r="H1" s="361"/>
      <c r="I1" s="361"/>
      <c r="J1" s="361"/>
      <c r="K1" s="361"/>
      <c r="L1" s="207">
        <v>5</v>
      </c>
      <c r="M1" s="362">
        <v>2023</v>
      </c>
      <c r="N1" s="362"/>
      <c r="O1" s="208"/>
      <c r="P1" s="207"/>
      <c r="Q1" s="209"/>
      <c r="R1" s="207"/>
      <c r="S1" s="210"/>
      <c r="T1" s="215"/>
      <c r="U1" s="207"/>
      <c r="V1" s="209"/>
      <c r="W1" s="207"/>
      <c r="X1" s="210"/>
      <c r="Y1" s="207"/>
    </row>
    <row r="2" spans="1:31" s="147" customFormat="1" ht="1.9" customHeight="1" x14ac:dyDescent="0.2">
      <c r="A2" s="144"/>
      <c r="B2" s="144"/>
      <c r="C2" s="144"/>
      <c r="D2" s="174"/>
      <c r="E2" s="144"/>
      <c r="F2" s="144"/>
      <c r="G2" s="144"/>
      <c r="H2" s="144"/>
      <c r="I2" s="176"/>
      <c r="J2" s="144"/>
      <c r="K2" s="156"/>
      <c r="L2" s="145"/>
      <c r="M2" s="176"/>
      <c r="N2" s="146"/>
      <c r="O2" s="156"/>
      <c r="P2" s="145"/>
      <c r="Q2" s="176"/>
      <c r="R2" s="145"/>
      <c r="S2" s="146"/>
      <c r="T2" s="146"/>
      <c r="U2" s="145"/>
      <c r="V2" s="176"/>
      <c r="W2" s="145"/>
      <c r="X2" s="146"/>
      <c r="Y2" s="145"/>
    </row>
    <row r="3" spans="1:31" s="141" customFormat="1" ht="12" customHeight="1" x14ac:dyDescent="0.2">
      <c r="A3" s="181"/>
      <c r="B3" s="181"/>
      <c r="C3" s="181"/>
      <c r="D3" s="182" t="s">
        <v>97</v>
      </c>
      <c r="E3" s="363" t="s">
        <v>111</v>
      </c>
      <c r="F3" s="363"/>
      <c r="G3" s="363"/>
      <c r="H3" s="364"/>
      <c r="I3" s="183" t="s">
        <v>99</v>
      </c>
      <c r="J3" s="363" t="s">
        <v>112</v>
      </c>
      <c r="K3" s="363"/>
      <c r="L3" s="364"/>
      <c r="M3" s="184" t="s">
        <v>100</v>
      </c>
      <c r="N3" s="363" t="s">
        <v>102</v>
      </c>
      <c r="O3" s="363"/>
      <c r="P3" s="363"/>
      <c r="Q3" s="185"/>
      <c r="R3" s="186"/>
      <c r="S3" s="191"/>
      <c r="T3" s="216"/>
      <c r="U3" s="187"/>
      <c r="V3" s="185"/>
      <c r="W3" s="186"/>
      <c r="X3" s="197"/>
      <c r="Y3" s="187"/>
    </row>
    <row r="4" spans="1:31" s="151" customFormat="1" ht="1.9" customHeight="1" x14ac:dyDescent="0.2">
      <c r="A4" s="142"/>
      <c r="B4" s="142"/>
      <c r="C4" s="142"/>
      <c r="D4" s="175"/>
      <c r="E4" s="142"/>
      <c r="F4" s="142"/>
      <c r="G4" s="142"/>
      <c r="H4" s="169"/>
      <c r="I4" s="177"/>
      <c r="J4" s="142"/>
      <c r="K4" s="157"/>
      <c r="L4" s="171"/>
      <c r="M4" s="177"/>
      <c r="N4" s="148"/>
      <c r="O4" s="157"/>
      <c r="P4" s="171"/>
      <c r="Q4" s="177"/>
      <c r="R4" s="149"/>
      <c r="S4" s="150"/>
      <c r="T4" s="150"/>
      <c r="U4" s="171"/>
      <c r="V4" s="177"/>
      <c r="W4" s="149"/>
      <c r="X4" s="150"/>
      <c r="Y4" s="171"/>
    </row>
    <row r="5" spans="1:31" ht="25.5" x14ac:dyDescent="0.2">
      <c r="A5" s="188" t="s">
        <v>21</v>
      </c>
      <c r="B5" s="189" t="s">
        <v>113</v>
      </c>
      <c r="C5" s="190" t="s">
        <v>110</v>
      </c>
      <c r="D5" s="365" t="s">
        <v>107</v>
      </c>
      <c r="E5" s="365"/>
      <c r="F5" s="365"/>
      <c r="G5" s="365"/>
      <c r="H5" s="365"/>
      <c r="I5" s="366" t="s">
        <v>114</v>
      </c>
      <c r="J5" s="366"/>
      <c r="K5" s="366"/>
      <c r="L5" s="366"/>
      <c r="M5" s="367" t="s">
        <v>108</v>
      </c>
      <c r="N5" s="367"/>
      <c r="O5" s="367"/>
      <c r="P5" s="367"/>
      <c r="Q5" s="368" t="s">
        <v>118</v>
      </c>
      <c r="R5" s="368"/>
      <c r="S5" s="368"/>
      <c r="T5" s="368"/>
      <c r="U5" s="368"/>
      <c r="V5" s="357" t="s">
        <v>122</v>
      </c>
      <c r="W5" s="357"/>
      <c r="X5" s="357"/>
      <c r="Y5" s="357"/>
      <c r="Z5" s="199"/>
      <c r="AA5" s="200"/>
      <c r="AB5" s="200"/>
      <c r="AC5" s="200"/>
      <c r="AD5" s="200"/>
      <c r="AE5" s="200"/>
    </row>
    <row r="6" spans="1:31" ht="18" customHeight="1" x14ac:dyDescent="0.2">
      <c r="A6" s="139" t="s">
        <v>34</v>
      </c>
      <c r="B6" s="167"/>
      <c r="C6" s="137">
        <f>SUM(C7:C756)</f>
        <v>3918000</v>
      </c>
      <c r="D6" s="162" t="s">
        <v>101</v>
      </c>
      <c r="E6" s="172" t="s">
        <v>103</v>
      </c>
      <c r="F6" s="172"/>
      <c r="G6" s="162" t="s">
        <v>106</v>
      </c>
      <c r="H6" s="163" t="s">
        <v>8</v>
      </c>
      <c r="I6" s="192" t="s">
        <v>101</v>
      </c>
      <c r="J6" s="172" t="s">
        <v>103</v>
      </c>
      <c r="K6" s="192" t="s">
        <v>106</v>
      </c>
      <c r="L6" s="193" t="s">
        <v>8</v>
      </c>
      <c r="M6" s="158" t="s">
        <v>101</v>
      </c>
      <c r="N6" s="172" t="s">
        <v>103</v>
      </c>
      <c r="O6" s="158" t="s">
        <v>106</v>
      </c>
      <c r="P6" s="154" t="s">
        <v>8</v>
      </c>
      <c r="Q6" s="160" t="s">
        <v>101</v>
      </c>
      <c r="R6" s="172" t="s">
        <v>103</v>
      </c>
      <c r="S6" s="152" t="s">
        <v>106</v>
      </c>
      <c r="T6" s="152" t="s">
        <v>144</v>
      </c>
      <c r="U6" s="153" t="s">
        <v>8</v>
      </c>
      <c r="V6" s="201" t="s">
        <v>101</v>
      </c>
      <c r="W6" s="202" t="s">
        <v>103</v>
      </c>
      <c r="X6" s="202" t="s">
        <v>106</v>
      </c>
      <c r="Y6" s="203" t="s">
        <v>8</v>
      </c>
    </row>
    <row r="7" spans="1:31" ht="16.149999999999999" hidden="1" customHeight="1" x14ac:dyDescent="0.2">
      <c r="A7" s="370">
        <f>DATE(M1,L1,1)</f>
        <v>45047</v>
      </c>
      <c r="B7" s="369" t="str">
        <f>IF(WEEKDAY(A7)=1,"CN","T"&amp;WEEKDAY(A7))</f>
        <v>T2</v>
      </c>
      <c r="C7" s="180">
        <f t="shared" ref="C7:C18" si="0">SUM(D7:U7)</f>
        <v>0</v>
      </c>
      <c r="D7" s="164" t="s">
        <v>116</v>
      </c>
      <c r="E7" s="173"/>
      <c r="F7" s="173"/>
      <c r="G7" s="166"/>
      <c r="H7" s="165"/>
      <c r="I7" s="194" t="s">
        <v>116</v>
      </c>
      <c r="J7" s="173"/>
      <c r="K7" s="196"/>
      <c r="L7" s="195"/>
      <c r="M7" s="179" t="s">
        <v>116</v>
      </c>
      <c r="N7" s="173"/>
      <c r="O7" s="159"/>
      <c r="P7" s="155"/>
      <c r="Q7" s="212" t="s">
        <v>116</v>
      </c>
      <c r="R7" s="173"/>
      <c r="S7" s="213"/>
      <c r="T7" s="213"/>
      <c r="U7" s="214"/>
      <c r="V7" s="204"/>
      <c r="W7" s="173"/>
      <c r="X7" s="206"/>
      <c r="Y7" s="205"/>
    </row>
    <row r="8" spans="1:31" ht="16.149999999999999" hidden="1" customHeight="1" x14ac:dyDescent="0.2">
      <c r="A8" s="370"/>
      <c r="B8" s="369"/>
      <c r="C8" s="180">
        <f t="shared" si="0"/>
        <v>0</v>
      </c>
      <c r="D8" s="164"/>
      <c r="E8" s="173"/>
      <c r="F8" s="173"/>
      <c r="G8" s="166"/>
      <c r="H8" s="165"/>
      <c r="I8" s="194"/>
      <c r="J8" s="173"/>
      <c r="K8" s="196"/>
      <c r="L8" s="195"/>
      <c r="M8" s="179"/>
      <c r="N8" s="173"/>
      <c r="O8" s="159"/>
      <c r="P8" s="155"/>
      <c r="Q8" s="212"/>
      <c r="R8" s="173"/>
      <c r="S8" s="213"/>
      <c r="T8" s="213"/>
      <c r="U8" s="214"/>
      <c r="V8" s="204"/>
      <c r="W8" s="173"/>
      <c r="X8" s="206"/>
      <c r="Y8" s="205"/>
    </row>
    <row r="9" spans="1:31" ht="16.149999999999999" hidden="1" customHeight="1" x14ac:dyDescent="0.2">
      <c r="A9" s="370"/>
      <c r="B9" s="369"/>
      <c r="C9" s="180">
        <f t="shared" si="0"/>
        <v>0</v>
      </c>
      <c r="D9" s="164"/>
      <c r="E9" s="173"/>
      <c r="F9" s="173"/>
      <c r="G9" s="166"/>
      <c r="H9" s="165"/>
      <c r="I9" s="194"/>
      <c r="J9" s="173"/>
      <c r="K9" s="196"/>
      <c r="L9" s="195"/>
      <c r="M9" s="179"/>
      <c r="N9" s="173"/>
      <c r="O9" s="159"/>
      <c r="P9" s="155"/>
      <c r="Q9" s="212"/>
      <c r="R9" s="173"/>
      <c r="S9" s="213"/>
      <c r="T9" s="213"/>
      <c r="U9" s="214"/>
      <c r="V9" s="204"/>
      <c r="W9" s="173"/>
      <c r="X9" s="206"/>
      <c r="Y9" s="205"/>
    </row>
    <row r="10" spans="1:31" ht="16.149999999999999" hidden="1" customHeight="1" x14ac:dyDescent="0.2">
      <c r="A10" s="370"/>
      <c r="B10" s="369"/>
      <c r="C10" s="180">
        <f t="shared" si="0"/>
        <v>0</v>
      </c>
      <c r="D10" s="164"/>
      <c r="E10" s="173"/>
      <c r="F10" s="173"/>
      <c r="G10" s="166"/>
      <c r="H10" s="165"/>
      <c r="I10" s="194"/>
      <c r="J10" s="173"/>
      <c r="K10" s="196"/>
      <c r="L10" s="195"/>
      <c r="M10" s="179"/>
      <c r="N10" s="173"/>
      <c r="O10" s="159"/>
      <c r="P10" s="155"/>
      <c r="Q10" s="212"/>
      <c r="R10" s="173"/>
      <c r="S10" s="213"/>
      <c r="T10" s="213"/>
      <c r="U10" s="214"/>
      <c r="V10" s="204"/>
      <c r="W10" s="173"/>
      <c r="X10" s="206"/>
      <c r="Y10" s="205"/>
    </row>
    <row r="11" spans="1:31" ht="16.149999999999999" hidden="1" customHeight="1" x14ac:dyDescent="0.2">
      <c r="A11" s="370">
        <f>A7+1</f>
        <v>45048</v>
      </c>
      <c r="B11" s="369" t="str">
        <f>IF(WEEKDAY(A11)=1,"CN","T"&amp;WEEKDAY(A11))</f>
        <v>T3</v>
      </c>
      <c r="C11" s="180">
        <f t="shared" si="0"/>
        <v>76000</v>
      </c>
      <c r="D11" s="164" t="s">
        <v>104</v>
      </c>
      <c r="E11" s="173"/>
      <c r="F11" s="173"/>
      <c r="G11" s="166" t="s">
        <v>99</v>
      </c>
      <c r="H11" s="165">
        <v>11000</v>
      </c>
      <c r="I11" s="194" t="s">
        <v>129</v>
      </c>
      <c r="J11" s="173"/>
      <c r="K11" s="196"/>
      <c r="L11" s="195"/>
      <c r="M11" s="179" t="s">
        <v>115</v>
      </c>
      <c r="N11" s="173" t="s">
        <v>126</v>
      </c>
      <c r="O11" s="159" t="s">
        <v>99</v>
      </c>
      <c r="P11" s="155">
        <v>35000</v>
      </c>
      <c r="Q11" s="212" t="s">
        <v>131</v>
      </c>
      <c r="R11" s="173"/>
      <c r="S11" s="213" t="s">
        <v>99</v>
      </c>
      <c r="T11" s="213"/>
      <c r="U11" s="214">
        <v>30000</v>
      </c>
      <c r="V11" s="204"/>
      <c r="W11" s="173"/>
      <c r="X11" s="206"/>
      <c r="Y11" s="205"/>
    </row>
    <row r="12" spans="1:31" ht="16.149999999999999" hidden="1" customHeight="1" x14ac:dyDescent="0.2">
      <c r="A12" s="370"/>
      <c r="B12" s="369"/>
      <c r="C12" s="180">
        <f t="shared" si="0"/>
        <v>32000</v>
      </c>
      <c r="D12" s="164" t="s">
        <v>115</v>
      </c>
      <c r="E12" s="173" t="s">
        <v>126</v>
      </c>
      <c r="F12" s="173"/>
      <c r="G12" s="166" t="s">
        <v>99</v>
      </c>
      <c r="H12" s="165">
        <v>25000</v>
      </c>
      <c r="I12" s="194"/>
      <c r="J12" s="173"/>
      <c r="K12" s="196"/>
      <c r="L12" s="195"/>
      <c r="M12" s="179"/>
      <c r="N12" s="173"/>
      <c r="O12" s="159"/>
      <c r="P12" s="155"/>
      <c r="Q12" s="212" t="s">
        <v>131</v>
      </c>
      <c r="R12" s="173"/>
      <c r="S12" s="213" t="s">
        <v>99</v>
      </c>
      <c r="T12" s="213"/>
      <c r="U12" s="214">
        <v>7000</v>
      </c>
      <c r="V12" s="204"/>
      <c r="W12" s="173"/>
      <c r="X12" s="206"/>
      <c r="Y12" s="205"/>
    </row>
    <row r="13" spans="1:31" ht="16.149999999999999" hidden="1" customHeight="1" x14ac:dyDescent="0.2">
      <c r="A13" s="370"/>
      <c r="B13" s="369"/>
      <c r="C13" s="180">
        <f t="shared" si="0"/>
        <v>0</v>
      </c>
      <c r="D13" s="164"/>
      <c r="E13" s="173"/>
      <c r="F13" s="173"/>
      <c r="G13" s="166"/>
      <c r="H13" s="165"/>
      <c r="I13" s="194"/>
      <c r="J13" s="173"/>
      <c r="K13" s="196"/>
      <c r="L13" s="195"/>
      <c r="M13" s="179"/>
      <c r="N13" s="173"/>
      <c r="O13" s="159"/>
      <c r="P13" s="155"/>
      <c r="Q13" s="212"/>
      <c r="R13" s="173"/>
      <c r="S13" s="213"/>
      <c r="T13" s="213"/>
      <c r="U13" s="214"/>
      <c r="V13" s="204"/>
      <c r="W13" s="173"/>
      <c r="X13" s="206"/>
      <c r="Y13" s="205"/>
    </row>
    <row r="14" spans="1:31" ht="16.149999999999999" hidden="1" customHeight="1" x14ac:dyDescent="0.2">
      <c r="A14" s="370"/>
      <c r="B14" s="369"/>
      <c r="C14" s="180">
        <f t="shared" si="0"/>
        <v>0</v>
      </c>
      <c r="D14" s="164"/>
      <c r="E14" s="173"/>
      <c r="F14" s="173"/>
      <c r="G14" s="166"/>
      <c r="H14" s="165"/>
      <c r="I14" s="194"/>
      <c r="J14" s="173"/>
      <c r="K14" s="196"/>
      <c r="L14" s="195"/>
      <c r="M14" s="179"/>
      <c r="N14" s="173"/>
      <c r="O14" s="159"/>
      <c r="P14" s="155"/>
      <c r="Q14" s="212"/>
      <c r="R14" s="173"/>
      <c r="S14" s="213"/>
      <c r="T14" s="213"/>
      <c r="U14" s="214"/>
      <c r="V14" s="204"/>
      <c r="W14" s="173"/>
      <c r="X14" s="206"/>
      <c r="Y14" s="205"/>
    </row>
    <row r="15" spans="1:31" ht="16.149999999999999" hidden="1" customHeight="1" x14ac:dyDescent="0.2">
      <c r="A15" s="370">
        <f>A11+1</f>
        <v>45049</v>
      </c>
      <c r="B15" s="369" t="str">
        <f>IF(WEEKDAY(A15)=1,"CN","T"&amp;WEEKDAY(A15))</f>
        <v>T4</v>
      </c>
      <c r="C15" s="180">
        <f t="shared" si="0"/>
        <v>108000</v>
      </c>
      <c r="D15" s="164" t="s">
        <v>115</v>
      </c>
      <c r="E15" s="173" t="s">
        <v>126</v>
      </c>
      <c r="F15" s="173"/>
      <c r="G15" s="166" t="s">
        <v>99</v>
      </c>
      <c r="H15" s="165">
        <v>28000</v>
      </c>
      <c r="I15" s="194" t="s">
        <v>130</v>
      </c>
      <c r="J15" s="173"/>
      <c r="K15" s="196"/>
      <c r="L15" s="195"/>
      <c r="M15" s="179" t="s">
        <v>115</v>
      </c>
      <c r="N15" s="173" t="s">
        <v>126</v>
      </c>
      <c r="O15" s="159" t="s">
        <v>99</v>
      </c>
      <c r="P15" s="155">
        <v>40000</v>
      </c>
      <c r="Q15" s="212" t="s">
        <v>131</v>
      </c>
      <c r="R15" s="173"/>
      <c r="S15" s="213" t="s">
        <v>99</v>
      </c>
      <c r="T15" s="213"/>
      <c r="U15" s="214">
        <v>40000</v>
      </c>
      <c r="V15" s="204"/>
      <c r="W15" s="173"/>
      <c r="X15" s="206"/>
      <c r="Y15" s="205"/>
    </row>
    <row r="16" spans="1:31" ht="16.149999999999999" hidden="1" customHeight="1" x14ac:dyDescent="0.2">
      <c r="A16" s="370"/>
      <c r="B16" s="369"/>
      <c r="C16" s="180">
        <f t="shared" si="0"/>
        <v>12000</v>
      </c>
      <c r="D16" s="164" t="s">
        <v>117</v>
      </c>
      <c r="E16" s="173"/>
      <c r="F16" s="173"/>
      <c r="G16" s="166" t="s">
        <v>99</v>
      </c>
      <c r="H16" s="165">
        <v>12000</v>
      </c>
      <c r="I16" s="194"/>
      <c r="J16" s="173"/>
      <c r="K16" s="196"/>
      <c r="L16" s="195"/>
      <c r="M16" s="179"/>
      <c r="N16" s="173"/>
      <c r="O16" s="159"/>
      <c r="P16" s="155"/>
      <c r="Q16" s="212"/>
      <c r="R16" s="173"/>
      <c r="S16" s="213"/>
      <c r="T16" s="213"/>
      <c r="U16" s="214"/>
      <c r="V16" s="204"/>
      <c r="W16" s="173"/>
      <c r="X16" s="206"/>
      <c r="Y16" s="205"/>
    </row>
    <row r="17" spans="1:25" ht="16.149999999999999" hidden="1" customHeight="1" x14ac:dyDescent="0.2">
      <c r="A17" s="370"/>
      <c r="B17" s="369"/>
      <c r="C17" s="180">
        <f t="shared" si="0"/>
        <v>0</v>
      </c>
      <c r="D17" s="164"/>
      <c r="E17" s="173"/>
      <c r="F17" s="173"/>
      <c r="G17" s="166"/>
      <c r="H17" s="165"/>
      <c r="I17" s="194"/>
      <c r="J17" s="173"/>
      <c r="K17" s="196"/>
      <c r="L17" s="195"/>
      <c r="M17" s="179"/>
      <c r="N17" s="173"/>
      <c r="O17" s="159"/>
      <c r="P17" s="155"/>
      <c r="Q17" s="212"/>
      <c r="R17" s="173"/>
      <c r="S17" s="213"/>
      <c r="T17" s="213"/>
      <c r="U17" s="214"/>
      <c r="V17" s="204"/>
      <c r="W17" s="173"/>
      <c r="X17" s="206"/>
      <c r="Y17" s="205"/>
    </row>
    <row r="18" spans="1:25" ht="16.149999999999999" hidden="1" customHeight="1" x14ac:dyDescent="0.2">
      <c r="A18" s="370"/>
      <c r="B18" s="369"/>
      <c r="C18" s="180">
        <f t="shared" si="0"/>
        <v>0</v>
      </c>
      <c r="D18" s="164"/>
      <c r="E18" s="173"/>
      <c r="F18" s="173"/>
      <c r="G18" s="166"/>
      <c r="H18" s="165"/>
      <c r="I18" s="194"/>
      <c r="J18" s="173"/>
      <c r="K18" s="196"/>
      <c r="L18" s="195"/>
      <c r="M18" s="179"/>
      <c r="N18" s="173"/>
      <c r="O18" s="159"/>
      <c r="P18" s="155"/>
      <c r="Q18" s="212"/>
      <c r="R18" s="173"/>
      <c r="S18" s="213"/>
      <c r="T18" s="213"/>
      <c r="U18" s="214"/>
      <c r="V18" s="204"/>
      <c r="W18" s="173"/>
      <c r="X18" s="206"/>
      <c r="Y18" s="205"/>
    </row>
    <row r="19" spans="1:25" ht="16.149999999999999" hidden="1" customHeight="1" x14ac:dyDescent="0.2">
      <c r="A19" s="370">
        <f>A15+1</f>
        <v>45050</v>
      </c>
      <c r="B19" s="369" t="str">
        <f>IF(WEEKDAY(A19)=1,"CN","T"&amp;WEEKDAY(A19))</f>
        <v>T5</v>
      </c>
      <c r="C19" s="180">
        <f>SUM(D19:U19)</f>
        <v>31000</v>
      </c>
      <c r="D19" s="164" t="s">
        <v>117</v>
      </c>
      <c r="E19" s="173"/>
      <c r="F19" s="173"/>
      <c r="G19" s="166" t="s">
        <v>99</v>
      </c>
      <c r="H19" s="165">
        <v>20000</v>
      </c>
      <c r="I19" s="194" t="s">
        <v>130</v>
      </c>
      <c r="J19" s="173"/>
      <c r="K19" s="196"/>
      <c r="L19" s="195"/>
      <c r="M19" s="179" t="s">
        <v>115</v>
      </c>
      <c r="N19" s="173" t="s">
        <v>126</v>
      </c>
      <c r="O19" s="159" t="s">
        <v>99</v>
      </c>
      <c r="P19" s="155">
        <v>3000</v>
      </c>
      <c r="Q19" s="212" t="s">
        <v>131</v>
      </c>
      <c r="R19" s="173"/>
      <c r="S19" s="213" t="s">
        <v>99</v>
      </c>
      <c r="T19" s="213"/>
      <c r="U19" s="214">
        <v>8000</v>
      </c>
      <c r="V19" s="204"/>
      <c r="W19" s="173"/>
      <c r="X19" s="206"/>
      <c r="Y19" s="205"/>
    </row>
    <row r="20" spans="1:25" ht="16.149999999999999" hidden="1" customHeight="1" x14ac:dyDescent="0.2">
      <c r="A20" s="370"/>
      <c r="B20" s="369"/>
      <c r="C20" s="180">
        <f>SUM(D20:U20)</f>
        <v>56000</v>
      </c>
      <c r="D20" s="164" t="s">
        <v>123</v>
      </c>
      <c r="E20" s="173" t="s">
        <v>120</v>
      </c>
      <c r="F20" s="173"/>
      <c r="G20" s="166" t="s">
        <v>97</v>
      </c>
      <c r="H20" s="165">
        <v>20000</v>
      </c>
      <c r="I20" s="194"/>
      <c r="J20" s="173"/>
      <c r="K20" s="196"/>
      <c r="L20" s="195"/>
      <c r="M20" s="179" t="s">
        <v>117</v>
      </c>
      <c r="N20" s="173"/>
      <c r="O20" s="159" t="s">
        <v>99</v>
      </c>
      <c r="P20" s="155">
        <v>23000</v>
      </c>
      <c r="Q20" s="212" t="s">
        <v>104</v>
      </c>
      <c r="R20" s="173"/>
      <c r="S20" s="213" t="s">
        <v>99</v>
      </c>
      <c r="T20" s="213"/>
      <c r="U20" s="214">
        <v>13000</v>
      </c>
      <c r="V20" s="204"/>
      <c r="W20" s="173"/>
      <c r="X20" s="206"/>
      <c r="Y20" s="205"/>
    </row>
    <row r="21" spans="1:25" ht="16.149999999999999" hidden="1" customHeight="1" x14ac:dyDescent="0.2">
      <c r="A21" s="370"/>
      <c r="B21" s="369"/>
      <c r="C21" s="180">
        <f>SUM(D21:U21)</f>
        <v>24000</v>
      </c>
      <c r="D21" s="164"/>
      <c r="E21" s="173"/>
      <c r="F21" s="173"/>
      <c r="G21" s="166"/>
      <c r="H21" s="165"/>
      <c r="I21" s="194"/>
      <c r="J21" s="173"/>
      <c r="K21" s="196"/>
      <c r="L21" s="195"/>
      <c r="M21" s="179" t="s">
        <v>105</v>
      </c>
      <c r="N21" s="173"/>
      <c r="O21" s="159" t="s">
        <v>97</v>
      </c>
      <c r="P21" s="155">
        <v>5000</v>
      </c>
      <c r="Q21" s="212" t="s">
        <v>117</v>
      </c>
      <c r="R21" s="173"/>
      <c r="S21" s="213" t="s">
        <v>97</v>
      </c>
      <c r="T21" s="213"/>
      <c r="U21" s="214">
        <v>19000</v>
      </c>
      <c r="V21" s="204"/>
      <c r="W21" s="173"/>
      <c r="X21" s="206"/>
      <c r="Y21" s="205"/>
    </row>
    <row r="22" spans="1:25" ht="16.149999999999999" hidden="1" customHeight="1" x14ac:dyDescent="0.2">
      <c r="A22" s="370"/>
      <c r="B22" s="369"/>
      <c r="C22" s="180">
        <f>SUM(D22:U22)</f>
        <v>8000</v>
      </c>
      <c r="D22" s="164"/>
      <c r="E22" s="173"/>
      <c r="F22" s="173"/>
      <c r="G22" s="166"/>
      <c r="H22" s="165"/>
      <c r="I22" s="194"/>
      <c r="J22" s="173"/>
      <c r="K22" s="196"/>
      <c r="L22" s="195"/>
      <c r="M22" s="179" t="s">
        <v>119</v>
      </c>
      <c r="N22" s="173"/>
      <c r="O22" s="159" t="s">
        <v>97</v>
      </c>
      <c r="P22" s="155">
        <v>8000</v>
      </c>
      <c r="Q22" s="212"/>
      <c r="R22" s="173"/>
      <c r="S22" s="213"/>
      <c r="T22" s="213"/>
      <c r="U22" s="214"/>
      <c r="V22" s="204"/>
      <c r="W22" s="173"/>
      <c r="X22" s="206"/>
      <c r="Y22" s="205"/>
    </row>
    <row r="23" spans="1:25" ht="16.149999999999999" hidden="1" customHeight="1" x14ac:dyDescent="0.2">
      <c r="A23" s="370">
        <f>A19+1</f>
        <v>45051</v>
      </c>
      <c r="B23" s="369" t="str">
        <f>IF(WEEKDAY(A23)=1,"CN","T"&amp;WEEKDAY(A23))</f>
        <v>T6</v>
      </c>
      <c r="C23" s="180">
        <f t="shared" ref="C23:C34" si="1">SUM(D23:U23)</f>
        <v>60000</v>
      </c>
      <c r="D23" s="164"/>
      <c r="E23" s="173"/>
      <c r="F23" s="173"/>
      <c r="G23" s="166"/>
      <c r="H23" s="165"/>
      <c r="I23" s="194" t="s">
        <v>130</v>
      </c>
      <c r="J23" s="173"/>
      <c r="K23" s="196"/>
      <c r="L23" s="195"/>
      <c r="M23" s="179" t="s">
        <v>123</v>
      </c>
      <c r="N23" s="173" t="s">
        <v>120</v>
      </c>
      <c r="O23" s="159" t="s">
        <v>97</v>
      </c>
      <c r="P23" s="155">
        <v>20000</v>
      </c>
      <c r="Q23" s="212" t="s">
        <v>117</v>
      </c>
      <c r="R23" s="173"/>
      <c r="S23" s="213" t="s">
        <v>99</v>
      </c>
      <c r="T23" s="213"/>
      <c r="U23" s="214">
        <v>40000</v>
      </c>
      <c r="V23" s="204"/>
      <c r="W23" s="173"/>
      <c r="X23" s="206"/>
      <c r="Y23" s="205"/>
    </row>
    <row r="24" spans="1:25" ht="16.149999999999999" hidden="1" customHeight="1" x14ac:dyDescent="0.2">
      <c r="A24" s="370"/>
      <c r="B24" s="369"/>
      <c r="C24" s="180">
        <f t="shared" si="1"/>
        <v>63000</v>
      </c>
      <c r="D24" s="164" t="s">
        <v>123</v>
      </c>
      <c r="E24" s="173" t="s">
        <v>120</v>
      </c>
      <c r="F24" s="173"/>
      <c r="G24" s="166" t="s">
        <v>97</v>
      </c>
      <c r="H24" s="165">
        <v>40000</v>
      </c>
      <c r="I24" s="194"/>
      <c r="J24" s="173"/>
      <c r="K24" s="196"/>
      <c r="L24" s="195"/>
      <c r="M24" s="179" t="s">
        <v>124</v>
      </c>
      <c r="N24" s="173" t="s">
        <v>132</v>
      </c>
      <c r="O24" s="159" t="s">
        <v>99</v>
      </c>
      <c r="P24" s="155">
        <v>23000</v>
      </c>
      <c r="Q24" s="212"/>
      <c r="R24" s="173"/>
      <c r="S24" s="213"/>
      <c r="T24" s="213"/>
      <c r="U24" s="214"/>
      <c r="V24" s="204"/>
      <c r="W24" s="173"/>
      <c r="X24" s="206"/>
      <c r="Y24" s="205"/>
    </row>
    <row r="25" spans="1:25" ht="16.149999999999999" hidden="1" customHeight="1" x14ac:dyDescent="0.2">
      <c r="A25" s="370"/>
      <c r="B25" s="369"/>
      <c r="C25" s="180">
        <f t="shared" si="1"/>
        <v>0</v>
      </c>
      <c r="D25" s="164"/>
      <c r="E25" s="173"/>
      <c r="F25" s="173"/>
      <c r="G25" s="166"/>
      <c r="H25" s="165"/>
      <c r="I25" s="194"/>
      <c r="J25" s="173"/>
      <c r="K25" s="196"/>
      <c r="L25" s="195"/>
      <c r="M25" s="179"/>
      <c r="N25" s="173"/>
      <c r="O25" s="159"/>
      <c r="P25" s="155"/>
      <c r="Q25" s="212"/>
      <c r="R25" s="173"/>
      <c r="S25" s="213"/>
      <c r="T25" s="213"/>
      <c r="U25" s="214"/>
      <c r="V25" s="204"/>
      <c r="W25" s="173"/>
      <c r="X25" s="206"/>
      <c r="Y25" s="205"/>
    </row>
    <row r="26" spans="1:25" ht="16.149999999999999" hidden="1" customHeight="1" x14ac:dyDescent="0.2">
      <c r="A26" s="370"/>
      <c r="B26" s="369"/>
      <c r="C26" s="180">
        <f t="shared" si="1"/>
        <v>0</v>
      </c>
      <c r="D26" s="164"/>
      <c r="E26" s="173"/>
      <c r="F26" s="173"/>
      <c r="G26" s="166"/>
      <c r="H26" s="165"/>
      <c r="I26" s="194"/>
      <c r="J26" s="173"/>
      <c r="K26" s="196"/>
      <c r="L26" s="195"/>
      <c r="M26" s="179"/>
      <c r="N26" s="173"/>
      <c r="O26" s="159"/>
      <c r="P26" s="155"/>
      <c r="Q26" s="212"/>
      <c r="R26" s="173"/>
      <c r="S26" s="213"/>
      <c r="T26" s="213"/>
      <c r="U26" s="214"/>
      <c r="V26" s="204"/>
      <c r="W26" s="173"/>
      <c r="X26" s="206"/>
      <c r="Y26" s="205"/>
    </row>
    <row r="27" spans="1:25" ht="16.149999999999999" hidden="1" customHeight="1" x14ac:dyDescent="0.2">
      <c r="A27" s="370">
        <f>A23+1</f>
        <v>45052</v>
      </c>
      <c r="B27" s="369" t="str">
        <f>IF(WEEKDAY(A27)=1,"CN","T"&amp;WEEKDAY(A27))</f>
        <v>T7</v>
      </c>
      <c r="C27" s="180">
        <f t="shared" si="1"/>
        <v>44000</v>
      </c>
      <c r="D27" s="164" t="s">
        <v>123</v>
      </c>
      <c r="E27" s="173" t="s">
        <v>120</v>
      </c>
      <c r="F27" s="173"/>
      <c r="G27" s="166" t="s">
        <v>97</v>
      </c>
      <c r="H27" s="165">
        <v>20000</v>
      </c>
      <c r="I27" s="194" t="s">
        <v>130</v>
      </c>
      <c r="J27" s="173"/>
      <c r="K27" s="196"/>
      <c r="L27" s="195"/>
      <c r="M27" s="179" t="s">
        <v>124</v>
      </c>
      <c r="N27" s="173" t="s">
        <v>132</v>
      </c>
      <c r="O27" s="159" t="s">
        <v>99</v>
      </c>
      <c r="P27" s="155">
        <v>4000</v>
      </c>
      <c r="Q27" s="212" t="s">
        <v>117</v>
      </c>
      <c r="R27" s="173"/>
      <c r="S27" s="213" t="s">
        <v>99</v>
      </c>
      <c r="T27" s="213"/>
      <c r="U27" s="214">
        <v>20000</v>
      </c>
      <c r="V27" s="204"/>
      <c r="W27" s="173"/>
      <c r="X27" s="206"/>
      <c r="Y27" s="205"/>
    </row>
    <row r="28" spans="1:25" ht="16.149999999999999" hidden="1" customHeight="1" x14ac:dyDescent="0.2">
      <c r="A28" s="370"/>
      <c r="B28" s="369"/>
      <c r="C28" s="180">
        <f t="shared" si="1"/>
        <v>67000</v>
      </c>
      <c r="D28" s="164" t="s">
        <v>115</v>
      </c>
      <c r="E28" s="173" t="s">
        <v>126</v>
      </c>
      <c r="F28" s="173"/>
      <c r="G28" s="166" t="s">
        <v>99</v>
      </c>
      <c r="H28" s="165">
        <v>20000</v>
      </c>
      <c r="I28" s="194"/>
      <c r="J28" s="173"/>
      <c r="K28" s="196"/>
      <c r="L28" s="195"/>
      <c r="M28" s="179" t="s">
        <v>124</v>
      </c>
      <c r="N28" s="173" t="s">
        <v>133</v>
      </c>
      <c r="O28" s="159" t="s">
        <v>99</v>
      </c>
      <c r="P28" s="155">
        <v>27000</v>
      </c>
      <c r="Q28" s="212" t="s">
        <v>115</v>
      </c>
      <c r="R28" s="173" t="s">
        <v>126</v>
      </c>
      <c r="S28" s="213" t="s">
        <v>99</v>
      </c>
      <c r="T28" s="213"/>
      <c r="U28" s="214">
        <v>20000</v>
      </c>
      <c r="V28" s="204"/>
      <c r="W28" s="173"/>
      <c r="X28" s="206"/>
      <c r="Y28" s="205"/>
    </row>
    <row r="29" spans="1:25" ht="16.149999999999999" hidden="1" customHeight="1" x14ac:dyDescent="0.2">
      <c r="A29" s="370"/>
      <c r="B29" s="369"/>
      <c r="C29" s="180">
        <f t="shared" si="1"/>
        <v>9000</v>
      </c>
      <c r="D29" s="164"/>
      <c r="E29" s="173"/>
      <c r="F29" s="173"/>
      <c r="G29" s="166"/>
      <c r="H29" s="165"/>
      <c r="I29" s="194"/>
      <c r="J29" s="173"/>
      <c r="K29" s="196"/>
      <c r="L29" s="195"/>
      <c r="M29" s="179" t="s">
        <v>115</v>
      </c>
      <c r="N29" s="173" t="s">
        <v>127</v>
      </c>
      <c r="O29" s="159" t="s">
        <v>99</v>
      </c>
      <c r="P29" s="155">
        <v>9000</v>
      </c>
      <c r="Q29" s="212"/>
      <c r="R29" s="173"/>
      <c r="S29" s="213"/>
      <c r="T29" s="213"/>
      <c r="U29" s="214"/>
      <c r="V29" s="204"/>
      <c r="W29" s="173"/>
      <c r="X29" s="206"/>
      <c r="Y29" s="205"/>
    </row>
    <row r="30" spans="1:25" ht="16.149999999999999" hidden="1" customHeight="1" x14ac:dyDescent="0.2">
      <c r="A30" s="370"/>
      <c r="B30" s="369"/>
      <c r="C30" s="180">
        <f t="shared" si="1"/>
        <v>0</v>
      </c>
      <c r="D30" s="164"/>
      <c r="E30" s="173"/>
      <c r="F30" s="173"/>
      <c r="G30" s="166"/>
      <c r="H30" s="165"/>
      <c r="I30" s="194"/>
      <c r="J30" s="173"/>
      <c r="K30" s="196"/>
      <c r="L30" s="195"/>
      <c r="M30" s="179"/>
      <c r="N30" s="173"/>
      <c r="O30" s="159"/>
      <c r="P30" s="155"/>
      <c r="Q30" s="212"/>
      <c r="R30" s="173"/>
      <c r="S30" s="213"/>
      <c r="T30" s="213"/>
      <c r="U30" s="214"/>
      <c r="V30" s="204"/>
      <c r="W30" s="173"/>
      <c r="X30" s="206"/>
      <c r="Y30" s="205"/>
    </row>
    <row r="31" spans="1:25" ht="16.149999999999999" customHeight="1" x14ac:dyDescent="0.2">
      <c r="A31" s="370">
        <f>A27+1</f>
        <v>45053</v>
      </c>
      <c r="B31" s="369" t="str">
        <f>IF(WEEKDAY(A31)=1,"CN","T"&amp;WEEKDAY(A31))</f>
        <v>CN</v>
      </c>
      <c r="C31" s="180">
        <f t="shared" si="1"/>
        <v>78000</v>
      </c>
      <c r="D31" s="164" t="s">
        <v>125</v>
      </c>
      <c r="E31" s="173" t="s">
        <v>135</v>
      </c>
      <c r="F31" s="173"/>
      <c r="G31" s="166" t="s">
        <v>99</v>
      </c>
      <c r="H31" s="165">
        <v>38000</v>
      </c>
      <c r="I31" s="194"/>
      <c r="J31" s="173"/>
      <c r="K31" s="196"/>
      <c r="L31" s="195"/>
      <c r="M31" s="179" t="s">
        <v>115</v>
      </c>
      <c r="N31" s="173" t="s">
        <v>127</v>
      </c>
      <c r="O31" s="159" t="s">
        <v>99</v>
      </c>
      <c r="P31" s="155">
        <v>40000</v>
      </c>
      <c r="Q31" s="212"/>
      <c r="R31" s="173"/>
      <c r="S31" s="213"/>
      <c r="T31" s="213"/>
      <c r="U31" s="214"/>
      <c r="V31" s="204"/>
      <c r="W31" s="173"/>
      <c r="X31" s="206"/>
      <c r="Y31" s="205"/>
    </row>
    <row r="32" spans="1:25" ht="16.149999999999999" customHeight="1" x14ac:dyDescent="0.2">
      <c r="A32" s="370"/>
      <c r="B32" s="369"/>
      <c r="C32" s="180">
        <f t="shared" si="1"/>
        <v>0</v>
      </c>
      <c r="D32" s="164"/>
      <c r="E32" s="173"/>
      <c r="F32" s="173"/>
      <c r="G32" s="166"/>
      <c r="H32" s="165"/>
      <c r="I32" s="194"/>
      <c r="J32" s="173"/>
      <c r="K32" s="196"/>
      <c r="L32" s="195"/>
      <c r="M32" s="179"/>
      <c r="N32" s="173"/>
      <c r="O32" s="159"/>
      <c r="P32" s="155"/>
      <c r="Q32" s="212"/>
      <c r="R32" s="173"/>
      <c r="S32" s="213"/>
      <c r="T32" s="213"/>
      <c r="U32" s="214"/>
      <c r="V32" s="204"/>
      <c r="W32" s="173"/>
      <c r="X32" s="206"/>
      <c r="Y32" s="205"/>
    </row>
    <row r="33" spans="1:25" ht="16.149999999999999" customHeight="1" x14ac:dyDescent="0.2">
      <c r="A33" s="370"/>
      <c r="B33" s="369"/>
      <c r="C33" s="180">
        <f t="shared" si="1"/>
        <v>0</v>
      </c>
      <c r="D33" s="164"/>
      <c r="E33" s="173"/>
      <c r="F33" s="173"/>
      <c r="G33" s="166"/>
      <c r="H33" s="165"/>
      <c r="I33" s="194"/>
      <c r="J33" s="173"/>
      <c r="K33" s="196"/>
      <c r="L33" s="195"/>
      <c r="M33" s="179"/>
      <c r="N33" s="173"/>
      <c r="O33" s="159"/>
      <c r="P33" s="155"/>
      <c r="Q33" s="212"/>
      <c r="R33" s="173"/>
      <c r="S33" s="213"/>
      <c r="T33" s="213"/>
      <c r="U33" s="214"/>
      <c r="V33" s="204"/>
      <c r="W33" s="173"/>
      <c r="X33" s="206"/>
      <c r="Y33" s="205"/>
    </row>
    <row r="34" spans="1:25" ht="16.149999999999999" customHeight="1" x14ac:dyDescent="0.2">
      <c r="A34" s="370"/>
      <c r="B34" s="369"/>
      <c r="C34" s="180">
        <f t="shared" si="1"/>
        <v>0</v>
      </c>
      <c r="D34" s="164"/>
      <c r="E34" s="173"/>
      <c r="F34" s="173"/>
      <c r="G34" s="166"/>
      <c r="H34" s="165"/>
      <c r="I34" s="194"/>
      <c r="J34" s="173"/>
      <c r="K34" s="196"/>
      <c r="L34" s="195"/>
      <c r="M34" s="179"/>
      <c r="N34" s="173"/>
      <c r="O34" s="159"/>
      <c r="P34" s="155"/>
      <c r="Q34" s="212"/>
      <c r="R34" s="173"/>
      <c r="S34" s="213"/>
      <c r="T34" s="213"/>
      <c r="U34" s="214"/>
      <c r="V34" s="204"/>
      <c r="W34" s="173"/>
      <c r="X34" s="206"/>
      <c r="Y34" s="205"/>
    </row>
    <row r="35" spans="1:25" ht="16.149999999999999" customHeight="1" x14ac:dyDescent="0.2">
      <c r="A35" s="370">
        <f>A31+1</f>
        <v>45054</v>
      </c>
      <c r="B35" s="369" t="str">
        <f>IF(WEEKDAY(A35)=1,"CN","T"&amp;WEEKDAY(A35))</f>
        <v>T2</v>
      </c>
      <c r="C35" s="180">
        <f t="shared" ref="C35:C98" si="2">SUM(D35:U35)</f>
        <v>78000</v>
      </c>
      <c r="D35" s="164" t="s">
        <v>115</v>
      </c>
      <c r="E35" s="173" t="s">
        <v>127</v>
      </c>
      <c r="F35" s="173"/>
      <c r="G35" s="166" t="s">
        <v>99</v>
      </c>
      <c r="H35" s="165">
        <v>38000</v>
      </c>
      <c r="I35" s="194"/>
      <c r="J35" s="173"/>
      <c r="K35" s="196"/>
      <c r="L35" s="195"/>
      <c r="M35" s="179" t="s">
        <v>115</v>
      </c>
      <c r="N35" s="173" t="s">
        <v>127</v>
      </c>
      <c r="O35" s="159"/>
      <c r="P35" s="155">
        <v>40000</v>
      </c>
      <c r="Q35" s="212"/>
      <c r="R35" s="173"/>
      <c r="S35" s="213"/>
      <c r="T35" s="213"/>
      <c r="U35" s="214"/>
      <c r="V35" s="204"/>
      <c r="W35" s="173"/>
      <c r="X35" s="206"/>
      <c r="Y35" s="205"/>
    </row>
    <row r="36" spans="1:25" ht="16.149999999999999" customHeight="1" x14ac:dyDescent="0.2">
      <c r="A36" s="370"/>
      <c r="B36" s="369"/>
      <c r="C36" s="180">
        <f t="shared" si="2"/>
        <v>0</v>
      </c>
      <c r="D36" s="164"/>
      <c r="E36" s="173"/>
      <c r="F36" s="173"/>
      <c r="G36" s="166"/>
      <c r="H36" s="165"/>
      <c r="I36" s="194"/>
      <c r="J36" s="173"/>
      <c r="K36" s="196"/>
      <c r="L36" s="195"/>
      <c r="M36" s="179"/>
      <c r="N36" s="173"/>
      <c r="O36" s="159"/>
      <c r="P36" s="155"/>
      <c r="Q36" s="212"/>
      <c r="R36" s="173"/>
      <c r="S36" s="213"/>
      <c r="T36" s="213"/>
      <c r="U36" s="214"/>
      <c r="V36" s="204"/>
      <c r="W36" s="173"/>
      <c r="X36" s="206"/>
      <c r="Y36" s="205"/>
    </row>
    <row r="37" spans="1:25" ht="16.149999999999999" customHeight="1" x14ac:dyDescent="0.2">
      <c r="A37" s="370"/>
      <c r="B37" s="369"/>
      <c r="C37" s="180">
        <f t="shared" si="2"/>
        <v>0</v>
      </c>
      <c r="D37" s="164"/>
      <c r="E37" s="173"/>
      <c r="F37" s="173"/>
      <c r="G37" s="166"/>
      <c r="H37" s="165"/>
      <c r="I37" s="194"/>
      <c r="J37" s="173"/>
      <c r="K37" s="196"/>
      <c r="L37" s="195"/>
      <c r="M37" s="179"/>
      <c r="N37" s="173"/>
      <c r="O37" s="159"/>
      <c r="P37" s="155"/>
      <c r="Q37" s="212"/>
      <c r="R37" s="173"/>
      <c r="S37" s="213"/>
      <c r="T37" s="213"/>
      <c r="U37" s="214"/>
      <c r="V37" s="204"/>
      <c r="W37" s="173"/>
      <c r="X37" s="206"/>
      <c r="Y37" s="205"/>
    </row>
    <row r="38" spans="1:25" ht="16.149999999999999" customHeight="1" x14ac:dyDescent="0.2">
      <c r="A38" s="370"/>
      <c r="B38" s="369"/>
      <c r="C38" s="180">
        <f t="shared" si="2"/>
        <v>0</v>
      </c>
      <c r="D38" s="164"/>
      <c r="E38" s="173"/>
      <c r="F38" s="173"/>
      <c r="G38" s="166"/>
      <c r="H38" s="165"/>
      <c r="I38" s="194"/>
      <c r="J38" s="173"/>
      <c r="K38" s="196"/>
      <c r="L38" s="195"/>
      <c r="M38" s="179"/>
      <c r="N38" s="173"/>
      <c r="O38" s="159"/>
      <c r="P38" s="155"/>
      <c r="Q38" s="212"/>
      <c r="R38" s="173"/>
      <c r="S38" s="213"/>
      <c r="T38" s="213"/>
      <c r="U38" s="214"/>
      <c r="V38" s="204"/>
      <c r="W38" s="173"/>
      <c r="X38" s="206"/>
      <c r="Y38" s="205"/>
    </row>
    <row r="39" spans="1:25" ht="16.149999999999999" customHeight="1" x14ac:dyDescent="0.2">
      <c r="A39" s="370">
        <f>A35+1</f>
        <v>45055</v>
      </c>
      <c r="B39" s="369" t="str">
        <f>IF(WEEKDAY(A39)=1,"CN","T"&amp;WEEKDAY(A39))</f>
        <v>T3</v>
      </c>
      <c r="C39" s="180">
        <f t="shared" si="2"/>
        <v>40000</v>
      </c>
      <c r="D39" s="164" t="s">
        <v>115</v>
      </c>
      <c r="E39" s="173" t="s">
        <v>127</v>
      </c>
      <c r="F39" s="173"/>
      <c r="G39" s="166" t="s">
        <v>99</v>
      </c>
      <c r="H39" s="165">
        <v>20000</v>
      </c>
      <c r="I39" s="194"/>
      <c r="J39" s="173"/>
      <c r="K39" s="196"/>
      <c r="L39" s="195"/>
      <c r="M39" s="179" t="s">
        <v>115</v>
      </c>
      <c r="N39" s="173" t="s">
        <v>127</v>
      </c>
      <c r="O39" s="159"/>
      <c r="P39" s="155">
        <v>20000</v>
      </c>
      <c r="Q39" s="212"/>
      <c r="R39" s="173"/>
      <c r="S39" s="213"/>
      <c r="T39" s="213"/>
      <c r="U39" s="214"/>
      <c r="V39" s="204"/>
      <c r="W39" s="173"/>
      <c r="X39" s="206"/>
      <c r="Y39" s="205"/>
    </row>
    <row r="40" spans="1:25" ht="16.149999999999999" customHeight="1" x14ac:dyDescent="0.2">
      <c r="A40" s="370"/>
      <c r="B40" s="369"/>
      <c r="C40" s="180">
        <f t="shared" si="2"/>
        <v>30000</v>
      </c>
      <c r="D40" s="164" t="s">
        <v>125</v>
      </c>
      <c r="E40" s="173" t="s">
        <v>135</v>
      </c>
      <c r="F40" s="173"/>
      <c r="G40" s="166" t="s">
        <v>99</v>
      </c>
      <c r="H40" s="165">
        <v>15000</v>
      </c>
      <c r="I40" s="194"/>
      <c r="J40" s="173"/>
      <c r="K40" s="196"/>
      <c r="L40" s="195"/>
      <c r="M40" s="179" t="s">
        <v>124</v>
      </c>
      <c r="N40" s="173" t="s">
        <v>134</v>
      </c>
      <c r="O40" s="159" t="s">
        <v>99</v>
      </c>
      <c r="P40" s="155">
        <v>15000</v>
      </c>
      <c r="Q40" s="212"/>
      <c r="R40" s="173"/>
      <c r="S40" s="213"/>
      <c r="T40" s="213"/>
      <c r="U40" s="214"/>
      <c r="V40" s="204"/>
      <c r="W40" s="173"/>
      <c r="X40" s="206"/>
      <c r="Y40" s="205"/>
    </row>
    <row r="41" spans="1:25" ht="16.149999999999999" customHeight="1" x14ac:dyDescent="0.2">
      <c r="A41" s="370"/>
      <c r="B41" s="369"/>
      <c r="C41" s="180">
        <f t="shared" si="2"/>
        <v>0</v>
      </c>
      <c r="D41" s="164"/>
      <c r="E41" s="173"/>
      <c r="F41" s="173"/>
      <c r="G41" s="166"/>
      <c r="H41" s="165"/>
      <c r="I41" s="194"/>
      <c r="J41" s="173"/>
      <c r="K41" s="196"/>
      <c r="L41" s="195"/>
      <c r="M41" s="179"/>
      <c r="N41" s="173"/>
      <c r="O41" s="159"/>
      <c r="P41" s="155"/>
      <c r="Q41" s="212"/>
      <c r="R41" s="173"/>
      <c r="S41" s="213"/>
      <c r="T41" s="213"/>
      <c r="U41" s="214"/>
      <c r="V41" s="204"/>
      <c r="W41" s="173"/>
      <c r="X41" s="206"/>
      <c r="Y41" s="205"/>
    </row>
    <row r="42" spans="1:25" ht="16.149999999999999" customHeight="1" x14ac:dyDescent="0.2">
      <c r="A42" s="370"/>
      <c r="B42" s="369"/>
      <c r="C42" s="180">
        <f t="shared" si="2"/>
        <v>0</v>
      </c>
      <c r="D42" s="164"/>
      <c r="E42" s="173"/>
      <c r="F42" s="173"/>
      <c r="G42" s="166"/>
      <c r="H42" s="165"/>
      <c r="I42" s="194"/>
      <c r="J42" s="173"/>
      <c r="K42" s="196"/>
      <c r="L42" s="195"/>
      <c r="M42" s="179"/>
      <c r="N42" s="173"/>
      <c r="O42" s="159"/>
      <c r="P42" s="155"/>
      <c r="Q42" s="212"/>
      <c r="R42" s="173"/>
      <c r="S42" s="213"/>
      <c r="T42" s="213"/>
      <c r="U42" s="214"/>
      <c r="V42" s="204"/>
      <c r="W42" s="173"/>
      <c r="X42" s="206"/>
      <c r="Y42" s="205"/>
    </row>
    <row r="43" spans="1:25" ht="16.149999999999999" customHeight="1" x14ac:dyDescent="0.2">
      <c r="A43" s="370">
        <f>A39+1</f>
        <v>45056</v>
      </c>
      <c r="B43" s="369" t="str">
        <f>IF(WEEKDAY(A43)=1,"CN","T"&amp;WEEKDAY(A43))</f>
        <v>T4</v>
      </c>
      <c r="C43" s="180">
        <f t="shared" si="2"/>
        <v>61000</v>
      </c>
      <c r="D43" s="164"/>
      <c r="E43" s="173"/>
      <c r="F43" s="173"/>
      <c r="G43" s="166"/>
      <c r="H43" s="165"/>
      <c r="I43" s="219" t="s">
        <v>138</v>
      </c>
      <c r="J43" s="220"/>
      <c r="K43" s="218" t="s">
        <v>97</v>
      </c>
      <c r="L43" s="221"/>
      <c r="M43" s="179" t="s">
        <v>124</v>
      </c>
      <c r="N43" s="173" t="s">
        <v>134</v>
      </c>
      <c r="O43" s="159" t="s">
        <v>99</v>
      </c>
      <c r="P43" s="155">
        <v>40000</v>
      </c>
      <c r="Q43" s="219" t="s">
        <v>137</v>
      </c>
      <c r="R43" s="220"/>
      <c r="S43" s="218" t="s">
        <v>97</v>
      </c>
      <c r="T43" s="218"/>
      <c r="U43" s="217">
        <f>1750*12</f>
        <v>21000</v>
      </c>
      <c r="V43" s="204"/>
      <c r="W43" s="173"/>
      <c r="X43" s="206"/>
      <c r="Y43" s="205"/>
    </row>
    <row r="44" spans="1:25" ht="16.149999999999999" customHeight="1" x14ac:dyDescent="0.2">
      <c r="A44" s="370"/>
      <c r="B44" s="369"/>
      <c r="C44" s="180">
        <f t="shared" si="2"/>
        <v>33250</v>
      </c>
      <c r="D44" s="164"/>
      <c r="E44" s="173"/>
      <c r="F44" s="173"/>
      <c r="G44" s="166"/>
      <c r="H44" s="165"/>
      <c r="I44" s="219"/>
      <c r="J44" s="220"/>
      <c r="K44" s="218"/>
      <c r="L44" s="221">
        <f>1750*19</f>
        <v>33250</v>
      </c>
      <c r="M44" s="179"/>
      <c r="N44" s="173"/>
      <c r="O44" s="159"/>
      <c r="P44" s="155"/>
      <c r="Q44" s="219"/>
      <c r="R44" s="220"/>
      <c r="S44" s="218"/>
      <c r="T44" s="218"/>
      <c r="U44" s="221"/>
      <c r="V44" s="204"/>
      <c r="W44" s="173"/>
      <c r="X44" s="206"/>
      <c r="Y44" s="205"/>
    </row>
    <row r="45" spans="1:25" ht="16.149999999999999" customHeight="1" x14ac:dyDescent="0.2">
      <c r="A45" s="370"/>
      <c r="B45" s="369"/>
      <c r="C45" s="180">
        <f t="shared" si="2"/>
        <v>0</v>
      </c>
      <c r="D45" s="164"/>
      <c r="E45" s="173"/>
      <c r="F45" s="173"/>
      <c r="G45" s="166"/>
      <c r="H45" s="165"/>
      <c r="I45" s="219"/>
      <c r="J45" s="220"/>
      <c r="K45" s="218"/>
      <c r="L45" s="221"/>
      <c r="M45" s="179"/>
      <c r="N45" s="173"/>
      <c r="O45" s="159"/>
      <c r="P45" s="155"/>
      <c r="Q45" s="219"/>
      <c r="R45" s="220"/>
      <c r="S45" s="218"/>
      <c r="T45" s="218"/>
      <c r="U45" s="221"/>
      <c r="V45" s="204"/>
      <c r="W45" s="173"/>
      <c r="X45" s="206"/>
      <c r="Y45" s="205"/>
    </row>
    <row r="46" spans="1:25" ht="16.149999999999999" customHeight="1" x14ac:dyDescent="0.2">
      <c r="A46" s="370"/>
      <c r="B46" s="369"/>
      <c r="C46" s="180">
        <f t="shared" si="2"/>
        <v>0</v>
      </c>
      <c r="D46" s="164"/>
      <c r="E46" s="173"/>
      <c r="F46" s="173"/>
      <c r="G46" s="166"/>
      <c r="H46" s="165"/>
      <c r="I46" s="219"/>
      <c r="J46" s="220"/>
      <c r="K46" s="218"/>
      <c r="L46" s="221"/>
      <c r="M46" s="179"/>
      <c r="N46" s="173"/>
      <c r="O46" s="159"/>
      <c r="P46" s="155"/>
      <c r="Q46" s="219"/>
      <c r="R46" s="220"/>
      <c r="S46" s="218"/>
      <c r="T46" s="218"/>
      <c r="U46" s="221"/>
      <c r="V46" s="204"/>
      <c r="W46" s="173"/>
      <c r="X46" s="206"/>
      <c r="Y46" s="205"/>
    </row>
    <row r="47" spans="1:25" ht="16.149999999999999" customHeight="1" x14ac:dyDescent="0.2">
      <c r="A47" s="370">
        <f>A43+1</f>
        <v>45057</v>
      </c>
      <c r="B47" s="369" t="str">
        <f>IF(WEEKDAY(A47)=1,"CN","T"&amp;WEEKDAY(A47))</f>
        <v>T5</v>
      </c>
      <c r="C47" s="180">
        <f t="shared" si="2"/>
        <v>40750</v>
      </c>
      <c r="D47" s="222" t="s">
        <v>125</v>
      </c>
      <c r="E47" s="220"/>
      <c r="F47" s="220"/>
      <c r="G47" s="218"/>
      <c r="H47" s="221">
        <v>28000</v>
      </c>
      <c r="I47" s="219" t="s">
        <v>138</v>
      </c>
      <c r="J47" s="220"/>
      <c r="K47" s="218"/>
      <c r="L47" s="221">
        <v>2750</v>
      </c>
      <c r="M47" s="179"/>
      <c r="N47" s="173"/>
      <c r="O47" s="159"/>
      <c r="P47" s="155"/>
      <c r="Q47" s="219" t="s">
        <v>137</v>
      </c>
      <c r="R47" s="220"/>
      <c r="S47" s="218"/>
      <c r="T47" s="218"/>
      <c r="U47" s="221">
        <v>10000</v>
      </c>
      <c r="V47" s="204"/>
      <c r="W47" s="173"/>
      <c r="X47" s="206"/>
      <c r="Y47" s="205"/>
    </row>
    <row r="48" spans="1:25" ht="16.149999999999999" customHeight="1" x14ac:dyDescent="0.2">
      <c r="A48" s="370"/>
      <c r="B48" s="369"/>
      <c r="C48" s="180">
        <f t="shared" si="2"/>
        <v>63000</v>
      </c>
      <c r="D48" s="222" t="s">
        <v>147</v>
      </c>
      <c r="E48" s="220"/>
      <c r="F48" s="220"/>
      <c r="G48" s="218"/>
      <c r="H48" s="221">
        <v>8000</v>
      </c>
      <c r="I48" s="219" t="s">
        <v>137</v>
      </c>
      <c r="J48" s="220"/>
      <c r="K48" s="218"/>
      <c r="L48" s="221">
        <v>27000</v>
      </c>
      <c r="M48" s="179"/>
      <c r="N48" s="173"/>
      <c r="O48" s="159"/>
      <c r="P48" s="155"/>
      <c r="Q48" s="219" t="s">
        <v>139</v>
      </c>
      <c r="R48" s="220"/>
      <c r="S48" s="218"/>
      <c r="T48" s="218"/>
      <c r="U48" s="221">
        <v>28000</v>
      </c>
      <c r="V48" s="204"/>
      <c r="W48" s="173"/>
      <c r="X48" s="206"/>
      <c r="Y48" s="205"/>
    </row>
    <row r="49" spans="1:25" ht="16.149999999999999" customHeight="1" x14ac:dyDescent="0.2">
      <c r="A49" s="370"/>
      <c r="B49" s="369"/>
      <c r="C49" s="180">
        <f t="shared" si="2"/>
        <v>9000</v>
      </c>
      <c r="D49" s="222"/>
      <c r="E49" s="220"/>
      <c r="F49" s="220"/>
      <c r="G49" s="218"/>
      <c r="H49" s="221"/>
      <c r="I49" s="219" t="s">
        <v>117</v>
      </c>
      <c r="J49" s="220"/>
      <c r="K49" s="218"/>
      <c r="L49" s="221">
        <v>9000</v>
      </c>
      <c r="M49" s="179"/>
      <c r="N49" s="173"/>
      <c r="O49" s="159"/>
      <c r="P49" s="155"/>
      <c r="Q49" s="219"/>
      <c r="R49" s="220"/>
      <c r="S49" s="218"/>
      <c r="T49" s="218"/>
      <c r="U49" s="221"/>
      <c r="V49" s="204"/>
      <c r="W49" s="173"/>
      <c r="X49" s="206"/>
      <c r="Y49" s="205"/>
    </row>
    <row r="50" spans="1:25" ht="16.149999999999999" customHeight="1" x14ac:dyDescent="0.2">
      <c r="A50" s="370"/>
      <c r="B50" s="369"/>
      <c r="C50" s="180">
        <f t="shared" si="2"/>
        <v>0</v>
      </c>
      <c r="D50" s="222"/>
      <c r="E50" s="220"/>
      <c r="F50" s="220"/>
      <c r="G50" s="218"/>
      <c r="H50" s="221"/>
      <c r="I50" s="219"/>
      <c r="J50" s="220"/>
      <c r="K50" s="218"/>
      <c r="L50" s="221"/>
      <c r="M50" s="179"/>
      <c r="N50" s="173"/>
      <c r="O50" s="159"/>
      <c r="P50" s="155"/>
      <c r="Q50" s="219"/>
      <c r="R50" s="220"/>
      <c r="S50" s="218"/>
      <c r="T50" s="218"/>
      <c r="U50" s="221"/>
      <c r="V50" s="204"/>
      <c r="W50" s="173"/>
      <c r="X50" s="206"/>
      <c r="Y50" s="205"/>
    </row>
    <row r="51" spans="1:25" ht="16.149999999999999" customHeight="1" x14ac:dyDescent="0.2">
      <c r="A51" s="370">
        <f>A47+1</f>
        <v>45058</v>
      </c>
      <c r="B51" s="369" t="str">
        <f>IF(WEEKDAY(A51)=1,"CN","T"&amp;WEEKDAY(A51))</f>
        <v>T6</v>
      </c>
      <c r="C51" s="180">
        <f t="shared" si="2"/>
        <v>83000</v>
      </c>
      <c r="D51" s="222" t="s">
        <v>147</v>
      </c>
      <c r="E51" s="220"/>
      <c r="F51" s="220"/>
      <c r="G51" s="218"/>
      <c r="H51" s="221">
        <v>7000</v>
      </c>
      <c r="I51" s="219" t="s">
        <v>117</v>
      </c>
      <c r="J51" s="220"/>
      <c r="K51" s="218"/>
      <c r="L51" s="221">
        <v>33000</v>
      </c>
      <c r="M51" s="179" t="s">
        <v>167</v>
      </c>
      <c r="N51" s="173"/>
      <c r="O51" s="159"/>
      <c r="P51" s="155">
        <v>5000</v>
      </c>
      <c r="Q51" s="219" t="s">
        <v>139</v>
      </c>
      <c r="R51" s="220"/>
      <c r="S51" s="218"/>
      <c r="T51" s="218"/>
      <c r="U51" s="221">
        <v>38000</v>
      </c>
      <c r="V51" s="204"/>
      <c r="W51" s="173"/>
      <c r="X51" s="206"/>
      <c r="Y51" s="205"/>
    </row>
    <row r="52" spans="1:25" ht="16.149999999999999" customHeight="1" x14ac:dyDescent="0.2">
      <c r="A52" s="370"/>
      <c r="B52" s="369"/>
      <c r="C52" s="180">
        <f t="shared" si="2"/>
        <v>21500</v>
      </c>
      <c r="D52" s="222" t="s">
        <v>136</v>
      </c>
      <c r="E52" s="220"/>
      <c r="F52" s="220"/>
      <c r="G52" s="218"/>
      <c r="H52" s="221">
        <v>12500</v>
      </c>
      <c r="I52" s="219" t="s">
        <v>105</v>
      </c>
      <c r="J52" s="220"/>
      <c r="K52" s="218"/>
      <c r="L52" s="221">
        <v>9000</v>
      </c>
      <c r="M52" s="179"/>
      <c r="N52" s="173"/>
      <c r="O52" s="159"/>
      <c r="P52" s="155"/>
      <c r="Q52" s="219"/>
      <c r="R52" s="220"/>
      <c r="S52" s="218"/>
      <c r="T52" s="218"/>
      <c r="U52" s="221"/>
      <c r="V52" s="204"/>
      <c r="W52" s="173"/>
      <c r="X52" s="206"/>
      <c r="Y52" s="205"/>
    </row>
    <row r="53" spans="1:25" ht="16.149999999999999" customHeight="1" x14ac:dyDescent="0.2">
      <c r="A53" s="370"/>
      <c r="B53" s="369"/>
      <c r="C53" s="180">
        <f t="shared" si="2"/>
        <v>500</v>
      </c>
      <c r="D53" s="164" t="s">
        <v>148</v>
      </c>
      <c r="E53" s="173" t="s">
        <v>149</v>
      </c>
      <c r="F53" s="173"/>
      <c r="G53" s="166"/>
      <c r="H53" s="165">
        <v>500</v>
      </c>
      <c r="I53" s="194"/>
      <c r="J53" s="173"/>
      <c r="K53" s="196"/>
      <c r="L53" s="195"/>
      <c r="M53" s="179"/>
      <c r="N53" s="173"/>
      <c r="O53" s="159"/>
      <c r="P53" s="155"/>
      <c r="Q53" s="219"/>
      <c r="R53" s="220"/>
      <c r="S53" s="218"/>
      <c r="T53" s="218"/>
      <c r="U53" s="221"/>
      <c r="V53" s="204"/>
      <c r="W53" s="173"/>
      <c r="X53" s="206"/>
      <c r="Y53" s="205"/>
    </row>
    <row r="54" spans="1:25" ht="16.149999999999999" customHeight="1" x14ac:dyDescent="0.2">
      <c r="A54" s="370"/>
      <c r="B54" s="369"/>
      <c r="C54" s="180">
        <f t="shared" si="2"/>
        <v>16000</v>
      </c>
      <c r="D54" s="164" t="s">
        <v>125</v>
      </c>
      <c r="E54" s="173"/>
      <c r="F54" s="173"/>
      <c r="G54" s="166"/>
      <c r="H54" s="165">
        <v>16000</v>
      </c>
      <c r="I54" s="194"/>
      <c r="J54" s="173"/>
      <c r="K54" s="196"/>
      <c r="L54" s="195"/>
      <c r="M54" s="179"/>
      <c r="N54" s="173"/>
      <c r="O54" s="159"/>
      <c r="P54" s="155"/>
      <c r="Q54" s="219"/>
      <c r="R54" s="220"/>
      <c r="S54" s="218"/>
      <c r="T54" s="218"/>
      <c r="U54" s="221"/>
      <c r="V54" s="204"/>
      <c r="W54" s="173"/>
      <c r="X54" s="206"/>
      <c r="Y54" s="205"/>
    </row>
    <row r="55" spans="1:25" ht="16.149999999999999" customHeight="1" x14ac:dyDescent="0.2">
      <c r="A55" s="370">
        <f>A51+1</f>
        <v>45059</v>
      </c>
      <c r="B55" s="369" t="str">
        <f>IF(WEEKDAY(A55)=1,"CN","T"&amp;WEEKDAY(A55))</f>
        <v>T7</v>
      </c>
      <c r="C55" s="180">
        <f t="shared" si="2"/>
        <v>112000</v>
      </c>
      <c r="D55" s="164" t="s">
        <v>125</v>
      </c>
      <c r="E55" s="173"/>
      <c r="F55" s="173"/>
      <c r="G55" s="166"/>
      <c r="H55" s="165">
        <v>38000</v>
      </c>
      <c r="I55" s="231" t="s">
        <v>105</v>
      </c>
      <c r="J55" s="232" t="s">
        <v>155</v>
      </c>
      <c r="K55" s="233"/>
      <c r="L55" s="234">
        <v>31000</v>
      </c>
      <c r="M55" s="231" t="s">
        <v>105</v>
      </c>
      <c r="N55" s="232"/>
      <c r="O55" s="233" t="s">
        <v>164</v>
      </c>
      <c r="P55" s="234">
        <v>5000</v>
      </c>
      <c r="Q55" s="219"/>
      <c r="R55" s="220"/>
      <c r="S55" s="218"/>
      <c r="T55" s="218"/>
      <c r="U55" s="221">
        <v>38000</v>
      </c>
      <c r="V55" s="204" t="s">
        <v>115</v>
      </c>
      <c r="W55" s="173" t="s">
        <v>128</v>
      </c>
      <c r="X55" s="206" t="s">
        <v>99</v>
      </c>
      <c r="Y55" s="205">
        <v>82000</v>
      </c>
    </row>
    <row r="56" spans="1:25" ht="16.149999999999999" customHeight="1" x14ac:dyDescent="0.2">
      <c r="A56" s="370"/>
      <c r="B56" s="369"/>
      <c r="C56" s="180">
        <f t="shared" si="2"/>
        <v>24000</v>
      </c>
      <c r="D56" s="164"/>
      <c r="E56" s="173"/>
      <c r="F56" s="173"/>
      <c r="G56" s="166"/>
      <c r="H56" s="165"/>
      <c r="I56" s="231" t="s">
        <v>119</v>
      </c>
      <c r="J56" s="232" t="s">
        <v>161</v>
      </c>
      <c r="K56" s="233"/>
      <c r="L56" s="234">
        <v>18000</v>
      </c>
      <c r="M56" s="250" t="s">
        <v>105</v>
      </c>
      <c r="N56" s="251"/>
      <c r="O56" s="252" t="s">
        <v>165</v>
      </c>
      <c r="P56" s="253">
        <v>6000</v>
      </c>
      <c r="Q56" s="219"/>
      <c r="R56" s="220"/>
      <c r="S56" s="218"/>
      <c r="T56" s="218"/>
      <c r="U56" s="221"/>
      <c r="V56" s="204"/>
      <c r="W56" s="173"/>
      <c r="X56" s="206"/>
      <c r="Y56" s="205"/>
    </row>
    <row r="57" spans="1:25" ht="16.149999999999999" customHeight="1" x14ac:dyDescent="0.2">
      <c r="A57" s="370"/>
      <c r="B57" s="369"/>
      <c r="C57" s="180">
        <f t="shared" si="2"/>
        <v>30000</v>
      </c>
      <c r="D57" s="164"/>
      <c r="E57" s="173"/>
      <c r="F57" s="173"/>
      <c r="G57" s="166"/>
      <c r="H57" s="165"/>
      <c r="I57" s="231" t="s">
        <v>153</v>
      </c>
      <c r="J57" s="232"/>
      <c r="K57" s="233"/>
      <c r="L57" s="234"/>
      <c r="M57" s="179" t="s">
        <v>105</v>
      </c>
      <c r="N57" s="173"/>
      <c r="O57" s="159" t="s">
        <v>166</v>
      </c>
      <c r="P57" s="155">
        <f>41000-P56-P55</f>
        <v>30000</v>
      </c>
      <c r="Q57" s="219"/>
      <c r="R57" s="220"/>
      <c r="S57" s="218"/>
      <c r="T57" s="218"/>
      <c r="U57" s="221"/>
      <c r="V57" s="204"/>
      <c r="W57" s="173"/>
      <c r="X57" s="206"/>
      <c r="Y57" s="205"/>
    </row>
    <row r="58" spans="1:25" ht="16.149999999999999" customHeight="1" x14ac:dyDescent="0.2">
      <c r="A58" s="370"/>
      <c r="B58" s="369"/>
      <c r="C58" s="180">
        <f t="shared" si="2"/>
        <v>0</v>
      </c>
      <c r="D58" s="164"/>
      <c r="E58" s="173"/>
      <c r="F58" s="173"/>
      <c r="G58" s="166"/>
      <c r="H58" s="165"/>
      <c r="I58" s="231"/>
      <c r="J58" s="232"/>
      <c r="K58" s="233"/>
      <c r="L58" s="234"/>
      <c r="M58" s="179"/>
      <c r="N58" s="173"/>
      <c r="O58" s="159"/>
      <c r="P58" s="155"/>
      <c r="Q58" s="219"/>
      <c r="R58" s="220"/>
      <c r="S58" s="218"/>
      <c r="T58" s="218"/>
      <c r="U58" s="221"/>
      <c r="V58" s="204"/>
      <c r="W58" s="173"/>
      <c r="X58" s="206"/>
      <c r="Y58" s="205"/>
    </row>
    <row r="59" spans="1:25" ht="16.149999999999999" customHeight="1" x14ac:dyDescent="0.2">
      <c r="A59" s="370">
        <f>A55+1</f>
        <v>45060</v>
      </c>
      <c r="B59" s="369" t="str">
        <f>IF(WEEKDAY(A59)=1,"CN","T"&amp;WEEKDAY(A59))</f>
        <v>CN</v>
      </c>
      <c r="C59" s="180">
        <f t="shared" si="2"/>
        <v>85000</v>
      </c>
      <c r="D59" s="164" t="s">
        <v>125</v>
      </c>
      <c r="E59" s="173" t="s">
        <v>150</v>
      </c>
      <c r="F59" s="173"/>
      <c r="G59" s="166"/>
      <c r="H59" s="165">
        <v>16000</v>
      </c>
      <c r="I59" s="231" t="s">
        <v>119</v>
      </c>
      <c r="J59" s="232"/>
      <c r="K59" s="233"/>
      <c r="L59" s="234">
        <v>7000</v>
      </c>
      <c r="M59" s="231" t="s">
        <v>105</v>
      </c>
      <c r="N59" s="232"/>
      <c r="O59" s="233" t="s">
        <v>166</v>
      </c>
      <c r="P59" s="234">
        <v>41000</v>
      </c>
      <c r="Q59" s="219"/>
      <c r="R59" s="220"/>
      <c r="S59" s="218"/>
      <c r="T59" s="218"/>
      <c r="U59" s="221">
        <v>21000</v>
      </c>
      <c r="V59" s="204"/>
      <c r="W59" s="173"/>
      <c r="X59" s="206"/>
      <c r="Y59" s="205"/>
    </row>
    <row r="60" spans="1:25" ht="16.149999999999999" customHeight="1" x14ac:dyDescent="0.2">
      <c r="A60" s="370"/>
      <c r="B60" s="369"/>
      <c r="C60" s="180">
        <f t="shared" si="2"/>
        <v>37000</v>
      </c>
      <c r="D60" s="164"/>
      <c r="E60" s="173"/>
      <c r="F60" s="173"/>
      <c r="G60" s="166"/>
      <c r="H60" s="165"/>
      <c r="I60" s="231" t="s">
        <v>152</v>
      </c>
      <c r="J60" s="232"/>
      <c r="K60" s="233"/>
      <c r="L60" s="234">
        <v>20000</v>
      </c>
      <c r="M60" s="231"/>
      <c r="N60" s="232"/>
      <c r="O60" s="233"/>
      <c r="P60" s="234"/>
      <c r="Q60" s="219" t="s">
        <v>140</v>
      </c>
      <c r="R60" s="220"/>
      <c r="S60" s="218"/>
      <c r="T60" s="218"/>
      <c r="U60" s="221">
        <v>17000</v>
      </c>
      <c r="V60" s="204"/>
      <c r="W60" s="173"/>
      <c r="X60" s="206"/>
      <c r="Y60" s="205"/>
    </row>
    <row r="61" spans="1:25" ht="16.149999999999999" customHeight="1" x14ac:dyDescent="0.2">
      <c r="A61" s="370"/>
      <c r="B61" s="369"/>
      <c r="C61" s="180">
        <f t="shared" si="2"/>
        <v>14000</v>
      </c>
      <c r="D61" s="164"/>
      <c r="E61" s="173"/>
      <c r="F61" s="173"/>
      <c r="G61" s="166"/>
      <c r="H61" s="165"/>
      <c r="I61" s="194" t="s">
        <v>124</v>
      </c>
      <c r="J61" s="173" t="s">
        <v>168</v>
      </c>
      <c r="K61" s="196"/>
      <c r="L61" s="195">
        <v>14000</v>
      </c>
      <c r="M61" s="179"/>
      <c r="N61" s="173"/>
      <c r="O61" s="159"/>
      <c r="P61" s="155"/>
      <c r="Q61" s="219"/>
      <c r="R61" s="220"/>
      <c r="S61" s="218"/>
      <c r="T61" s="218"/>
      <c r="U61" s="221"/>
      <c r="V61" s="204"/>
      <c r="W61" s="173"/>
      <c r="X61" s="206"/>
      <c r="Y61" s="205"/>
    </row>
    <row r="62" spans="1:25" ht="16.149999999999999" customHeight="1" x14ac:dyDescent="0.2">
      <c r="A62" s="370"/>
      <c r="B62" s="369"/>
      <c r="C62" s="180">
        <f t="shared" si="2"/>
        <v>0</v>
      </c>
      <c r="D62" s="164"/>
      <c r="E62" s="173"/>
      <c r="F62" s="173"/>
      <c r="G62" s="166"/>
      <c r="H62" s="165"/>
      <c r="I62" s="194"/>
      <c r="J62" s="173"/>
      <c r="K62" s="196"/>
      <c r="L62" s="195"/>
      <c r="M62" s="179"/>
      <c r="N62" s="173"/>
      <c r="O62" s="159"/>
      <c r="P62" s="155"/>
      <c r="Q62" s="219"/>
      <c r="R62" s="220"/>
      <c r="S62" s="218"/>
      <c r="T62" s="218"/>
      <c r="U62" s="221"/>
      <c r="V62" s="204"/>
      <c r="W62" s="173"/>
      <c r="X62" s="206"/>
      <c r="Y62" s="205"/>
    </row>
    <row r="63" spans="1:25" ht="16.149999999999999" customHeight="1" x14ac:dyDescent="0.2">
      <c r="A63" s="370">
        <f>A59+1</f>
        <v>45061</v>
      </c>
      <c r="B63" s="369" t="str">
        <f>IF(WEEKDAY(A63)=1,"CN","T"&amp;WEEKDAY(A63))</f>
        <v>T2</v>
      </c>
      <c r="C63" s="180">
        <f t="shared" si="2"/>
        <v>159000</v>
      </c>
      <c r="D63" s="164" t="s">
        <v>125</v>
      </c>
      <c r="E63" s="173"/>
      <c r="F63" s="173"/>
      <c r="G63" s="166"/>
      <c r="H63" s="165">
        <v>38000</v>
      </c>
      <c r="I63" s="194" t="s">
        <v>124</v>
      </c>
      <c r="J63" s="173"/>
      <c r="K63" s="196"/>
      <c r="L63" s="195">
        <v>42000</v>
      </c>
      <c r="M63" s="179" t="s">
        <v>105</v>
      </c>
      <c r="N63" s="173"/>
      <c r="O63" s="159" t="s">
        <v>166</v>
      </c>
      <c r="P63" s="155">
        <v>41000</v>
      </c>
      <c r="Q63" s="219"/>
      <c r="R63" s="220"/>
      <c r="S63" s="218"/>
      <c r="T63" s="218"/>
      <c r="U63" s="221">
        <v>38000</v>
      </c>
      <c r="V63" s="204" t="s">
        <v>115</v>
      </c>
      <c r="W63" s="173" t="s">
        <v>128</v>
      </c>
      <c r="X63" s="206" t="s">
        <v>99</v>
      </c>
      <c r="Y63" s="205">
        <v>82000</v>
      </c>
    </row>
    <row r="64" spans="1:25" ht="16.149999999999999" customHeight="1" x14ac:dyDescent="0.2">
      <c r="A64" s="370"/>
      <c r="B64" s="369"/>
      <c r="C64" s="180">
        <f t="shared" si="2"/>
        <v>0</v>
      </c>
      <c r="D64" s="164"/>
      <c r="E64" s="173"/>
      <c r="F64" s="173"/>
      <c r="G64" s="166"/>
      <c r="H64" s="165"/>
      <c r="I64" s="194"/>
      <c r="J64" s="173"/>
      <c r="K64" s="196"/>
      <c r="L64" s="195"/>
      <c r="M64" s="179"/>
      <c r="N64" s="173"/>
      <c r="O64" s="159"/>
      <c r="P64" s="155"/>
      <c r="Q64" s="219"/>
      <c r="R64" s="220"/>
      <c r="S64" s="218"/>
      <c r="T64" s="218"/>
      <c r="U64" s="221"/>
      <c r="V64" s="204"/>
      <c r="W64" s="173"/>
      <c r="X64" s="206"/>
      <c r="Y64" s="205"/>
    </row>
    <row r="65" spans="1:25" ht="16.149999999999999" customHeight="1" x14ac:dyDescent="0.2">
      <c r="A65" s="370"/>
      <c r="B65" s="369"/>
      <c r="C65" s="180">
        <f t="shared" si="2"/>
        <v>0</v>
      </c>
      <c r="D65" s="164"/>
      <c r="E65" s="173"/>
      <c r="F65" s="173"/>
      <c r="G65" s="166"/>
      <c r="H65" s="165"/>
      <c r="I65" s="194"/>
      <c r="J65" s="173"/>
      <c r="K65" s="196"/>
      <c r="L65" s="195"/>
      <c r="M65" s="179"/>
      <c r="N65" s="173"/>
      <c r="O65" s="159"/>
      <c r="P65" s="155"/>
      <c r="Q65" s="219"/>
      <c r="R65" s="220"/>
      <c r="S65" s="218"/>
      <c r="T65" s="218"/>
      <c r="U65" s="221"/>
      <c r="V65" s="204"/>
      <c r="W65" s="173"/>
      <c r="X65" s="206"/>
      <c r="Y65" s="205"/>
    </row>
    <row r="66" spans="1:25" ht="16.149999999999999" customHeight="1" x14ac:dyDescent="0.2">
      <c r="A66" s="370"/>
      <c r="B66" s="369"/>
      <c r="C66" s="180">
        <f t="shared" si="2"/>
        <v>0</v>
      </c>
      <c r="D66" s="164"/>
      <c r="E66" s="173"/>
      <c r="F66" s="173"/>
      <c r="G66" s="166"/>
      <c r="H66" s="165"/>
      <c r="I66" s="194"/>
      <c r="J66" s="173"/>
      <c r="K66" s="196"/>
      <c r="L66" s="195"/>
      <c r="M66" s="179"/>
      <c r="N66" s="173"/>
      <c r="O66" s="159"/>
      <c r="P66" s="155"/>
      <c r="Q66" s="219"/>
      <c r="R66" s="220"/>
      <c r="S66" s="218"/>
      <c r="T66" s="218"/>
      <c r="U66" s="221"/>
      <c r="V66" s="204"/>
      <c r="W66" s="173"/>
      <c r="X66" s="206"/>
      <c r="Y66" s="205"/>
    </row>
    <row r="67" spans="1:25" ht="16.149999999999999" customHeight="1" x14ac:dyDescent="0.2">
      <c r="A67" s="370">
        <f>A63+1</f>
        <v>45062</v>
      </c>
      <c r="B67" s="369" t="str">
        <f>IF(WEEKDAY(A67)=1,"CN","T"&amp;WEEKDAY(A67))</f>
        <v>T3</v>
      </c>
      <c r="C67" s="180">
        <f t="shared" si="2"/>
        <v>144000</v>
      </c>
      <c r="D67" s="222" t="s">
        <v>121</v>
      </c>
      <c r="E67" s="220"/>
      <c r="F67" s="220"/>
      <c r="G67" s="218"/>
      <c r="H67" s="221">
        <v>24000</v>
      </c>
      <c r="I67" s="227" t="s">
        <v>124</v>
      </c>
      <c r="J67" s="228" t="s">
        <v>154</v>
      </c>
      <c r="K67" s="229"/>
      <c r="L67" s="230">
        <v>41000</v>
      </c>
      <c r="M67" s="179" t="s">
        <v>105</v>
      </c>
      <c r="N67" s="173"/>
      <c r="O67" s="159" t="s">
        <v>166</v>
      </c>
      <c r="P67" s="155">
        <v>41000</v>
      </c>
      <c r="Q67" s="219"/>
      <c r="R67" s="220"/>
      <c r="S67" s="218"/>
      <c r="T67" s="218"/>
      <c r="U67" s="221">
        <v>38000</v>
      </c>
      <c r="V67" s="204"/>
      <c r="W67" s="173"/>
      <c r="X67" s="206"/>
      <c r="Y67" s="205"/>
    </row>
    <row r="68" spans="1:25" ht="16.149999999999999" customHeight="1" x14ac:dyDescent="0.2">
      <c r="A68" s="370"/>
      <c r="B68" s="369"/>
      <c r="C68" s="180">
        <f t="shared" si="2"/>
        <v>14000</v>
      </c>
      <c r="D68" s="222" t="s">
        <v>104</v>
      </c>
      <c r="E68" s="220"/>
      <c r="F68" s="220"/>
      <c r="G68" s="218"/>
      <c r="H68" s="221">
        <v>14000</v>
      </c>
      <c r="I68" s="227"/>
      <c r="J68" s="228"/>
      <c r="K68" s="229"/>
      <c r="L68" s="230"/>
      <c r="M68" s="179"/>
      <c r="N68" s="173"/>
      <c r="O68" s="159"/>
      <c r="P68" s="155"/>
      <c r="Q68" s="219"/>
      <c r="R68" s="220"/>
      <c r="S68" s="218"/>
      <c r="T68" s="218"/>
      <c r="U68" s="221"/>
      <c r="V68" s="204"/>
      <c r="W68" s="173"/>
      <c r="X68" s="206"/>
      <c r="Y68" s="205"/>
    </row>
    <row r="69" spans="1:25" ht="16.149999999999999" customHeight="1" x14ac:dyDescent="0.2">
      <c r="A69" s="370"/>
      <c r="B69" s="369"/>
      <c r="C69" s="180">
        <f t="shared" si="2"/>
        <v>0</v>
      </c>
      <c r="D69" s="222"/>
      <c r="E69" s="220"/>
      <c r="F69" s="220"/>
      <c r="G69" s="218"/>
      <c r="H69" s="221"/>
      <c r="I69" s="227"/>
      <c r="J69" s="228"/>
      <c r="K69" s="229"/>
      <c r="L69" s="230"/>
      <c r="M69" s="179"/>
      <c r="N69" s="173"/>
      <c r="O69" s="159"/>
      <c r="P69" s="155"/>
      <c r="Q69" s="219"/>
      <c r="R69" s="220"/>
      <c r="S69" s="218"/>
      <c r="T69" s="218"/>
      <c r="U69" s="221"/>
      <c r="V69" s="204"/>
      <c r="W69" s="173"/>
      <c r="X69" s="206"/>
      <c r="Y69" s="205"/>
    </row>
    <row r="70" spans="1:25" ht="16.149999999999999" customHeight="1" x14ac:dyDescent="0.2">
      <c r="A70" s="370"/>
      <c r="B70" s="369"/>
      <c r="C70" s="180">
        <f t="shared" si="2"/>
        <v>0</v>
      </c>
      <c r="D70" s="222"/>
      <c r="E70" s="220"/>
      <c r="F70" s="220"/>
      <c r="G70" s="218"/>
      <c r="H70" s="221"/>
      <c r="I70" s="227"/>
      <c r="J70" s="228"/>
      <c r="K70" s="229"/>
      <c r="L70" s="230"/>
      <c r="M70" s="179"/>
      <c r="N70" s="173"/>
      <c r="O70" s="159"/>
      <c r="P70" s="155"/>
      <c r="Q70" s="219"/>
      <c r="R70" s="220"/>
      <c r="S70" s="218"/>
      <c r="T70" s="218"/>
      <c r="U70" s="221"/>
      <c r="V70" s="204"/>
      <c r="W70" s="173"/>
      <c r="X70" s="206"/>
      <c r="Y70" s="205"/>
    </row>
    <row r="71" spans="1:25" ht="16.149999999999999" customHeight="1" x14ac:dyDescent="0.2">
      <c r="A71" s="370">
        <f>A67+1</f>
        <v>45063</v>
      </c>
      <c r="B71" s="369" t="str">
        <f>IF(WEEKDAY(A71)=1,"CN","T"&amp;WEEKDAY(A71))</f>
        <v>T4</v>
      </c>
      <c r="C71" s="180">
        <f t="shared" si="2"/>
        <v>88000</v>
      </c>
      <c r="D71" s="222" t="s">
        <v>104</v>
      </c>
      <c r="E71" s="220"/>
      <c r="F71" s="220"/>
      <c r="G71" s="218"/>
      <c r="H71" s="221">
        <v>6000</v>
      </c>
      <c r="I71" s="227" t="s">
        <v>124</v>
      </c>
      <c r="J71" s="228"/>
      <c r="K71" s="229"/>
      <c r="L71" s="230">
        <v>41000</v>
      </c>
      <c r="M71" s="179" t="s">
        <v>105</v>
      </c>
      <c r="N71" s="173"/>
      <c r="O71" s="159" t="s">
        <v>166</v>
      </c>
      <c r="P71" s="155">
        <v>9000</v>
      </c>
      <c r="Q71" s="219"/>
      <c r="R71" s="220"/>
      <c r="S71" s="218"/>
      <c r="T71" s="218"/>
      <c r="U71" s="221">
        <v>32000</v>
      </c>
      <c r="V71" s="204" t="s">
        <v>115</v>
      </c>
      <c r="W71" s="173" t="s">
        <v>128</v>
      </c>
      <c r="X71" s="206" t="s">
        <v>99</v>
      </c>
      <c r="Y71" s="205">
        <v>82000</v>
      </c>
    </row>
    <row r="72" spans="1:25" ht="16.149999999999999" customHeight="1" x14ac:dyDescent="0.2">
      <c r="A72" s="370"/>
      <c r="B72" s="369"/>
      <c r="C72" s="180">
        <f t="shared" si="2"/>
        <v>67000</v>
      </c>
      <c r="D72" s="223" t="s">
        <v>131</v>
      </c>
      <c r="E72" s="224" t="s">
        <v>151</v>
      </c>
      <c r="F72" s="224"/>
      <c r="G72" s="225"/>
      <c r="H72" s="226">
        <v>32000</v>
      </c>
      <c r="I72" s="227"/>
      <c r="J72" s="228"/>
      <c r="K72" s="229"/>
      <c r="L72" s="230"/>
      <c r="M72" s="179" t="s">
        <v>105</v>
      </c>
      <c r="N72" s="173"/>
      <c r="O72" s="159"/>
      <c r="P72" s="155">
        <v>29000</v>
      </c>
      <c r="Q72" s="219" t="s">
        <v>141</v>
      </c>
      <c r="R72" s="220"/>
      <c r="S72" s="218"/>
      <c r="T72" s="218"/>
      <c r="U72" s="221">
        <v>6000</v>
      </c>
      <c r="V72" s="204"/>
      <c r="W72" s="173"/>
      <c r="X72" s="206"/>
      <c r="Y72" s="205"/>
    </row>
    <row r="73" spans="1:25" ht="16.149999999999999" customHeight="1" x14ac:dyDescent="0.2">
      <c r="A73" s="370"/>
      <c r="B73" s="369"/>
      <c r="C73" s="180">
        <f t="shared" si="2"/>
        <v>0</v>
      </c>
      <c r="D73" s="223"/>
      <c r="E73" s="224"/>
      <c r="F73" s="224"/>
      <c r="G73" s="225"/>
      <c r="H73" s="226"/>
      <c r="I73" s="227"/>
      <c r="J73" s="228"/>
      <c r="K73" s="229"/>
      <c r="L73" s="230"/>
      <c r="M73" s="179"/>
      <c r="N73" s="173"/>
      <c r="O73" s="159"/>
      <c r="P73" s="155"/>
      <c r="Q73" s="219"/>
      <c r="R73" s="220"/>
      <c r="S73" s="218"/>
      <c r="T73" s="218"/>
      <c r="U73" s="221"/>
      <c r="V73" s="204"/>
      <c r="W73" s="173"/>
      <c r="X73" s="206"/>
      <c r="Y73" s="205"/>
    </row>
    <row r="74" spans="1:25" ht="16.149999999999999" customHeight="1" x14ac:dyDescent="0.2">
      <c r="A74" s="370"/>
      <c r="B74" s="369"/>
      <c r="C74" s="180">
        <f t="shared" si="2"/>
        <v>0</v>
      </c>
      <c r="D74" s="223"/>
      <c r="E74" s="224"/>
      <c r="F74" s="224"/>
      <c r="G74" s="225"/>
      <c r="H74" s="226"/>
      <c r="I74" s="227"/>
      <c r="J74" s="228"/>
      <c r="K74" s="229"/>
      <c r="L74" s="230"/>
      <c r="M74" s="179"/>
      <c r="N74" s="173"/>
      <c r="O74" s="159"/>
      <c r="P74" s="155"/>
      <c r="Q74" s="219"/>
      <c r="R74" s="220"/>
      <c r="S74" s="218"/>
      <c r="T74" s="218"/>
      <c r="U74" s="221"/>
      <c r="V74" s="204"/>
      <c r="W74" s="173"/>
      <c r="X74" s="206"/>
      <c r="Y74" s="205"/>
    </row>
    <row r="75" spans="1:25" ht="16.149999999999999" customHeight="1" x14ac:dyDescent="0.2">
      <c r="A75" s="370">
        <f>A71+1</f>
        <v>45064</v>
      </c>
      <c r="B75" s="369" t="str">
        <f>IF(WEEKDAY(A75)=1,"CN","T"&amp;WEEKDAY(A75))</f>
        <v>T5</v>
      </c>
      <c r="C75" s="180">
        <f t="shared" si="2"/>
        <v>41000</v>
      </c>
      <c r="D75" s="223"/>
      <c r="E75" s="224"/>
      <c r="F75" s="224"/>
      <c r="G75" s="225"/>
      <c r="H75" s="226"/>
      <c r="I75" s="227" t="s">
        <v>124</v>
      </c>
      <c r="J75" s="228"/>
      <c r="K75" s="229"/>
      <c r="L75" s="230">
        <v>41000</v>
      </c>
      <c r="M75" s="179"/>
      <c r="N75" s="173"/>
      <c r="O75" s="159"/>
      <c r="P75" s="155"/>
      <c r="Q75" s="219"/>
      <c r="R75" s="220"/>
      <c r="S75" s="218"/>
      <c r="T75" s="218"/>
      <c r="U75" s="221"/>
      <c r="V75" s="204" t="s">
        <v>115</v>
      </c>
      <c r="W75" s="173" t="s">
        <v>128</v>
      </c>
      <c r="X75" s="206"/>
      <c r="Y75" s="205">
        <v>78000</v>
      </c>
    </row>
    <row r="76" spans="1:25" ht="16.149999999999999" customHeight="1" x14ac:dyDescent="0.2">
      <c r="A76" s="370"/>
      <c r="B76" s="369"/>
      <c r="C76" s="180">
        <f t="shared" si="2"/>
        <v>57000</v>
      </c>
      <c r="D76" s="223" t="s">
        <v>131</v>
      </c>
      <c r="E76" s="224"/>
      <c r="F76" s="224"/>
      <c r="G76" s="225"/>
      <c r="H76" s="226">
        <v>38000</v>
      </c>
      <c r="I76" s="227"/>
      <c r="J76" s="228"/>
      <c r="K76" s="229"/>
      <c r="L76" s="230"/>
      <c r="M76" s="179"/>
      <c r="N76" s="173"/>
      <c r="O76" s="159"/>
      <c r="P76" s="155"/>
      <c r="Q76" s="219" t="s">
        <v>141</v>
      </c>
      <c r="R76" s="220"/>
      <c r="S76" s="218"/>
      <c r="T76" s="218"/>
      <c r="U76" s="221">
        <v>19000</v>
      </c>
      <c r="V76" s="204"/>
      <c r="W76" s="173"/>
      <c r="X76" s="206"/>
      <c r="Y76" s="205"/>
    </row>
    <row r="77" spans="1:25" ht="16.149999999999999" customHeight="1" x14ac:dyDescent="0.2">
      <c r="A77" s="370"/>
      <c r="B77" s="369"/>
      <c r="C77" s="180">
        <f t="shared" si="2"/>
        <v>19000</v>
      </c>
      <c r="D77" s="223"/>
      <c r="E77" s="224"/>
      <c r="F77" s="224"/>
      <c r="G77" s="225"/>
      <c r="H77" s="226"/>
      <c r="I77" s="227"/>
      <c r="J77" s="228"/>
      <c r="K77" s="229"/>
      <c r="L77" s="230"/>
      <c r="M77" s="179"/>
      <c r="N77" s="173"/>
      <c r="O77" s="159"/>
      <c r="P77" s="155"/>
      <c r="Q77" s="219" t="s">
        <v>142</v>
      </c>
      <c r="R77" s="220"/>
      <c r="S77" s="218"/>
      <c r="T77" s="218"/>
      <c r="U77" s="221">
        <v>19000</v>
      </c>
      <c r="V77" s="204"/>
      <c r="W77" s="173"/>
      <c r="X77" s="206"/>
      <c r="Y77" s="205"/>
    </row>
    <row r="78" spans="1:25" ht="16.149999999999999" customHeight="1" x14ac:dyDescent="0.2">
      <c r="A78" s="370"/>
      <c r="B78" s="369"/>
      <c r="C78" s="180">
        <f t="shared" si="2"/>
        <v>0</v>
      </c>
      <c r="D78" s="223"/>
      <c r="E78" s="224"/>
      <c r="F78" s="224"/>
      <c r="G78" s="225"/>
      <c r="H78" s="226"/>
      <c r="I78" s="227"/>
      <c r="J78" s="228"/>
      <c r="K78" s="229"/>
      <c r="L78" s="230"/>
      <c r="M78" s="179"/>
      <c r="N78" s="173"/>
      <c r="O78" s="159"/>
      <c r="P78" s="155"/>
      <c r="Q78" s="219"/>
      <c r="R78" s="220"/>
      <c r="S78" s="218"/>
      <c r="T78" s="218"/>
      <c r="U78" s="221"/>
      <c r="V78" s="204"/>
      <c r="W78" s="173"/>
      <c r="X78" s="206"/>
      <c r="Y78" s="205"/>
    </row>
    <row r="79" spans="1:25" ht="16.149999999999999" customHeight="1" x14ac:dyDescent="0.2">
      <c r="A79" s="370">
        <f>A75+1</f>
        <v>45065</v>
      </c>
      <c r="B79" s="369" t="str">
        <f>IF(WEEKDAY(A79)=1,"CN","T"&amp;WEEKDAY(A79))</f>
        <v>T6</v>
      </c>
      <c r="C79" s="180">
        <f t="shared" si="2"/>
        <v>117000</v>
      </c>
      <c r="D79" s="223" t="s">
        <v>131</v>
      </c>
      <c r="E79" s="224"/>
      <c r="F79" s="224"/>
      <c r="G79" s="225"/>
      <c r="H79" s="226">
        <v>38000</v>
      </c>
      <c r="I79" s="227" t="s">
        <v>124</v>
      </c>
      <c r="J79" s="228"/>
      <c r="K79" s="229"/>
      <c r="L79" s="230">
        <v>41000</v>
      </c>
      <c r="M79" s="179"/>
      <c r="N79" s="173"/>
      <c r="O79" s="159"/>
      <c r="P79" s="155"/>
      <c r="Q79" s="219" t="s">
        <v>139</v>
      </c>
      <c r="R79" s="220"/>
      <c r="S79" s="218"/>
      <c r="T79" s="218"/>
      <c r="U79" s="221">
        <v>38000</v>
      </c>
      <c r="V79" s="204" t="s">
        <v>124</v>
      </c>
      <c r="W79" s="173"/>
      <c r="X79" s="206"/>
      <c r="Y79" s="205">
        <v>82000</v>
      </c>
    </row>
    <row r="80" spans="1:25" ht="16.149999999999999" customHeight="1" x14ac:dyDescent="0.2">
      <c r="A80" s="370"/>
      <c r="B80" s="369"/>
      <c r="C80" s="180">
        <f t="shared" si="2"/>
        <v>0</v>
      </c>
      <c r="D80" s="223"/>
      <c r="E80" s="224"/>
      <c r="F80" s="224"/>
      <c r="G80" s="225"/>
      <c r="H80" s="226"/>
      <c r="I80" s="235"/>
      <c r="J80" s="236"/>
      <c r="K80" s="237"/>
      <c r="L80" s="238"/>
      <c r="M80" s="179"/>
      <c r="N80" s="173"/>
      <c r="O80" s="159"/>
      <c r="P80" s="155"/>
      <c r="Q80" s="219"/>
      <c r="R80" s="220"/>
      <c r="S80" s="218"/>
      <c r="T80" s="218"/>
      <c r="U80" s="221"/>
      <c r="V80" s="204"/>
      <c r="W80" s="173"/>
      <c r="X80" s="206"/>
      <c r="Y80" s="205"/>
    </row>
    <row r="81" spans="1:25" ht="16.149999999999999" customHeight="1" x14ac:dyDescent="0.2">
      <c r="A81" s="370"/>
      <c r="B81" s="369"/>
      <c r="C81" s="180">
        <f t="shared" si="2"/>
        <v>0</v>
      </c>
      <c r="D81" s="223"/>
      <c r="E81" s="224"/>
      <c r="F81" s="224"/>
      <c r="G81" s="225"/>
      <c r="H81" s="226"/>
      <c r="I81" s="235"/>
      <c r="J81" s="236"/>
      <c r="K81" s="237"/>
      <c r="L81" s="238"/>
      <c r="M81" s="179"/>
      <c r="N81" s="173"/>
      <c r="O81" s="159"/>
      <c r="P81" s="155"/>
      <c r="Q81" s="219"/>
      <c r="R81" s="220"/>
      <c r="S81" s="218"/>
      <c r="T81" s="218"/>
      <c r="U81" s="221"/>
      <c r="V81" s="204"/>
      <c r="W81" s="173"/>
      <c r="X81" s="206"/>
      <c r="Y81" s="205"/>
    </row>
    <row r="82" spans="1:25" ht="16.149999999999999" customHeight="1" x14ac:dyDescent="0.2">
      <c r="A82" s="370"/>
      <c r="B82" s="369"/>
      <c r="C82" s="180">
        <f t="shared" si="2"/>
        <v>0</v>
      </c>
      <c r="D82" s="223"/>
      <c r="E82" s="224"/>
      <c r="F82" s="224"/>
      <c r="G82" s="225"/>
      <c r="H82" s="226"/>
      <c r="I82" s="235"/>
      <c r="J82" s="236"/>
      <c r="K82" s="237"/>
      <c r="L82" s="238"/>
      <c r="M82" s="179"/>
      <c r="N82" s="173"/>
      <c r="O82" s="159"/>
      <c r="P82" s="155"/>
      <c r="Q82" s="219"/>
      <c r="R82" s="220"/>
      <c r="S82" s="218"/>
      <c r="T82" s="218"/>
      <c r="U82" s="221"/>
      <c r="V82" s="204"/>
      <c r="W82" s="173"/>
      <c r="X82" s="206"/>
      <c r="Y82" s="205"/>
    </row>
    <row r="83" spans="1:25" ht="16.149999999999999" customHeight="1" x14ac:dyDescent="0.2">
      <c r="A83" s="370">
        <f>A79+1</f>
        <v>45066</v>
      </c>
      <c r="B83" s="369" t="str">
        <f>IF(WEEKDAY(A83)=1,"CN","T"&amp;WEEKDAY(A83))</f>
        <v>T7</v>
      </c>
      <c r="C83" s="180">
        <f t="shared" si="2"/>
        <v>40000</v>
      </c>
      <c r="D83" s="223" t="s">
        <v>131</v>
      </c>
      <c r="E83" s="224"/>
      <c r="F83" s="224"/>
      <c r="G83" s="225"/>
      <c r="H83" s="226">
        <v>2000</v>
      </c>
      <c r="I83" s="235"/>
      <c r="J83" s="236"/>
      <c r="K83" s="237"/>
      <c r="L83" s="238"/>
      <c r="M83" s="179"/>
      <c r="N83" s="173"/>
      <c r="O83" s="159"/>
      <c r="P83" s="155"/>
      <c r="Q83" s="219" t="s">
        <v>139</v>
      </c>
      <c r="R83" s="220"/>
      <c r="S83" s="218"/>
      <c r="T83" s="218"/>
      <c r="U83" s="221">
        <v>38000</v>
      </c>
      <c r="V83" s="204"/>
      <c r="W83" s="173"/>
      <c r="X83" s="206"/>
      <c r="Y83" s="205"/>
    </row>
    <row r="84" spans="1:25" ht="16.149999999999999" customHeight="1" x14ac:dyDescent="0.2">
      <c r="A84" s="370"/>
      <c r="B84" s="369"/>
      <c r="C84" s="180">
        <f t="shared" si="2"/>
        <v>80000</v>
      </c>
      <c r="D84" s="247" t="s">
        <v>123</v>
      </c>
      <c r="E84" s="244" t="s">
        <v>156</v>
      </c>
      <c r="F84" s="244"/>
      <c r="G84" s="245"/>
      <c r="H84" s="246">
        <v>39000</v>
      </c>
      <c r="I84" s="227" t="s">
        <v>124</v>
      </c>
      <c r="J84" s="228"/>
      <c r="K84" s="229"/>
      <c r="L84" s="230">
        <v>41000</v>
      </c>
      <c r="M84" s="179"/>
      <c r="N84" s="173"/>
      <c r="O84" s="159"/>
      <c r="P84" s="155"/>
      <c r="Q84" s="219"/>
      <c r="R84" s="220"/>
      <c r="S84" s="218"/>
      <c r="T84" s="218"/>
      <c r="U84" s="221"/>
      <c r="V84" s="204"/>
      <c r="W84" s="173"/>
      <c r="X84" s="206"/>
      <c r="Y84" s="205"/>
    </row>
    <row r="85" spans="1:25" ht="16.149999999999999" customHeight="1" x14ac:dyDescent="0.2">
      <c r="A85" s="370"/>
      <c r="B85" s="369"/>
      <c r="C85" s="180">
        <f t="shared" si="2"/>
        <v>0</v>
      </c>
      <c r="D85" s="247"/>
      <c r="E85" s="244"/>
      <c r="F85" s="244"/>
      <c r="G85" s="245"/>
      <c r="H85" s="246"/>
      <c r="I85" s="227"/>
      <c r="J85" s="228"/>
      <c r="K85" s="229"/>
      <c r="L85" s="230"/>
      <c r="M85" s="179"/>
      <c r="N85" s="173"/>
      <c r="O85" s="159"/>
      <c r="P85" s="155"/>
      <c r="Q85" s="219"/>
      <c r="R85" s="220"/>
      <c r="S85" s="218"/>
      <c r="T85" s="218"/>
      <c r="U85" s="221"/>
      <c r="V85" s="204"/>
      <c r="W85" s="173"/>
      <c r="X85" s="206"/>
      <c r="Y85" s="205"/>
    </row>
    <row r="86" spans="1:25" ht="16.149999999999999" customHeight="1" x14ac:dyDescent="0.2">
      <c r="A86" s="370"/>
      <c r="B86" s="369"/>
      <c r="C86" s="180">
        <f t="shared" si="2"/>
        <v>0</v>
      </c>
      <c r="D86" s="247"/>
      <c r="E86" s="244"/>
      <c r="F86" s="244"/>
      <c r="G86" s="245"/>
      <c r="H86" s="246"/>
      <c r="I86" s="227"/>
      <c r="J86" s="228"/>
      <c r="K86" s="229"/>
      <c r="L86" s="230"/>
      <c r="M86" s="179"/>
      <c r="N86" s="173"/>
      <c r="O86" s="159"/>
      <c r="P86" s="155"/>
      <c r="Q86" s="219"/>
      <c r="R86" s="220"/>
      <c r="S86" s="218"/>
      <c r="T86" s="218"/>
      <c r="U86" s="221"/>
      <c r="V86" s="204"/>
      <c r="W86" s="173"/>
      <c r="X86" s="206"/>
      <c r="Y86" s="205"/>
    </row>
    <row r="87" spans="1:25" ht="16.149999999999999" customHeight="1" x14ac:dyDescent="0.2">
      <c r="A87" s="370">
        <f>A83+1</f>
        <v>45067</v>
      </c>
      <c r="B87" s="369" t="str">
        <f>IF(WEEKDAY(A87)=1,"CN","T"&amp;WEEKDAY(A87))</f>
        <v>CN</v>
      </c>
      <c r="C87" s="180">
        <f t="shared" si="2"/>
        <v>88000</v>
      </c>
      <c r="D87" s="247" t="s">
        <v>123</v>
      </c>
      <c r="E87" s="244"/>
      <c r="F87" s="244"/>
      <c r="G87" s="245"/>
      <c r="H87" s="246">
        <v>6000</v>
      </c>
      <c r="I87" s="227" t="s">
        <v>124</v>
      </c>
      <c r="J87" s="228"/>
      <c r="K87" s="229"/>
      <c r="L87" s="230">
        <v>41000</v>
      </c>
      <c r="M87" s="179" t="s">
        <v>160</v>
      </c>
      <c r="N87" s="173"/>
      <c r="O87" s="159"/>
      <c r="P87" s="155">
        <v>41000</v>
      </c>
      <c r="Q87" s="219" t="s">
        <v>145</v>
      </c>
      <c r="R87" s="220"/>
      <c r="S87" s="218"/>
      <c r="T87" s="218"/>
      <c r="U87" s="221"/>
      <c r="V87" s="204"/>
      <c r="W87" s="173"/>
      <c r="X87" s="206"/>
      <c r="Y87" s="205"/>
    </row>
    <row r="88" spans="1:25" ht="16.149999999999999" customHeight="1" x14ac:dyDescent="0.2">
      <c r="A88" s="370"/>
      <c r="B88" s="369"/>
      <c r="C88" s="180">
        <f t="shared" si="2"/>
        <v>3000</v>
      </c>
      <c r="D88" s="247" t="s">
        <v>157</v>
      </c>
      <c r="E88" s="244" t="s">
        <v>163</v>
      </c>
      <c r="F88" s="244"/>
      <c r="G88" s="245"/>
      <c r="H88" s="246">
        <v>3000</v>
      </c>
      <c r="I88" s="227"/>
      <c r="J88" s="228"/>
      <c r="K88" s="229"/>
      <c r="L88" s="230"/>
      <c r="M88" s="179"/>
      <c r="N88" s="173"/>
      <c r="O88" s="159"/>
      <c r="P88" s="155"/>
      <c r="Q88" s="219"/>
      <c r="R88" s="220"/>
      <c r="S88" s="218"/>
      <c r="T88" s="218"/>
      <c r="U88" s="221"/>
      <c r="V88" s="204"/>
      <c r="W88" s="173"/>
      <c r="X88" s="206"/>
      <c r="Y88" s="205"/>
    </row>
    <row r="89" spans="1:25" ht="16.149999999999999" customHeight="1" x14ac:dyDescent="0.2">
      <c r="A89" s="370"/>
      <c r="B89" s="369"/>
      <c r="C89" s="180">
        <f t="shared" si="2"/>
        <v>32000</v>
      </c>
      <c r="D89" s="164" t="s">
        <v>115</v>
      </c>
      <c r="E89" s="173"/>
      <c r="F89" s="173"/>
      <c r="G89" s="166"/>
      <c r="H89" s="165">
        <v>32000</v>
      </c>
      <c r="I89" s="227"/>
      <c r="J89" s="228"/>
      <c r="K89" s="229"/>
      <c r="L89" s="230"/>
      <c r="M89" s="179"/>
      <c r="N89" s="173"/>
      <c r="O89" s="159"/>
      <c r="P89" s="155"/>
      <c r="Q89" s="219"/>
      <c r="R89" s="220"/>
      <c r="S89" s="218"/>
      <c r="T89" s="218"/>
      <c r="U89" s="221"/>
      <c r="V89" s="204"/>
      <c r="W89" s="173"/>
      <c r="X89" s="206"/>
      <c r="Y89" s="205"/>
    </row>
    <row r="90" spans="1:25" ht="16.149999999999999" customHeight="1" x14ac:dyDescent="0.2">
      <c r="A90" s="370"/>
      <c r="B90" s="369"/>
      <c r="C90" s="180">
        <f t="shared" si="2"/>
        <v>0</v>
      </c>
      <c r="D90" s="164"/>
      <c r="E90" s="173"/>
      <c r="F90" s="173"/>
      <c r="G90" s="166"/>
      <c r="H90" s="165"/>
      <c r="I90" s="227"/>
      <c r="J90" s="228"/>
      <c r="K90" s="229"/>
      <c r="L90" s="230"/>
      <c r="M90" s="179"/>
      <c r="N90" s="173"/>
      <c r="O90" s="159"/>
      <c r="P90" s="155"/>
      <c r="Q90" s="219"/>
      <c r="R90" s="220"/>
      <c r="S90" s="218"/>
      <c r="T90" s="218"/>
      <c r="U90" s="221"/>
      <c r="V90" s="204"/>
      <c r="W90" s="173"/>
      <c r="X90" s="206"/>
      <c r="Y90" s="205"/>
    </row>
    <row r="91" spans="1:25" ht="16.149999999999999" customHeight="1" x14ac:dyDescent="0.2">
      <c r="A91" s="370">
        <f>A87+1</f>
        <v>45068</v>
      </c>
      <c r="B91" s="369" t="str">
        <f>IF(WEEKDAY(A91)=1,"CN","T"&amp;WEEKDAY(A91))</f>
        <v>T2</v>
      </c>
      <c r="C91" s="180">
        <f t="shared" si="2"/>
        <v>94000</v>
      </c>
      <c r="D91" s="164" t="s">
        <v>115</v>
      </c>
      <c r="E91" s="173"/>
      <c r="F91" s="173"/>
      <c r="G91" s="166"/>
      <c r="H91" s="165">
        <v>52000</v>
      </c>
      <c r="I91" s="235" t="s">
        <v>124</v>
      </c>
      <c r="J91" s="236"/>
      <c r="K91" s="237"/>
      <c r="L91" s="238">
        <v>4000</v>
      </c>
      <c r="M91" s="179"/>
      <c r="N91" s="173"/>
      <c r="O91" s="159"/>
      <c r="P91" s="155"/>
      <c r="Q91" s="219"/>
      <c r="R91" s="220"/>
      <c r="S91" s="218"/>
      <c r="T91" s="218"/>
      <c r="U91" s="221">
        <v>38000</v>
      </c>
      <c r="V91" s="204"/>
      <c r="W91" s="173"/>
      <c r="X91" s="206"/>
      <c r="Y91" s="205"/>
    </row>
    <row r="92" spans="1:25" ht="16.149999999999999" customHeight="1" x14ac:dyDescent="0.2">
      <c r="A92" s="370"/>
      <c r="B92" s="369"/>
      <c r="C92" s="180">
        <f t="shared" si="2"/>
        <v>76000</v>
      </c>
      <c r="D92" s="164"/>
      <c r="E92" s="173"/>
      <c r="F92" s="173"/>
      <c r="G92" s="166"/>
      <c r="H92" s="165"/>
      <c r="I92" s="239" t="s">
        <v>124</v>
      </c>
      <c r="J92" s="240"/>
      <c r="K92" s="241"/>
      <c r="L92" s="242">
        <v>35000</v>
      </c>
      <c r="M92" s="179" t="s">
        <v>160</v>
      </c>
      <c r="N92" s="173"/>
      <c r="O92" s="159"/>
      <c r="P92" s="155">
        <v>41000</v>
      </c>
      <c r="Q92" s="219"/>
      <c r="R92" s="220"/>
      <c r="S92" s="218"/>
      <c r="T92" s="218"/>
      <c r="U92" s="221"/>
      <c r="V92" s="204"/>
      <c r="W92" s="173"/>
      <c r="X92" s="206"/>
      <c r="Y92" s="205"/>
    </row>
    <row r="93" spans="1:25" ht="16.149999999999999" customHeight="1" x14ac:dyDescent="0.2">
      <c r="A93" s="370"/>
      <c r="B93" s="369"/>
      <c r="C93" s="180">
        <f t="shared" si="2"/>
        <v>0</v>
      </c>
      <c r="D93" s="164"/>
      <c r="E93" s="173"/>
      <c r="F93" s="173"/>
      <c r="G93" s="166"/>
      <c r="H93" s="165"/>
      <c r="I93" s="239"/>
      <c r="J93" s="240"/>
      <c r="K93" s="241"/>
      <c r="L93" s="242"/>
      <c r="M93" s="179"/>
      <c r="N93" s="173"/>
      <c r="O93" s="159"/>
      <c r="P93" s="155"/>
      <c r="Q93" s="219"/>
      <c r="R93" s="220"/>
      <c r="S93" s="218"/>
      <c r="T93" s="218"/>
      <c r="U93" s="221"/>
      <c r="V93" s="204"/>
      <c r="W93" s="173"/>
      <c r="X93" s="206"/>
      <c r="Y93" s="205"/>
    </row>
    <row r="94" spans="1:25" ht="16.149999999999999" customHeight="1" x14ac:dyDescent="0.2">
      <c r="A94" s="370"/>
      <c r="B94" s="369"/>
      <c r="C94" s="180">
        <f t="shared" si="2"/>
        <v>0</v>
      </c>
      <c r="D94" s="164"/>
      <c r="E94" s="173"/>
      <c r="F94" s="173"/>
      <c r="G94" s="166"/>
      <c r="H94" s="165"/>
      <c r="I94" s="239"/>
      <c r="J94" s="240"/>
      <c r="K94" s="241"/>
      <c r="L94" s="242"/>
      <c r="M94" s="179"/>
      <c r="N94" s="173"/>
      <c r="O94" s="159"/>
      <c r="P94" s="155"/>
      <c r="Q94" s="219"/>
      <c r="R94" s="220"/>
      <c r="S94" s="218"/>
      <c r="T94" s="218"/>
      <c r="U94" s="221"/>
      <c r="V94" s="204"/>
      <c r="W94" s="173"/>
      <c r="X94" s="206"/>
      <c r="Y94" s="205"/>
    </row>
    <row r="95" spans="1:25" ht="16.149999999999999" customHeight="1" x14ac:dyDescent="0.2">
      <c r="A95" s="370">
        <f>A91+1</f>
        <v>45069</v>
      </c>
      <c r="B95" s="369" t="str">
        <f>IF(WEEKDAY(A95)=1,"CN","T"&amp;WEEKDAY(A95))</f>
        <v>T3</v>
      </c>
      <c r="C95" s="180">
        <f t="shared" si="2"/>
        <v>123000</v>
      </c>
      <c r="D95" s="222" t="s">
        <v>121</v>
      </c>
      <c r="E95" s="220" t="s">
        <v>158</v>
      </c>
      <c r="F95" s="220"/>
      <c r="G95" s="218"/>
      <c r="H95" s="221">
        <v>24000</v>
      </c>
      <c r="I95" s="239" t="s">
        <v>124</v>
      </c>
      <c r="J95" s="240"/>
      <c r="K95" s="241"/>
      <c r="L95" s="242">
        <v>41000</v>
      </c>
      <c r="M95" s="179" t="s">
        <v>160</v>
      </c>
      <c r="N95" s="173"/>
      <c r="O95" s="159"/>
      <c r="P95" s="155">
        <v>41000</v>
      </c>
      <c r="Q95" s="219"/>
      <c r="R95" s="220"/>
      <c r="S95" s="218"/>
      <c r="T95" s="218"/>
      <c r="U95" s="221">
        <v>17000</v>
      </c>
      <c r="V95" s="204"/>
      <c r="W95" s="173"/>
      <c r="X95" s="206"/>
      <c r="Y95" s="205"/>
    </row>
    <row r="96" spans="1:25" ht="16.149999999999999" customHeight="1" x14ac:dyDescent="0.2">
      <c r="A96" s="370"/>
      <c r="B96" s="369"/>
      <c r="C96" s="180">
        <f t="shared" si="2"/>
        <v>35000</v>
      </c>
      <c r="D96" s="222" t="s">
        <v>104</v>
      </c>
      <c r="E96" s="220"/>
      <c r="F96" s="220"/>
      <c r="G96" s="218"/>
      <c r="H96" s="221">
        <v>14000</v>
      </c>
      <c r="I96" s="227"/>
      <c r="J96" s="228"/>
      <c r="K96" s="229"/>
      <c r="L96" s="230"/>
      <c r="M96" s="179"/>
      <c r="N96" s="173"/>
      <c r="O96" s="159"/>
      <c r="P96" s="155"/>
      <c r="Q96" s="219" t="s">
        <v>143</v>
      </c>
      <c r="R96" s="220"/>
      <c r="S96" s="218"/>
      <c r="T96" s="218"/>
      <c r="U96" s="221">
        <v>21000</v>
      </c>
      <c r="V96" s="204"/>
      <c r="W96" s="173"/>
      <c r="X96" s="206"/>
      <c r="Y96" s="205"/>
    </row>
    <row r="97" spans="1:25" ht="16.149999999999999" customHeight="1" x14ac:dyDescent="0.2">
      <c r="A97" s="370"/>
      <c r="B97" s="369"/>
      <c r="C97" s="180">
        <f t="shared" si="2"/>
        <v>0</v>
      </c>
      <c r="D97" s="222"/>
      <c r="E97" s="220"/>
      <c r="F97" s="220"/>
      <c r="G97" s="218"/>
      <c r="H97" s="221"/>
      <c r="I97" s="227"/>
      <c r="J97" s="228"/>
      <c r="K97" s="229"/>
      <c r="L97" s="230"/>
      <c r="M97" s="179"/>
      <c r="N97" s="173"/>
      <c r="O97" s="159"/>
      <c r="P97" s="155"/>
      <c r="Q97" s="219"/>
      <c r="R97" s="220"/>
      <c r="S97" s="218"/>
      <c r="T97" s="218"/>
      <c r="U97" s="221"/>
      <c r="V97" s="204"/>
      <c r="W97" s="173"/>
      <c r="X97" s="206"/>
      <c r="Y97" s="205"/>
    </row>
    <row r="98" spans="1:25" ht="16.149999999999999" customHeight="1" x14ac:dyDescent="0.2">
      <c r="A98" s="370"/>
      <c r="B98" s="369"/>
      <c r="C98" s="180">
        <f t="shared" si="2"/>
        <v>0</v>
      </c>
      <c r="D98" s="222"/>
      <c r="E98" s="220"/>
      <c r="F98" s="220"/>
      <c r="G98" s="218"/>
      <c r="H98" s="221"/>
      <c r="I98" s="227"/>
      <c r="J98" s="228"/>
      <c r="K98" s="229"/>
      <c r="L98" s="230"/>
      <c r="M98" s="179"/>
      <c r="N98" s="173"/>
      <c r="O98" s="159"/>
      <c r="P98" s="155"/>
      <c r="Q98" s="219"/>
      <c r="R98" s="220"/>
      <c r="S98" s="218"/>
      <c r="T98" s="218"/>
      <c r="U98" s="221"/>
      <c r="V98" s="204"/>
      <c r="W98" s="173"/>
      <c r="X98" s="206"/>
      <c r="Y98" s="205"/>
    </row>
    <row r="99" spans="1:25" ht="16.149999999999999" customHeight="1" x14ac:dyDescent="0.2">
      <c r="A99" s="370">
        <f>A95+1</f>
        <v>45070</v>
      </c>
      <c r="B99" s="369" t="str">
        <f>IF(WEEKDAY(A99)=1,"CN","T"&amp;WEEKDAY(A99))</f>
        <v>T4</v>
      </c>
      <c r="C99" s="180">
        <f t="shared" ref="C99:C134" si="3">SUM(D99:U99)</f>
        <v>85000</v>
      </c>
      <c r="D99" s="222" t="s">
        <v>104</v>
      </c>
      <c r="E99" s="220"/>
      <c r="F99" s="220"/>
      <c r="G99" s="218"/>
      <c r="H99" s="221">
        <v>6000</v>
      </c>
      <c r="I99" s="227"/>
      <c r="J99" s="228"/>
      <c r="K99" s="229"/>
      <c r="L99" s="230"/>
      <c r="M99" s="179" t="s">
        <v>160</v>
      </c>
      <c r="N99" s="173"/>
      <c r="O99" s="159"/>
      <c r="P99" s="155">
        <v>41000</v>
      </c>
      <c r="Q99" s="219"/>
      <c r="R99" s="220"/>
      <c r="S99" s="218"/>
      <c r="T99" s="218"/>
      <c r="U99" s="221">
        <v>38000</v>
      </c>
      <c r="V99" s="204"/>
      <c r="W99" s="173"/>
      <c r="X99" s="206"/>
      <c r="Y99" s="205"/>
    </row>
    <row r="100" spans="1:25" ht="16.149999999999999" customHeight="1" x14ac:dyDescent="0.2">
      <c r="A100" s="370"/>
      <c r="B100" s="369"/>
      <c r="C100" s="180">
        <f t="shared" si="3"/>
        <v>34000</v>
      </c>
      <c r="D100" s="164"/>
      <c r="E100" s="173"/>
      <c r="F100" s="173"/>
      <c r="G100" s="166"/>
      <c r="H100" s="165"/>
      <c r="I100" s="227" t="s">
        <v>124</v>
      </c>
      <c r="J100" s="228"/>
      <c r="K100" s="229"/>
      <c r="L100" s="230">
        <v>34000</v>
      </c>
      <c r="M100" s="179"/>
      <c r="N100" s="173"/>
      <c r="O100" s="159"/>
      <c r="P100" s="155"/>
      <c r="Q100" s="219"/>
      <c r="R100" s="220"/>
      <c r="S100" s="218"/>
      <c r="T100" s="218"/>
      <c r="U100" s="221"/>
      <c r="V100" s="204"/>
      <c r="W100" s="173"/>
      <c r="X100" s="206"/>
      <c r="Y100" s="205"/>
    </row>
    <row r="101" spans="1:25" ht="16.149999999999999" customHeight="1" x14ac:dyDescent="0.2">
      <c r="A101" s="370"/>
      <c r="B101" s="369"/>
      <c r="C101" s="180">
        <f t="shared" si="3"/>
        <v>7000</v>
      </c>
      <c r="D101" s="164"/>
      <c r="E101" s="173"/>
      <c r="F101" s="173"/>
      <c r="G101" s="166"/>
      <c r="H101" s="165"/>
      <c r="I101" s="243" t="s">
        <v>105</v>
      </c>
      <c r="J101" s="244"/>
      <c r="K101" s="245"/>
      <c r="L101" s="246">
        <v>7000</v>
      </c>
      <c r="M101" s="179"/>
      <c r="N101" s="173"/>
      <c r="O101" s="159"/>
      <c r="P101" s="155"/>
      <c r="Q101" s="219"/>
      <c r="R101" s="220"/>
      <c r="S101" s="218"/>
      <c r="T101" s="218"/>
      <c r="U101" s="221"/>
      <c r="V101" s="204"/>
      <c r="W101" s="173"/>
      <c r="X101" s="206"/>
      <c r="Y101" s="205"/>
    </row>
    <row r="102" spans="1:25" ht="16.149999999999999" customHeight="1" x14ac:dyDescent="0.2">
      <c r="A102" s="370"/>
      <c r="B102" s="369"/>
      <c r="C102" s="180">
        <f t="shared" si="3"/>
        <v>0</v>
      </c>
      <c r="D102" s="164"/>
      <c r="E102" s="173"/>
      <c r="F102" s="173"/>
      <c r="G102" s="166"/>
      <c r="H102" s="165"/>
      <c r="I102" s="243"/>
      <c r="J102" s="244"/>
      <c r="K102" s="245"/>
      <c r="L102" s="246"/>
      <c r="M102" s="179"/>
      <c r="N102" s="173"/>
      <c r="O102" s="159"/>
      <c r="P102" s="155"/>
      <c r="Q102" s="219"/>
      <c r="R102" s="220"/>
      <c r="S102" s="218"/>
      <c r="T102" s="218"/>
      <c r="U102" s="221"/>
      <c r="V102" s="204"/>
      <c r="W102" s="173"/>
      <c r="X102" s="206"/>
      <c r="Y102" s="205"/>
    </row>
    <row r="103" spans="1:25" ht="16.149999999999999" customHeight="1" x14ac:dyDescent="0.2">
      <c r="A103" s="370">
        <f>A99+1</f>
        <v>45071</v>
      </c>
      <c r="B103" s="369" t="str">
        <f>IF(WEEKDAY(A103)=1,"CN","T"&amp;WEEKDAY(A103))</f>
        <v>T5</v>
      </c>
      <c r="C103" s="180">
        <f t="shared" si="3"/>
        <v>107000</v>
      </c>
      <c r="D103" s="164"/>
      <c r="E103" s="173"/>
      <c r="F103" s="173"/>
      <c r="G103" s="166"/>
      <c r="H103" s="165"/>
      <c r="I103" s="243" t="s">
        <v>105</v>
      </c>
      <c r="J103" s="244"/>
      <c r="K103" s="245"/>
      <c r="L103" s="246">
        <v>28000</v>
      </c>
      <c r="M103" s="179" t="s">
        <v>160</v>
      </c>
      <c r="N103" s="173"/>
      <c r="O103" s="159"/>
      <c r="P103" s="155">
        <v>41000</v>
      </c>
      <c r="Q103" s="219"/>
      <c r="R103" s="220"/>
      <c r="S103" s="218"/>
      <c r="T103" s="218"/>
      <c r="U103" s="221">
        <v>38000</v>
      </c>
      <c r="V103" s="204"/>
      <c r="W103" s="173"/>
      <c r="X103" s="206"/>
      <c r="Y103" s="205"/>
    </row>
    <row r="104" spans="1:25" ht="16.149999999999999" customHeight="1" x14ac:dyDescent="0.2">
      <c r="A104" s="370"/>
      <c r="B104" s="369"/>
      <c r="C104" s="180">
        <f t="shared" si="3"/>
        <v>13000</v>
      </c>
      <c r="D104" s="164"/>
      <c r="E104" s="173"/>
      <c r="F104" s="173"/>
      <c r="G104" s="166"/>
      <c r="H104" s="165"/>
      <c r="I104" s="243" t="s">
        <v>152</v>
      </c>
      <c r="J104" s="244"/>
      <c r="K104" s="245"/>
      <c r="L104" s="246">
        <v>13000</v>
      </c>
      <c r="M104" s="179"/>
      <c r="N104" s="173"/>
      <c r="O104" s="159"/>
      <c r="P104" s="155"/>
      <c r="Q104" s="219"/>
      <c r="R104" s="220"/>
      <c r="S104" s="218"/>
      <c r="T104" s="218"/>
      <c r="U104" s="221"/>
      <c r="V104" s="204"/>
      <c r="W104" s="173"/>
      <c r="X104" s="206"/>
      <c r="Y104" s="205"/>
    </row>
    <row r="105" spans="1:25" ht="16.149999999999999" customHeight="1" x14ac:dyDescent="0.2">
      <c r="A105" s="370"/>
      <c r="B105" s="369"/>
      <c r="C105" s="180">
        <f t="shared" si="3"/>
        <v>0</v>
      </c>
      <c r="D105" s="164"/>
      <c r="E105" s="173"/>
      <c r="F105" s="173"/>
      <c r="G105" s="166"/>
      <c r="H105" s="165"/>
      <c r="I105" s="243"/>
      <c r="J105" s="244"/>
      <c r="K105" s="245"/>
      <c r="L105" s="246"/>
      <c r="M105" s="179"/>
      <c r="N105" s="173"/>
      <c r="O105" s="159"/>
      <c r="P105" s="155"/>
      <c r="Q105" s="219"/>
      <c r="R105" s="220"/>
      <c r="S105" s="218"/>
      <c r="T105" s="218"/>
      <c r="U105" s="221"/>
      <c r="V105" s="204"/>
      <c r="W105" s="173"/>
      <c r="X105" s="206"/>
      <c r="Y105" s="205"/>
    </row>
    <row r="106" spans="1:25" ht="16.149999999999999" customHeight="1" x14ac:dyDescent="0.2">
      <c r="A106" s="370"/>
      <c r="B106" s="369"/>
      <c r="C106" s="180">
        <f t="shared" si="3"/>
        <v>0</v>
      </c>
      <c r="D106" s="164"/>
      <c r="E106" s="173"/>
      <c r="F106" s="173"/>
      <c r="G106" s="166"/>
      <c r="H106" s="165"/>
      <c r="I106" s="243"/>
      <c r="J106" s="244"/>
      <c r="K106" s="245"/>
      <c r="L106" s="246"/>
      <c r="M106" s="179"/>
      <c r="N106" s="173"/>
      <c r="O106" s="159"/>
      <c r="P106" s="155"/>
      <c r="Q106" s="219"/>
      <c r="R106" s="220"/>
      <c r="S106" s="218"/>
      <c r="T106" s="218"/>
      <c r="U106" s="221"/>
      <c r="V106" s="204"/>
      <c r="W106" s="173"/>
      <c r="X106" s="206"/>
      <c r="Y106" s="205"/>
    </row>
    <row r="107" spans="1:25" ht="16.149999999999999" customHeight="1" x14ac:dyDescent="0.2">
      <c r="A107" s="370">
        <f>A103+1</f>
        <v>45072</v>
      </c>
      <c r="B107" s="369" t="str">
        <f>IF(WEEKDAY(A107)=1,"CN","T"&amp;WEEKDAY(A107))</f>
        <v>T6</v>
      </c>
      <c r="C107" s="180">
        <f t="shared" si="3"/>
        <v>76000</v>
      </c>
      <c r="D107" s="164"/>
      <c r="E107" s="173"/>
      <c r="F107" s="173"/>
      <c r="G107" s="166"/>
      <c r="H107" s="165"/>
      <c r="I107" s="243" t="s">
        <v>152</v>
      </c>
      <c r="J107" s="244"/>
      <c r="K107" s="245"/>
      <c r="L107" s="246">
        <v>7000</v>
      </c>
      <c r="M107" s="179" t="s">
        <v>160</v>
      </c>
      <c r="N107" s="173"/>
      <c r="O107" s="159"/>
      <c r="P107" s="155">
        <v>41000</v>
      </c>
      <c r="Q107" s="219"/>
      <c r="R107" s="220" t="s">
        <v>146</v>
      </c>
      <c r="S107" s="218"/>
      <c r="T107" s="218"/>
      <c r="U107" s="221">
        <v>28000</v>
      </c>
      <c r="V107" s="204" t="s">
        <v>162</v>
      </c>
      <c r="W107" s="173"/>
      <c r="X107" s="206"/>
      <c r="Y107" s="205"/>
    </row>
    <row r="108" spans="1:25" ht="16.149999999999999" customHeight="1" x14ac:dyDescent="0.2">
      <c r="A108" s="370"/>
      <c r="B108" s="369"/>
      <c r="C108" s="180">
        <f t="shared" si="3"/>
        <v>44000</v>
      </c>
      <c r="D108" s="164"/>
      <c r="E108" s="173"/>
      <c r="F108" s="173"/>
      <c r="G108" s="166"/>
      <c r="H108" s="165"/>
      <c r="I108" s="227" t="s">
        <v>124</v>
      </c>
      <c r="J108" s="228"/>
      <c r="K108" s="229"/>
      <c r="L108" s="230">
        <v>34000</v>
      </c>
      <c r="M108" s="179"/>
      <c r="N108" s="173"/>
      <c r="O108" s="159"/>
      <c r="P108" s="155"/>
      <c r="Q108" s="212" t="s">
        <v>143</v>
      </c>
      <c r="R108" s="173"/>
      <c r="S108" s="213"/>
      <c r="T108" s="213"/>
      <c r="U108" s="214">
        <v>10000</v>
      </c>
      <c r="V108" s="204"/>
      <c r="W108" s="173"/>
      <c r="X108" s="206"/>
      <c r="Y108" s="205"/>
    </row>
    <row r="109" spans="1:25" ht="16.149999999999999" customHeight="1" x14ac:dyDescent="0.2">
      <c r="A109" s="370"/>
      <c r="B109" s="369"/>
      <c r="C109" s="180">
        <f t="shared" si="3"/>
        <v>0</v>
      </c>
      <c r="D109" s="164"/>
      <c r="E109" s="173"/>
      <c r="F109" s="173"/>
      <c r="G109" s="166"/>
      <c r="H109" s="165"/>
      <c r="I109" s="227"/>
      <c r="J109" s="228"/>
      <c r="K109" s="229"/>
      <c r="L109" s="230"/>
      <c r="M109" s="179"/>
      <c r="N109" s="173"/>
      <c r="O109" s="159"/>
      <c r="P109" s="155"/>
      <c r="Q109" s="212"/>
      <c r="R109" s="173"/>
      <c r="S109" s="213"/>
      <c r="T109" s="213"/>
      <c r="U109" s="214"/>
      <c r="V109" s="204"/>
      <c r="W109" s="173"/>
      <c r="X109" s="206"/>
      <c r="Y109" s="205"/>
    </row>
    <row r="110" spans="1:25" ht="16.149999999999999" customHeight="1" x14ac:dyDescent="0.2">
      <c r="A110" s="370"/>
      <c r="B110" s="369"/>
      <c r="C110" s="180">
        <f t="shared" si="3"/>
        <v>0</v>
      </c>
      <c r="D110" s="164"/>
      <c r="E110" s="173"/>
      <c r="F110" s="173"/>
      <c r="G110" s="166"/>
      <c r="H110" s="165"/>
      <c r="I110" s="227"/>
      <c r="J110" s="228"/>
      <c r="K110" s="229"/>
      <c r="L110" s="230"/>
      <c r="M110" s="179"/>
      <c r="N110" s="173"/>
      <c r="O110" s="159"/>
      <c r="P110" s="155"/>
      <c r="Q110" s="212"/>
      <c r="R110" s="173"/>
      <c r="S110" s="213"/>
      <c r="T110" s="213"/>
      <c r="U110" s="214"/>
      <c r="V110" s="204"/>
      <c r="W110" s="173"/>
      <c r="X110" s="206"/>
      <c r="Y110" s="205"/>
    </row>
    <row r="111" spans="1:25" ht="16.149999999999999" customHeight="1" x14ac:dyDescent="0.2">
      <c r="A111" s="370">
        <f>A107+1</f>
        <v>45073</v>
      </c>
      <c r="B111" s="369" t="str">
        <f>IF(WEEKDAY(A111)=1,"CN","T"&amp;WEEKDAY(A111))</f>
        <v>T7</v>
      </c>
      <c r="C111" s="180">
        <f t="shared" si="3"/>
        <v>120000</v>
      </c>
      <c r="D111" s="164"/>
      <c r="E111" s="173"/>
      <c r="F111" s="173"/>
      <c r="G111" s="166"/>
      <c r="H111" s="165"/>
      <c r="I111" s="227" t="s">
        <v>124</v>
      </c>
      <c r="J111" s="228"/>
      <c r="K111" s="229"/>
      <c r="L111" s="230">
        <v>41000</v>
      </c>
      <c r="M111" s="179" t="s">
        <v>160</v>
      </c>
      <c r="N111" s="173"/>
      <c r="O111" s="159"/>
      <c r="P111" s="155">
        <v>41000</v>
      </c>
      <c r="Q111" s="212" t="s">
        <v>143</v>
      </c>
      <c r="R111" s="173"/>
      <c r="S111" s="213"/>
      <c r="T111" s="213"/>
      <c r="U111" s="214">
        <v>38000</v>
      </c>
      <c r="V111" s="204"/>
      <c r="W111" s="173"/>
      <c r="X111" s="206"/>
      <c r="Y111" s="205"/>
    </row>
    <row r="112" spans="1:25" ht="16.149999999999999" customHeight="1" x14ac:dyDescent="0.2">
      <c r="A112" s="370"/>
      <c r="B112" s="369"/>
      <c r="C112" s="180">
        <f t="shared" si="3"/>
        <v>0</v>
      </c>
      <c r="D112" s="164"/>
      <c r="E112" s="173"/>
      <c r="F112" s="173"/>
      <c r="G112" s="166"/>
      <c r="H112" s="165"/>
      <c r="I112" s="227"/>
      <c r="J112" s="228"/>
      <c r="K112" s="229"/>
      <c r="L112" s="230"/>
      <c r="M112" s="179"/>
      <c r="N112" s="173"/>
      <c r="O112" s="159"/>
      <c r="P112" s="155"/>
      <c r="Q112" s="212"/>
      <c r="R112" s="173"/>
      <c r="S112" s="213"/>
      <c r="T112" s="213"/>
      <c r="U112" s="214"/>
      <c r="V112" s="204"/>
      <c r="W112" s="173"/>
      <c r="X112" s="206"/>
      <c r="Y112" s="205"/>
    </row>
    <row r="113" spans="1:25" ht="16.149999999999999" customHeight="1" x14ac:dyDescent="0.2">
      <c r="A113" s="370"/>
      <c r="B113" s="369"/>
      <c r="C113" s="180">
        <f t="shared" si="3"/>
        <v>0</v>
      </c>
      <c r="D113" s="164"/>
      <c r="E113" s="173"/>
      <c r="F113" s="173"/>
      <c r="G113" s="166"/>
      <c r="H113" s="165"/>
      <c r="I113" s="227"/>
      <c r="J113" s="228"/>
      <c r="K113" s="229"/>
      <c r="L113" s="230"/>
      <c r="M113" s="179"/>
      <c r="N113" s="173"/>
      <c r="O113" s="159"/>
      <c r="P113" s="155"/>
      <c r="Q113" s="212"/>
      <c r="R113" s="173"/>
      <c r="S113" s="213"/>
      <c r="T113" s="213"/>
      <c r="U113" s="214"/>
      <c r="V113" s="204"/>
      <c r="W113" s="173"/>
      <c r="X113" s="206"/>
      <c r="Y113" s="205"/>
    </row>
    <row r="114" spans="1:25" ht="16.149999999999999" customHeight="1" x14ac:dyDescent="0.2">
      <c r="A114" s="370"/>
      <c r="B114" s="369"/>
      <c r="C114" s="180">
        <f t="shared" si="3"/>
        <v>0</v>
      </c>
      <c r="D114" s="164"/>
      <c r="E114" s="173"/>
      <c r="F114" s="173"/>
      <c r="G114" s="166"/>
      <c r="H114" s="165"/>
      <c r="I114" s="227"/>
      <c r="J114" s="228"/>
      <c r="K114" s="229"/>
      <c r="L114" s="230"/>
      <c r="M114" s="179"/>
      <c r="N114" s="173"/>
      <c r="O114" s="159"/>
      <c r="P114" s="155"/>
      <c r="Q114" s="212"/>
      <c r="R114" s="173"/>
      <c r="S114" s="213"/>
      <c r="T114" s="213"/>
      <c r="U114" s="214"/>
      <c r="V114" s="204"/>
      <c r="W114" s="173"/>
      <c r="X114" s="206"/>
      <c r="Y114" s="205"/>
    </row>
    <row r="115" spans="1:25" ht="16.149999999999999" customHeight="1" x14ac:dyDescent="0.2">
      <c r="A115" s="370">
        <f>A111+1</f>
        <v>45074</v>
      </c>
      <c r="B115" s="369" t="str">
        <f>IF(WEEKDAY(A115)=1,"CN","T"&amp;WEEKDAY(A115))</f>
        <v>CN</v>
      </c>
      <c r="C115" s="180">
        <f t="shared" si="3"/>
        <v>61000</v>
      </c>
      <c r="D115" s="164"/>
      <c r="E115" s="173"/>
      <c r="F115" s="173"/>
      <c r="G115" s="166"/>
      <c r="H115" s="165"/>
      <c r="I115" s="227" t="s">
        <v>124</v>
      </c>
      <c r="J115" s="228"/>
      <c r="K115" s="229"/>
      <c r="L115" s="230">
        <v>20000</v>
      </c>
      <c r="M115" s="179" t="s">
        <v>160</v>
      </c>
      <c r="N115" s="173"/>
      <c r="O115" s="159"/>
      <c r="P115" s="155">
        <v>41000</v>
      </c>
      <c r="Q115" s="212"/>
      <c r="R115" s="173"/>
      <c r="S115" s="213"/>
      <c r="T115" s="213"/>
      <c r="U115" s="214"/>
      <c r="V115" s="204"/>
      <c r="W115" s="173"/>
      <c r="X115" s="206"/>
      <c r="Y115" s="205"/>
    </row>
    <row r="116" spans="1:25" ht="16.149999999999999" customHeight="1" x14ac:dyDescent="0.2">
      <c r="A116" s="370"/>
      <c r="B116" s="369"/>
      <c r="C116" s="180">
        <f t="shared" si="3"/>
        <v>0</v>
      </c>
      <c r="D116" s="164"/>
      <c r="E116" s="173"/>
      <c r="F116" s="173"/>
      <c r="G116" s="166"/>
      <c r="H116" s="165"/>
      <c r="I116" s="227"/>
      <c r="J116" s="228"/>
      <c r="K116" s="229"/>
      <c r="L116" s="230"/>
      <c r="M116" s="179"/>
      <c r="N116" s="173"/>
      <c r="O116" s="159"/>
      <c r="P116" s="155"/>
      <c r="Q116" s="212"/>
      <c r="R116" s="173"/>
      <c r="S116" s="213"/>
      <c r="T116" s="213"/>
      <c r="U116" s="214"/>
      <c r="V116" s="204"/>
      <c r="W116" s="173"/>
      <c r="X116" s="206"/>
      <c r="Y116" s="205"/>
    </row>
    <row r="117" spans="1:25" ht="16.149999999999999" customHeight="1" x14ac:dyDescent="0.2">
      <c r="A117" s="370"/>
      <c r="B117" s="369"/>
      <c r="C117" s="180">
        <f t="shared" si="3"/>
        <v>0</v>
      </c>
      <c r="D117" s="164"/>
      <c r="E117" s="173"/>
      <c r="F117" s="173"/>
      <c r="G117" s="166"/>
      <c r="H117" s="165"/>
      <c r="I117" s="227"/>
      <c r="J117" s="228"/>
      <c r="K117" s="229"/>
      <c r="L117" s="230"/>
      <c r="M117" s="179"/>
      <c r="N117" s="173"/>
      <c r="O117" s="159"/>
      <c r="P117" s="155"/>
      <c r="Q117" s="212"/>
      <c r="R117" s="173"/>
      <c r="S117" s="213"/>
      <c r="T117" s="213"/>
      <c r="U117" s="214"/>
      <c r="V117" s="204"/>
      <c r="W117" s="173"/>
      <c r="X117" s="206"/>
      <c r="Y117" s="205"/>
    </row>
    <row r="118" spans="1:25" ht="16.149999999999999" customHeight="1" x14ac:dyDescent="0.2">
      <c r="A118" s="370"/>
      <c r="B118" s="369"/>
      <c r="C118" s="180">
        <f t="shared" si="3"/>
        <v>0</v>
      </c>
      <c r="D118" s="164"/>
      <c r="E118" s="173"/>
      <c r="F118" s="173"/>
      <c r="G118" s="166"/>
      <c r="H118" s="165"/>
      <c r="I118" s="227"/>
      <c r="J118" s="228"/>
      <c r="K118" s="229"/>
      <c r="L118" s="230"/>
      <c r="M118" s="179"/>
      <c r="N118" s="173"/>
      <c r="O118" s="159"/>
      <c r="P118" s="155"/>
      <c r="Q118" s="212"/>
      <c r="R118" s="173"/>
      <c r="S118" s="213"/>
      <c r="T118" s="213"/>
      <c r="U118" s="214"/>
      <c r="V118" s="204"/>
      <c r="W118" s="173"/>
      <c r="X118" s="206"/>
      <c r="Y118" s="205"/>
    </row>
    <row r="119" spans="1:25" ht="16.149999999999999" customHeight="1" x14ac:dyDescent="0.2">
      <c r="A119" s="370">
        <f>A115+1</f>
        <v>45075</v>
      </c>
      <c r="B119" s="369" t="str">
        <f>IF(WEEKDAY(A119)=1,"CN","T"&amp;WEEKDAY(A119))</f>
        <v>T2</v>
      </c>
      <c r="C119" s="180">
        <f>SUM(D119:U119)</f>
        <v>158000</v>
      </c>
      <c r="D119" s="222" t="s">
        <v>139</v>
      </c>
      <c r="E119" s="220"/>
      <c r="F119" s="220"/>
      <c r="G119" s="218"/>
      <c r="H119" s="221">
        <v>38000</v>
      </c>
      <c r="I119" s="227" t="s">
        <v>124</v>
      </c>
      <c r="J119" s="228"/>
      <c r="K119" s="229"/>
      <c r="L119" s="230">
        <v>41000</v>
      </c>
      <c r="M119" s="179" t="s">
        <v>160</v>
      </c>
      <c r="N119" s="173"/>
      <c r="O119" s="159"/>
      <c r="P119" s="155">
        <v>41000</v>
      </c>
      <c r="Q119" s="212"/>
      <c r="R119" s="173"/>
      <c r="S119" s="213"/>
      <c r="T119" s="213"/>
      <c r="U119" s="214">
        <v>38000</v>
      </c>
      <c r="V119" s="204"/>
      <c r="W119" s="173"/>
      <c r="X119" s="206"/>
      <c r="Y119" s="205"/>
    </row>
    <row r="120" spans="1:25" ht="16.149999999999999" customHeight="1" x14ac:dyDescent="0.2">
      <c r="A120" s="370"/>
      <c r="B120" s="369"/>
      <c r="C120" s="180">
        <f>SUM(D120:U120)</f>
        <v>0</v>
      </c>
      <c r="D120" s="222"/>
      <c r="E120" s="220"/>
      <c r="F120" s="220"/>
      <c r="G120" s="218"/>
      <c r="H120" s="221"/>
      <c r="I120" s="227"/>
      <c r="J120" s="228"/>
      <c r="K120" s="229"/>
      <c r="L120" s="230"/>
      <c r="M120" s="179"/>
      <c r="N120" s="173"/>
      <c r="O120" s="159"/>
      <c r="P120" s="155"/>
      <c r="Q120" s="212"/>
      <c r="R120" s="173"/>
      <c r="S120" s="213"/>
      <c r="T120" s="213"/>
      <c r="U120" s="214"/>
      <c r="V120" s="204"/>
      <c r="W120" s="173"/>
      <c r="X120" s="206"/>
      <c r="Y120" s="205"/>
    </row>
    <row r="121" spans="1:25" ht="16.149999999999999" customHeight="1" x14ac:dyDescent="0.2">
      <c r="A121" s="370"/>
      <c r="B121" s="369"/>
      <c r="C121" s="180">
        <f>SUM(D121:U121)</f>
        <v>0</v>
      </c>
      <c r="D121" s="222"/>
      <c r="E121" s="220"/>
      <c r="F121" s="220"/>
      <c r="G121" s="218"/>
      <c r="H121" s="221"/>
      <c r="I121" s="227"/>
      <c r="J121" s="228"/>
      <c r="K121" s="229"/>
      <c r="L121" s="230"/>
      <c r="M121" s="179"/>
      <c r="N121" s="173"/>
      <c r="O121" s="159"/>
      <c r="P121" s="155"/>
      <c r="Q121" s="212"/>
      <c r="R121" s="173"/>
      <c r="S121" s="213"/>
      <c r="T121" s="213"/>
      <c r="U121" s="214"/>
      <c r="V121" s="204"/>
      <c r="W121" s="173"/>
      <c r="X121" s="206"/>
      <c r="Y121" s="205"/>
    </row>
    <row r="122" spans="1:25" ht="16.149999999999999" customHeight="1" x14ac:dyDescent="0.2">
      <c r="A122" s="370"/>
      <c r="B122" s="369"/>
      <c r="C122" s="180">
        <f>SUM(D122:U122)</f>
        <v>0</v>
      </c>
      <c r="D122" s="222"/>
      <c r="E122" s="220"/>
      <c r="F122" s="220"/>
      <c r="G122" s="218"/>
      <c r="H122" s="221"/>
      <c r="I122" s="227"/>
      <c r="J122" s="228"/>
      <c r="K122" s="229"/>
      <c r="L122" s="230"/>
      <c r="M122" s="179"/>
      <c r="N122" s="173"/>
      <c r="O122" s="159"/>
      <c r="P122" s="155"/>
      <c r="Q122" s="212"/>
      <c r="R122" s="173"/>
      <c r="S122" s="213"/>
      <c r="T122" s="213"/>
      <c r="U122" s="214"/>
      <c r="V122" s="204"/>
      <c r="W122" s="173"/>
      <c r="X122" s="206"/>
      <c r="Y122" s="205"/>
    </row>
    <row r="123" spans="1:25" ht="16.149999999999999" customHeight="1" x14ac:dyDescent="0.2">
      <c r="A123" s="370">
        <f>A119+1</f>
        <v>45076</v>
      </c>
      <c r="B123" s="369" t="str">
        <f>IF(WEEKDAY(A123)=1,"CN","T"&amp;WEEKDAY(A123))</f>
        <v>T3</v>
      </c>
      <c r="C123" s="180">
        <f t="shared" si="3"/>
        <v>157000</v>
      </c>
      <c r="D123" s="222" t="s">
        <v>139</v>
      </c>
      <c r="E123" s="220"/>
      <c r="F123" s="220"/>
      <c r="G123" s="218"/>
      <c r="H123" s="221">
        <v>37000</v>
      </c>
      <c r="I123" s="227" t="s">
        <v>124</v>
      </c>
      <c r="J123" s="228"/>
      <c r="K123" s="229"/>
      <c r="L123" s="230">
        <v>41000</v>
      </c>
      <c r="M123" s="179" t="s">
        <v>160</v>
      </c>
      <c r="N123" s="173"/>
      <c r="O123" s="159"/>
      <c r="P123" s="155">
        <v>41000</v>
      </c>
      <c r="Q123" s="212"/>
      <c r="R123" s="173"/>
      <c r="S123" s="213"/>
      <c r="T123" s="213"/>
      <c r="U123" s="214">
        <v>38000</v>
      </c>
      <c r="V123" s="204"/>
      <c r="W123" s="173"/>
      <c r="X123" s="206"/>
      <c r="Y123" s="205"/>
    </row>
    <row r="124" spans="1:25" ht="16.149999999999999" customHeight="1" x14ac:dyDescent="0.2">
      <c r="A124" s="370"/>
      <c r="B124" s="369"/>
      <c r="C124" s="180">
        <f t="shared" si="3"/>
        <v>0</v>
      </c>
      <c r="D124" s="222"/>
      <c r="E124" s="220"/>
      <c r="F124" s="220"/>
      <c r="G124" s="218"/>
      <c r="H124" s="221"/>
      <c r="I124" s="227"/>
      <c r="J124" s="228"/>
      <c r="K124" s="229"/>
      <c r="L124" s="230"/>
      <c r="M124" s="179"/>
      <c r="N124" s="173"/>
      <c r="O124" s="159"/>
      <c r="P124" s="155"/>
      <c r="Q124" s="212"/>
      <c r="R124" s="173"/>
      <c r="S124" s="213"/>
      <c r="T124" s="213"/>
      <c r="U124" s="214"/>
      <c r="V124" s="204"/>
      <c r="W124" s="173"/>
      <c r="X124" s="206"/>
      <c r="Y124" s="205"/>
    </row>
    <row r="125" spans="1:25" ht="16.149999999999999" customHeight="1" x14ac:dyDescent="0.2">
      <c r="A125" s="370"/>
      <c r="B125" s="369"/>
      <c r="C125" s="180">
        <f t="shared" si="3"/>
        <v>0</v>
      </c>
      <c r="I125" s="227"/>
      <c r="J125" s="228"/>
      <c r="K125" s="229"/>
      <c r="L125" s="230"/>
      <c r="M125" s="179"/>
      <c r="N125" s="173"/>
      <c r="O125" s="159"/>
      <c r="P125" s="155"/>
      <c r="Q125" s="212"/>
      <c r="R125" s="173"/>
      <c r="S125" s="213"/>
      <c r="T125" s="213"/>
      <c r="U125" s="214"/>
      <c r="V125" s="204"/>
      <c r="W125" s="173"/>
      <c r="X125" s="206"/>
      <c r="Y125" s="205"/>
    </row>
    <row r="126" spans="1:25" ht="16.149999999999999" customHeight="1" x14ac:dyDescent="0.2">
      <c r="A126" s="370"/>
      <c r="B126" s="369"/>
      <c r="C126" s="180">
        <f t="shared" si="3"/>
        <v>0</v>
      </c>
      <c r="I126" s="227"/>
      <c r="J126" s="228"/>
      <c r="K126" s="229"/>
      <c r="L126" s="230"/>
      <c r="M126" s="179"/>
      <c r="N126" s="173"/>
      <c r="O126" s="159"/>
      <c r="P126" s="155"/>
      <c r="Q126" s="212"/>
      <c r="R126" s="173"/>
      <c r="S126" s="213"/>
      <c r="T126" s="213"/>
      <c r="U126" s="214"/>
      <c r="V126" s="204"/>
      <c r="W126" s="173"/>
      <c r="X126" s="206"/>
      <c r="Y126" s="205"/>
    </row>
    <row r="127" spans="1:25" ht="16.149999999999999" customHeight="1" x14ac:dyDescent="0.2">
      <c r="A127" s="370">
        <f>A123+1</f>
        <v>45077</v>
      </c>
      <c r="B127" s="369" t="str">
        <f>IF(WEEKDAY(A127)=1,"CN","T"&amp;WEEKDAY(A127))</f>
        <v>T4</v>
      </c>
      <c r="C127" s="180">
        <f t="shared" si="3"/>
        <v>132000</v>
      </c>
      <c r="D127" s="222" t="s">
        <v>121</v>
      </c>
      <c r="E127" s="220"/>
      <c r="F127" s="220"/>
      <c r="G127" s="218"/>
      <c r="H127" s="221">
        <v>24000</v>
      </c>
      <c r="I127" s="227" t="s">
        <v>124</v>
      </c>
      <c r="J127" s="228"/>
      <c r="K127" s="229"/>
      <c r="L127" s="230">
        <v>41000</v>
      </c>
      <c r="M127" s="179" t="s">
        <v>124</v>
      </c>
      <c r="N127" s="173"/>
      <c r="O127" s="159"/>
      <c r="P127" s="155">
        <v>41000</v>
      </c>
      <c r="Q127" s="212" t="s">
        <v>143</v>
      </c>
      <c r="R127" s="173"/>
      <c r="S127" s="213"/>
      <c r="T127" s="213"/>
      <c r="U127" s="214">
        <v>26000</v>
      </c>
      <c r="V127" s="204"/>
      <c r="W127" s="173"/>
      <c r="X127" s="206"/>
      <c r="Y127" s="205"/>
    </row>
    <row r="128" spans="1:25" ht="16.149999999999999" customHeight="1" x14ac:dyDescent="0.2">
      <c r="A128" s="370"/>
      <c r="B128" s="369"/>
      <c r="C128" s="180">
        <f t="shared" si="3"/>
        <v>26000</v>
      </c>
      <c r="D128" s="222" t="s">
        <v>104</v>
      </c>
      <c r="E128" s="220"/>
      <c r="F128" s="220"/>
      <c r="G128" s="218"/>
      <c r="H128" s="221">
        <v>14000</v>
      </c>
      <c r="I128" s="227"/>
      <c r="J128" s="228"/>
      <c r="K128" s="229"/>
      <c r="L128" s="230"/>
      <c r="M128" s="179"/>
      <c r="N128" s="173"/>
      <c r="O128" s="159"/>
      <c r="P128" s="155"/>
      <c r="Q128" s="212" t="s">
        <v>139</v>
      </c>
      <c r="R128" s="173"/>
      <c r="S128" s="213"/>
      <c r="T128" s="213"/>
      <c r="U128" s="214">
        <v>12000</v>
      </c>
      <c r="V128" s="204"/>
      <c r="W128" s="173"/>
      <c r="X128" s="206"/>
      <c r="Y128" s="205"/>
    </row>
    <row r="129" spans="1:25" ht="16.149999999999999" customHeight="1" x14ac:dyDescent="0.2">
      <c r="A129" s="370"/>
      <c r="B129" s="369"/>
      <c r="C129" s="180">
        <f t="shared" si="3"/>
        <v>0</v>
      </c>
      <c r="D129" s="222"/>
      <c r="E129" s="220"/>
      <c r="F129" s="220"/>
      <c r="G129" s="218"/>
      <c r="H129" s="221"/>
      <c r="I129" s="227"/>
      <c r="J129" s="228"/>
      <c r="K129" s="229"/>
      <c r="L129" s="230"/>
      <c r="M129" s="179"/>
      <c r="N129" s="173"/>
      <c r="O129" s="159"/>
      <c r="P129" s="155"/>
      <c r="Q129" s="212"/>
      <c r="R129" s="173"/>
      <c r="S129" s="213"/>
      <c r="T129" s="213"/>
      <c r="U129" s="214"/>
      <c r="V129" s="204"/>
      <c r="W129" s="173"/>
      <c r="X129" s="206"/>
      <c r="Y129" s="205"/>
    </row>
    <row r="130" spans="1:25" ht="16.149999999999999" customHeight="1" x14ac:dyDescent="0.2">
      <c r="A130" s="370"/>
      <c r="B130" s="369"/>
      <c r="C130" s="180">
        <f t="shared" si="3"/>
        <v>0</v>
      </c>
      <c r="D130" s="222"/>
      <c r="E130" s="220"/>
      <c r="F130" s="220"/>
      <c r="G130" s="218"/>
      <c r="H130" s="221"/>
      <c r="I130" s="227"/>
      <c r="J130" s="228"/>
      <c r="K130" s="229"/>
      <c r="L130" s="230"/>
      <c r="M130" s="179"/>
      <c r="N130" s="173"/>
      <c r="O130" s="159"/>
      <c r="P130" s="155"/>
      <c r="Q130" s="212"/>
      <c r="R130" s="173"/>
      <c r="S130" s="213"/>
      <c r="T130" s="213"/>
      <c r="U130" s="214"/>
      <c r="V130" s="204"/>
      <c r="W130" s="173"/>
      <c r="X130" s="206"/>
      <c r="Y130" s="205"/>
    </row>
    <row r="131" spans="1:25" ht="16.149999999999999" customHeight="1" x14ac:dyDescent="0.2">
      <c r="A131" s="140">
        <f>A127+1</f>
        <v>45078</v>
      </c>
      <c r="B131" s="369" t="str">
        <f>IF(WEEKDAY(A131)=1,"CN","T"&amp;WEEKDAY(A131))</f>
        <v>T5</v>
      </c>
      <c r="C131" s="180">
        <f t="shared" si="3"/>
        <v>121000</v>
      </c>
      <c r="D131" s="222" t="s">
        <v>104</v>
      </c>
      <c r="E131" s="220"/>
      <c r="F131" s="220"/>
      <c r="G131" s="218"/>
      <c r="H131" s="221">
        <v>6000</v>
      </c>
      <c r="I131" s="227" t="s">
        <v>124</v>
      </c>
      <c r="J131" s="228"/>
      <c r="K131" s="229"/>
      <c r="L131" s="230">
        <v>41000</v>
      </c>
      <c r="M131" s="179" t="s">
        <v>124</v>
      </c>
      <c r="N131" s="173"/>
      <c r="O131" s="159"/>
      <c r="P131" s="155">
        <v>36000</v>
      </c>
      <c r="Q131" s="212" t="s">
        <v>139</v>
      </c>
      <c r="R131" s="173"/>
      <c r="S131" s="213"/>
      <c r="T131" s="213"/>
      <c r="U131" s="214">
        <v>38000</v>
      </c>
      <c r="V131" s="204"/>
      <c r="W131" s="173"/>
      <c r="X131" s="206"/>
      <c r="Y131" s="205"/>
    </row>
    <row r="132" spans="1:25" ht="16.149999999999999" customHeight="1" x14ac:dyDescent="0.2">
      <c r="B132" s="369"/>
      <c r="C132" s="180">
        <f t="shared" si="3"/>
        <v>0</v>
      </c>
      <c r="D132" s="164"/>
      <c r="E132" s="173"/>
      <c r="F132" s="173"/>
      <c r="G132" s="166"/>
      <c r="H132" s="165"/>
      <c r="I132" s="227"/>
      <c r="J132" s="228"/>
      <c r="K132" s="229"/>
      <c r="L132" s="230"/>
      <c r="M132" s="179"/>
      <c r="N132" s="173"/>
      <c r="O132" s="159"/>
      <c r="P132" s="155"/>
      <c r="Q132" s="212"/>
      <c r="R132" s="173"/>
      <c r="S132" s="213"/>
      <c r="T132" s="213"/>
      <c r="U132" s="214"/>
      <c r="V132" s="204"/>
      <c r="W132" s="173"/>
      <c r="X132" s="206"/>
      <c r="Y132" s="205"/>
    </row>
    <row r="133" spans="1:25" ht="16.149999999999999" customHeight="1" x14ac:dyDescent="0.2">
      <c r="B133" s="369"/>
      <c r="C133" s="180">
        <f t="shared" si="3"/>
        <v>0</v>
      </c>
      <c r="D133" s="164"/>
      <c r="E133" s="173"/>
      <c r="F133" s="173"/>
      <c r="G133" s="166"/>
      <c r="H133" s="165"/>
      <c r="I133" s="227"/>
      <c r="J133" s="228"/>
      <c r="K133" s="229"/>
      <c r="L133" s="230"/>
      <c r="M133" s="179"/>
      <c r="N133" s="173"/>
      <c r="O133" s="159"/>
      <c r="P133" s="155"/>
      <c r="Q133" s="212"/>
      <c r="R133" s="173"/>
      <c r="S133" s="213"/>
      <c r="T133" s="213"/>
      <c r="U133" s="214"/>
      <c r="V133" s="204"/>
      <c r="W133" s="173"/>
      <c r="X133" s="206"/>
      <c r="Y133" s="205"/>
    </row>
    <row r="134" spans="1:25" ht="16.149999999999999" customHeight="1" x14ac:dyDescent="0.2">
      <c r="B134" s="369"/>
      <c r="C134" s="180">
        <f t="shared" si="3"/>
        <v>0</v>
      </c>
      <c r="D134" s="164"/>
      <c r="E134" s="173"/>
      <c r="F134" s="173"/>
      <c r="G134" s="166"/>
      <c r="H134" s="165"/>
      <c r="I134" s="227"/>
      <c r="J134" s="228"/>
      <c r="K134" s="229"/>
      <c r="L134" s="230"/>
      <c r="M134" s="179"/>
      <c r="N134" s="173"/>
      <c r="O134" s="159"/>
      <c r="P134" s="155"/>
      <c r="Q134" s="212"/>
      <c r="R134" s="173"/>
      <c r="S134" s="213"/>
      <c r="T134" s="213"/>
      <c r="U134" s="214"/>
      <c r="V134" s="204"/>
      <c r="W134" s="173"/>
      <c r="X134" s="206"/>
      <c r="Y134" s="205"/>
    </row>
    <row r="135" spans="1:25" x14ac:dyDescent="0.2">
      <c r="A135" s="140">
        <f>A131+1</f>
        <v>45079</v>
      </c>
      <c r="B135" s="369" t="str">
        <f>IF(WEEKDAY(A135)=1,"CN","T"&amp;WEEKDAY(A135))</f>
        <v>T6</v>
      </c>
      <c r="C135" s="180">
        <f t="shared" ref="C135:C162" si="4">SUM(D135:U135)</f>
        <v>41000</v>
      </c>
      <c r="D135" s="164"/>
      <c r="E135" s="173"/>
      <c r="F135" s="173"/>
      <c r="G135" s="166"/>
      <c r="H135" s="165"/>
      <c r="I135" s="227" t="s">
        <v>124</v>
      </c>
      <c r="J135" s="228"/>
      <c r="K135" s="229"/>
      <c r="L135" s="230">
        <v>41000</v>
      </c>
      <c r="M135" s="179"/>
      <c r="N135" s="173"/>
      <c r="O135" s="159"/>
      <c r="P135" s="155"/>
      <c r="Q135" s="212" t="s">
        <v>139</v>
      </c>
      <c r="R135" s="173"/>
      <c r="S135" s="213"/>
      <c r="T135" s="213"/>
      <c r="U135" s="214"/>
      <c r="V135" s="204"/>
      <c r="W135" s="173"/>
      <c r="X135" s="206"/>
      <c r="Y135" s="205"/>
    </row>
    <row r="136" spans="1:25" x14ac:dyDescent="0.2">
      <c r="B136" s="369"/>
      <c r="C136" s="180">
        <f t="shared" si="4"/>
        <v>0</v>
      </c>
      <c r="D136" s="164"/>
      <c r="E136" s="173"/>
      <c r="F136" s="173"/>
      <c r="G136" s="166"/>
      <c r="H136" s="165"/>
      <c r="I136" s="227"/>
      <c r="J136" s="228"/>
      <c r="K136" s="229"/>
      <c r="L136" s="230"/>
      <c r="M136" s="179"/>
      <c r="N136" s="173"/>
      <c r="O136" s="159"/>
      <c r="P136" s="155"/>
      <c r="Q136" s="212"/>
      <c r="R136" s="173"/>
      <c r="S136" s="213"/>
      <c r="T136" s="213"/>
      <c r="U136" s="214"/>
      <c r="V136" s="204"/>
      <c r="W136" s="173"/>
      <c r="X136" s="206"/>
      <c r="Y136" s="205"/>
    </row>
    <row r="137" spans="1:25" x14ac:dyDescent="0.2">
      <c r="B137" s="369"/>
      <c r="C137" s="180">
        <f t="shared" si="4"/>
        <v>0</v>
      </c>
      <c r="D137" s="164"/>
      <c r="E137" s="173"/>
      <c r="F137" s="173"/>
      <c r="G137" s="166"/>
      <c r="H137" s="165"/>
      <c r="I137" s="227"/>
      <c r="J137" s="228" t="s">
        <v>159</v>
      </c>
      <c r="K137" s="229"/>
      <c r="L137" s="230"/>
      <c r="M137" s="179"/>
      <c r="N137" s="173"/>
      <c r="O137" s="159"/>
      <c r="P137" s="155"/>
      <c r="Q137" s="212"/>
      <c r="R137" s="173"/>
      <c r="S137" s="213"/>
      <c r="T137" s="213"/>
      <c r="U137" s="214"/>
      <c r="V137" s="204"/>
      <c r="W137" s="173"/>
      <c r="X137" s="206"/>
      <c r="Y137" s="205"/>
    </row>
    <row r="138" spans="1:25" x14ac:dyDescent="0.2">
      <c r="B138" s="369"/>
      <c r="C138" s="180">
        <f t="shared" si="4"/>
        <v>0</v>
      </c>
      <c r="D138" s="164"/>
      <c r="E138" s="173"/>
      <c r="F138" s="173"/>
      <c r="G138" s="166"/>
      <c r="H138" s="165"/>
      <c r="I138" s="227"/>
      <c r="J138" s="228"/>
      <c r="K138" s="229"/>
      <c r="L138" s="230"/>
      <c r="M138" s="179"/>
      <c r="N138" s="173"/>
      <c r="O138" s="159"/>
      <c r="P138" s="155"/>
      <c r="Q138" s="212"/>
      <c r="R138" s="173"/>
      <c r="S138" s="213"/>
      <c r="T138" s="213"/>
      <c r="U138" s="214"/>
      <c r="V138" s="204"/>
      <c r="W138" s="173"/>
      <c r="X138" s="206"/>
      <c r="Y138" s="205"/>
    </row>
    <row r="139" spans="1:25" x14ac:dyDescent="0.2">
      <c r="A139" s="140">
        <f>A135+1</f>
        <v>45080</v>
      </c>
      <c r="B139" s="369" t="str">
        <f>IF(WEEKDAY(A139)=1,"CN","T"&amp;WEEKDAY(A139))</f>
        <v>T7</v>
      </c>
      <c r="C139" s="180">
        <f t="shared" si="4"/>
        <v>13000</v>
      </c>
      <c r="D139" s="164"/>
      <c r="E139" s="173"/>
      <c r="F139" s="173"/>
      <c r="G139" s="166"/>
      <c r="H139" s="165"/>
      <c r="I139" s="227" t="s">
        <v>124</v>
      </c>
      <c r="J139" s="228"/>
      <c r="K139" s="229"/>
      <c r="L139" s="230">
        <v>13000</v>
      </c>
      <c r="M139" s="179"/>
      <c r="N139" s="173"/>
      <c r="O139" s="159"/>
      <c r="P139" s="155"/>
      <c r="Q139" s="212" t="s">
        <v>139</v>
      </c>
      <c r="R139" s="173"/>
      <c r="S139" s="213"/>
      <c r="T139" s="213"/>
      <c r="U139" s="214"/>
      <c r="V139" s="204"/>
      <c r="W139" s="173"/>
      <c r="X139" s="206"/>
      <c r="Y139" s="205"/>
    </row>
    <row r="140" spans="1:25" x14ac:dyDescent="0.2">
      <c r="B140" s="369"/>
      <c r="C140" s="180">
        <f t="shared" si="4"/>
        <v>0</v>
      </c>
      <c r="D140" s="164"/>
      <c r="E140" s="173"/>
      <c r="F140" s="173"/>
      <c r="G140" s="166"/>
      <c r="H140" s="165"/>
      <c r="I140" s="194"/>
      <c r="J140" s="173"/>
      <c r="K140" s="196"/>
      <c r="L140" s="195"/>
      <c r="M140" s="179"/>
      <c r="N140" s="173"/>
      <c r="O140" s="159"/>
      <c r="P140" s="155"/>
      <c r="Q140" s="212"/>
      <c r="R140" s="173"/>
      <c r="S140" s="213"/>
      <c r="T140" s="213"/>
      <c r="U140" s="214"/>
      <c r="V140" s="204"/>
      <c r="W140" s="173"/>
      <c r="X140" s="206"/>
      <c r="Y140" s="205"/>
    </row>
    <row r="141" spans="1:25" x14ac:dyDescent="0.2">
      <c r="B141" s="369"/>
      <c r="C141" s="180">
        <f t="shared" si="4"/>
        <v>0</v>
      </c>
      <c r="D141" s="164"/>
      <c r="E141" s="173"/>
      <c r="F141" s="173"/>
      <c r="G141" s="166"/>
      <c r="H141" s="165"/>
      <c r="I141" s="194"/>
      <c r="J141" s="173"/>
      <c r="K141" s="196"/>
      <c r="L141" s="195"/>
      <c r="M141" s="179"/>
      <c r="N141" s="173"/>
      <c r="O141" s="159"/>
      <c r="P141" s="155"/>
      <c r="Q141" s="212"/>
      <c r="R141" s="173"/>
      <c r="S141" s="213"/>
      <c r="T141" s="213"/>
      <c r="U141" s="214"/>
      <c r="V141" s="204"/>
      <c r="W141" s="173"/>
      <c r="X141" s="206"/>
      <c r="Y141" s="205"/>
    </row>
    <row r="142" spans="1:25" x14ac:dyDescent="0.2">
      <c r="B142" s="369"/>
      <c r="C142" s="180">
        <f t="shared" si="4"/>
        <v>0</v>
      </c>
      <c r="D142" s="164"/>
      <c r="E142" s="173"/>
      <c r="F142" s="173"/>
      <c r="G142" s="166"/>
      <c r="H142" s="165"/>
      <c r="I142" s="194"/>
      <c r="J142" s="173"/>
      <c r="K142" s="196"/>
      <c r="L142" s="195"/>
      <c r="M142" s="179"/>
      <c r="N142" s="173"/>
      <c r="O142" s="159"/>
      <c r="P142" s="155"/>
      <c r="Q142" s="212"/>
      <c r="R142" s="173"/>
      <c r="S142" s="213"/>
      <c r="T142" s="213"/>
      <c r="U142" s="214"/>
      <c r="V142" s="204"/>
      <c r="W142" s="173"/>
      <c r="X142" s="206"/>
      <c r="Y142" s="205"/>
    </row>
    <row r="143" spans="1:25" x14ac:dyDescent="0.2">
      <c r="A143" s="140">
        <f>A139+1</f>
        <v>45081</v>
      </c>
      <c r="B143" s="369" t="str">
        <f>IF(WEEKDAY(A143)=1,"CN","T"&amp;WEEKDAY(A143))</f>
        <v>CN</v>
      </c>
      <c r="C143" s="180">
        <f t="shared" si="4"/>
        <v>0</v>
      </c>
      <c r="D143" s="164"/>
      <c r="E143" s="173"/>
      <c r="F143" s="173"/>
      <c r="G143" s="166"/>
      <c r="H143" s="165"/>
      <c r="I143" s="194"/>
      <c r="J143" s="173"/>
      <c r="K143" s="196"/>
      <c r="L143" s="195"/>
      <c r="M143" s="179"/>
      <c r="N143" s="173"/>
      <c r="O143" s="159"/>
      <c r="P143" s="155"/>
      <c r="Q143" s="212" t="s">
        <v>139</v>
      </c>
      <c r="R143" s="173"/>
      <c r="S143" s="213"/>
      <c r="T143" s="213"/>
      <c r="U143" s="214"/>
      <c r="V143" s="204"/>
      <c r="W143" s="173"/>
      <c r="X143" s="206"/>
      <c r="Y143" s="205"/>
    </row>
    <row r="144" spans="1:25" x14ac:dyDescent="0.2">
      <c r="B144" s="369"/>
      <c r="C144" s="180">
        <f t="shared" si="4"/>
        <v>0</v>
      </c>
      <c r="D144" s="164"/>
      <c r="E144" s="173"/>
      <c r="F144" s="173"/>
      <c r="G144" s="166"/>
      <c r="H144" s="165"/>
      <c r="I144" s="194"/>
      <c r="J144" s="173"/>
      <c r="K144" s="196"/>
      <c r="L144" s="195"/>
      <c r="M144" s="179"/>
      <c r="N144" s="173"/>
      <c r="O144" s="159"/>
      <c r="P144" s="155"/>
      <c r="Q144" s="212"/>
      <c r="R144" s="173"/>
      <c r="S144" s="213"/>
      <c r="T144" s="213"/>
      <c r="U144" s="214"/>
      <c r="V144" s="204"/>
      <c r="W144" s="173"/>
      <c r="X144" s="206"/>
      <c r="Y144" s="205"/>
    </row>
    <row r="145" spans="1:25" x14ac:dyDescent="0.2">
      <c r="B145" s="369"/>
      <c r="C145" s="180">
        <f t="shared" si="4"/>
        <v>0</v>
      </c>
      <c r="D145" s="164"/>
      <c r="E145" s="173"/>
      <c r="F145" s="173"/>
      <c r="G145" s="166"/>
      <c r="H145" s="165"/>
      <c r="I145" s="194"/>
      <c r="J145" s="173"/>
      <c r="K145" s="196"/>
      <c r="L145" s="195"/>
      <c r="M145" s="179"/>
      <c r="N145" s="173"/>
      <c r="O145" s="159"/>
      <c r="P145" s="155"/>
      <c r="Q145" s="212"/>
      <c r="R145" s="173"/>
      <c r="S145" s="213"/>
      <c r="T145" s="213"/>
      <c r="U145" s="214"/>
      <c r="V145" s="204"/>
      <c r="W145" s="173"/>
      <c r="X145" s="206"/>
      <c r="Y145" s="205"/>
    </row>
    <row r="146" spans="1:25" x14ac:dyDescent="0.2">
      <c r="B146" s="369"/>
      <c r="C146" s="180">
        <f t="shared" si="4"/>
        <v>0</v>
      </c>
      <c r="D146" s="164"/>
      <c r="E146" s="173"/>
      <c r="F146" s="173"/>
      <c r="G146" s="166"/>
      <c r="H146" s="165"/>
      <c r="I146" s="194"/>
      <c r="J146" s="173"/>
      <c r="K146" s="196"/>
      <c r="L146" s="195"/>
      <c r="M146" s="179"/>
      <c r="N146" s="173"/>
      <c r="O146" s="159"/>
      <c r="P146" s="155"/>
      <c r="Q146" s="212"/>
      <c r="R146" s="173"/>
      <c r="S146" s="213"/>
      <c r="T146" s="213"/>
      <c r="U146" s="214"/>
      <c r="V146" s="204"/>
      <c r="W146" s="173"/>
      <c r="X146" s="206"/>
      <c r="Y146" s="205"/>
    </row>
    <row r="147" spans="1:25" x14ac:dyDescent="0.2">
      <c r="A147" s="140">
        <f>A143+1</f>
        <v>45082</v>
      </c>
      <c r="B147" s="369" t="str">
        <f>IF(WEEKDAY(A147)=1,"CN","T"&amp;WEEKDAY(A147))</f>
        <v>T2</v>
      </c>
      <c r="C147" s="180">
        <f t="shared" si="4"/>
        <v>0</v>
      </c>
      <c r="D147" s="164"/>
      <c r="E147" s="173"/>
      <c r="F147" s="173"/>
      <c r="G147" s="166"/>
      <c r="H147" s="165"/>
      <c r="I147" s="194"/>
      <c r="J147" s="173"/>
      <c r="K147" s="196"/>
      <c r="L147" s="195"/>
      <c r="M147" s="179"/>
      <c r="N147" s="173"/>
      <c r="O147" s="159"/>
      <c r="P147" s="155"/>
      <c r="Q147" s="212" t="s">
        <v>139</v>
      </c>
      <c r="R147" s="173"/>
      <c r="S147" s="213"/>
      <c r="T147" s="213"/>
      <c r="U147" s="214"/>
      <c r="V147" s="204"/>
      <c r="W147" s="173"/>
      <c r="X147" s="206"/>
      <c r="Y147" s="205"/>
    </row>
    <row r="148" spans="1:25" x14ac:dyDescent="0.2">
      <c r="B148" s="369"/>
      <c r="C148" s="180">
        <f t="shared" si="4"/>
        <v>0</v>
      </c>
      <c r="D148" s="164"/>
      <c r="E148" s="173"/>
      <c r="F148" s="173"/>
      <c r="G148" s="166"/>
      <c r="H148" s="165"/>
      <c r="I148" s="194"/>
      <c r="J148" s="173"/>
      <c r="K148" s="196"/>
      <c r="L148" s="195"/>
      <c r="M148" s="179"/>
      <c r="N148" s="173"/>
      <c r="O148" s="159"/>
      <c r="P148" s="155"/>
      <c r="Q148" s="212"/>
      <c r="R148" s="173"/>
      <c r="S148" s="213"/>
      <c r="T148" s="213"/>
      <c r="U148" s="214"/>
      <c r="V148" s="204"/>
      <c r="W148" s="173"/>
      <c r="X148" s="206"/>
      <c r="Y148" s="205"/>
    </row>
    <row r="149" spans="1:25" x14ac:dyDescent="0.2">
      <c r="B149" s="369"/>
      <c r="C149" s="180">
        <f t="shared" si="4"/>
        <v>0</v>
      </c>
      <c r="D149" s="164"/>
      <c r="E149" s="173"/>
      <c r="F149" s="173"/>
      <c r="G149" s="166"/>
      <c r="H149" s="165"/>
      <c r="I149" s="194"/>
      <c r="J149" s="173"/>
      <c r="K149" s="196"/>
      <c r="L149" s="195"/>
      <c r="M149" s="179"/>
      <c r="N149" s="173"/>
      <c r="O149" s="159"/>
      <c r="P149" s="155"/>
      <c r="Q149" s="212"/>
      <c r="R149" s="173"/>
      <c r="S149" s="213"/>
      <c r="T149" s="213"/>
      <c r="U149" s="214"/>
      <c r="V149" s="204"/>
      <c r="W149" s="173"/>
      <c r="X149" s="206"/>
      <c r="Y149" s="205"/>
    </row>
    <row r="150" spans="1:25" x14ac:dyDescent="0.2">
      <c r="B150" s="369"/>
      <c r="C150" s="180">
        <f t="shared" si="4"/>
        <v>0</v>
      </c>
      <c r="D150" s="164"/>
      <c r="E150" s="173"/>
      <c r="F150" s="173"/>
      <c r="G150" s="166"/>
      <c r="H150" s="165"/>
      <c r="I150" s="194"/>
      <c r="J150" s="173"/>
      <c r="K150" s="196"/>
      <c r="L150" s="195"/>
      <c r="M150" s="179"/>
      <c r="N150" s="173"/>
      <c r="O150" s="159"/>
      <c r="P150" s="155"/>
      <c r="Q150" s="212"/>
      <c r="R150" s="173"/>
      <c r="S150" s="213"/>
      <c r="T150" s="213"/>
      <c r="U150" s="214"/>
      <c r="V150" s="204"/>
      <c r="W150" s="173"/>
      <c r="X150" s="206"/>
      <c r="Y150" s="205"/>
    </row>
    <row r="151" spans="1:25" x14ac:dyDescent="0.2">
      <c r="A151" s="140">
        <f>A147+1</f>
        <v>45083</v>
      </c>
      <c r="B151" s="369" t="str">
        <f>IF(WEEKDAY(A151)=1,"CN","T"&amp;WEEKDAY(A151))</f>
        <v>T3</v>
      </c>
      <c r="C151" s="180">
        <f t="shared" si="4"/>
        <v>0</v>
      </c>
      <c r="D151" s="164"/>
      <c r="E151" s="173"/>
      <c r="F151" s="173"/>
      <c r="G151" s="166"/>
      <c r="H151" s="165"/>
      <c r="I151" s="194"/>
      <c r="J151" s="173"/>
      <c r="K151" s="196"/>
      <c r="L151" s="195"/>
      <c r="M151" s="179"/>
      <c r="N151" s="173"/>
      <c r="O151" s="159"/>
      <c r="P151" s="155"/>
      <c r="Q151" s="212" t="s">
        <v>139</v>
      </c>
      <c r="R151" s="173"/>
      <c r="S151" s="213"/>
      <c r="T151" s="213"/>
      <c r="U151" s="214"/>
      <c r="V151" s="204"/>
      <c r="W151" s="173"/>
      <c r="X151" s="206"/>
      <c r="Y151" s="205"/>
    </row>
    <row r="152" spans="1:25" x14ac:dyDescent="0.2">
      <c r="B152" s="369"/>
      <c r="C152" s="180">
        <f t="shared" si="4"/>
        <v>0</v>
      </c>
      <c r="D152" s="164"/>
      <c r="E152" s="173"/>
      <c r="F152" s="173"/>
      <c r="G152" s="166"/>
      <c r="H152" s="165"/>
      <c r="I152" s="194"/>
      <c r="J152" s="173"/>
      <c r="K152" s="196"/>
      <c r="L152" s="195"/>
      <c r="M152" s="179"/>
      <c r="N152" s="173"/>
      <c r="O152" s="159"/>
      <c r="P152" s="155"/>
      <c r="Q152" s="212"/>
      <c r="R152" s="173"/>
      <c r="S152" s="213"/>
      <c r="T152" s="213"/>
      <c r="U152" s="214"/>
      <c r="V152" s="204"/>
      <c r="W152" s="173"/>
      <c r="X152" s="206"/>
      <c r="Y152" s="205"/>
    </row>
    <row r="153" spans="1:25" x14ac:dyDescent="0.2">
      <c r="B153" s="369"/>
      <c r="C153" s="180">
        <f t="shared" si="4"/>
        <v>0</v>
      </c>
      <c r="D153" s="164"/>
      <c r="E153" s="173"/>
      <c r="F153" s="173"/>
      <c r="G153" s="166"/>
      <c r="H153" s="165"/>
      <c r="I153" s="194"/>
      <c r="J153" s="173"/>
      <c r="K153" s="196"/>
      <c r="L153" s="195"/>
      <c r="M153" s="179"/>
      <c r="N153" s="173"/>
      <c r="O153" s="159"/>
      <c r="P153" s="155"/>
      <c r="Q153" s="212"/>
      <c r="R153" s="173"/>
      <c r="S153" s="213"/>
      <c r="T153" s="213"/>
      <c r="U153" s="214"/>
      <c r="V153" s="204"/>
      <c r="W153" s="173"/>
      <c r="X153" s="206"/>
      <c r="Y153" s="205"/>
    </row>
    <row r="154" spans="1:25" x14ac:dyDescent="0.2">
      <c r="B154" s="369"/>
      <c r="C154" s="180">
        <f t="shared" si="4"/>
        <v>0</v>
      </c>
      <c r="D154" s="164"/>
      <c r="E154" s="173"/>
      <c r="F154" s="173"/>
      <c r="G154" s="166"/>
      <c r="H154" s="165"/>
      <c r="I154" s="194"/>
      <c r="J154" s="173"/>
      <c r="K154" s="196"/>
      <c r="L154" s="195"/>
      <c r="M154" s="179"/>
      <c r="N154" s="173"/>
      <c r="O154" s="159"/>
      <c r="P154" s="155"/>
      <c r="Q154" s="212"/>
      <c r="R154" s="173"/>
      <c r="S154" s="213"/>
      <c r="T154" s="213"/>
      <c r="U154" s="214"/>
      <c r="V154" s="204"/>
      <c r="W154" s="173"/>
      <c r="X154" s="206"/>
      <c r="Y154" s="205"/>
    </row>
    <row r="155" spans="1:25" x14ac:dyDescent="0.2">
      <c r="A155" s="140">
        <f>A151+1</f>
        <v>45084</v>
      </c>
      <c r="B155" s="369" t="str">
        <f>IF(WEEKDAY(A155)=1,"CN","T"&amp;WEEKDAY(A155))</f>
        <v>T4</v>
      </c>
      <c r="C155" s="180">
        <f t="shared" si="4"/>
        <v>0</v>
      </c>
      <c r="D155" s="164"/>
      <c r="E155" s="173"/>
      <c r="F155" s="173"/>
      <c r="G155" s="166"/>
      <c r="H155" s="165"/>
      <c r="I155" s="194"/>
      <c r="J155" s="173"/>
      <c r="K155" s="196"/>
      <c r="L155" s="195"/>
      <c r="M155" s="179"/>
      <c r="N155" s="173"/>
      <c r="O155" s="159"/>
      <c r="P155" s="155"/>
      <c r="Q155" s="212" t="s">
        <v>139</v>
      </c>
      <c r="R155" s="173"/>
      <c r="S155" s="213"/>
      <c r="T155" s="213"/>
      <c r="U155" s="214"/>
      <c r="V155" s="204"/>
      <c r="W155" s="173"/>
      <c r="X155" s="206"/>
      <c r="Y155" s="205"/>
    </row>
    <row r="156" spans="1:25" x14ac:dyDescent="0.2">
      <c r="B156" s="369"/>
      <c r="C156" s="180">
        <f t="shared" si="4"/>
        <v>0</v>
      </c>
      <c r="D156" s="164"/>
      <c r="E156" s="173"/>
      <c r="F156" s="173"/>
      <c r="G156" s="166"/>
      <c r="H156" s="165"/>
      <c r="I156" s="194"/>
      <c r="J156" s="173"/>
      <c r="K156" s="196"/>
      <c r="L156" s="195"/>
      <c r="M156" s="179"/>
      <c r="N156" s="173"/>
      <c r="O156" s="159"/>
      <c r="P156" s="155"/>
      <c r="Q156" s="212"/>
      <c r="R156" s="173"/>
      <c r="S156" s="213"/>
      <c r="T156" s="213"/>
      <c r="U156" s="214"/>
      <c r="V156" s="204"/>
      <c r="W156" s="173"/>
      <c r="X156" s="206"/>
      <c r="Y156" s="205"/>
    </row>
    <row r="157" spans="1:25" x14ac:dyDescent="0.2">
      <c r="B157" s="369"/>
      <c r="C157" s="180">
        <f t="shared" si="4"/>
        <v>0</v>
      </c>
      <c r="D157" s="164"/>
      <c r="E157" s="173"/>
      <c r="F157" s="173"/>
      <c r="G157" s="166"/>
      <c r="H157" s="165"/>
      <c r="I157" s="194"/>
      <c r="J157" s="173"/>
      <c r="K157" s="196"/>
      <c r="L157" s="195"/>
      <c r="M157" s="179"/>
      <c r="N157" s="173"/>
      <c r="O157" s="159"/>
      <c r="P157" s="155"/>
      <c r="Q157" s="212"/>
      <c r="R157" s="173"/>
      <c r="S157" s="213"/>
      <c r="T157" s="213"/>
      <c r="U157" s="214"/>
      <c r="V157" s="204"/>
      <c r="W157" s="173"/>
      <c r="X157" s="206"/>
      <c r="Y157" s="205"/>
    </row>
    <row r="158" spans="1:25" x14ac:dyDescent="0.2">
      <c r="B158" s="369"/>
      <c r="C158" s="180">
        <f t="shared" si="4"/>
        <v>0</v>
      </c>
      <c r="D158" s="164"/>
      <c r="E158" s="173"/>
      <c r="F158" s="173"/>
      <c r="G158" s="166"/>
      <c r="H158" s="165"/>
      <c r="I158" s="194"/>
      <c r="J158" s="173"/>
      <c r="K158" s="196"/>
      <c r="L158" s="195"/>
      <c r="M158" s="179"/>
      <c r="N158" s="173"/>
      <c r="O158" s="159"/>
      <c r="P158" s="155"/>
      <c r="Q158" s="212"/>
      <c r="R158" s="173"/>
      <c r="S158" s="213"/>
      <c r="T158" s="213"/>
      <c r="U158" s="214"/>
      <c r="V158" s="204"/>
      <c r="W158" s="173"/>
      <c r="X158" s="206"/>
      <c r="Y158" s="205"/>
    </row>
    <row r="159" spans="1:25" x14ac:dyDescent="0.2">
      <c r="A159" s="140">
        <f>A155+1</f>
        <v>45085</v>
      </c>
      <c r="B159" s="369" t="str">
        <f>IF(WEEKDAY(A159)=1,"CN","T"&amp;WEEKDAY(A159))</f>
        <v>T5</v>
      </c>
      <c r="C159" s="180">
        <f t="shared" si="4"/>
        <v>0</v>
      </c>
      <c r="D159" s="164"/>
      <c r="E159" s="173"/>
      <c r="F159" s="173"/>
      <c r="G159" s="166"/>
      <c r="H159" s="165"/>
      <c r="I159" s="194"/>
      <c r="J159" s="173"/>
      <c r="K159" s="196"/>
      <c r="L159" s="195"/>
      <c r="M159" s="179"/>
      <c r="N159" s="173"/>
      <c r="O159" s="159"/>
      <c r="P159" s="155"/>
      <c r="Q159" s="212" t="s">
        <v>139</v>
      </c>
      <c r="R159" s="173"/>
      <c r="S159" s="213"/>
      <c r="T159" s="213"/>
      <c r="U159" s="214"/>
      <c r="V159" s="204"/>
      <c r="W159" s="173"/>
      <c r="X159" s="206"/>
      <c r="Y159" s="205"/>
    </row>
    <row r="160" spans="1:25" x14ac:dyDescent="0.2">
      <c r="B160" s="369"/>
      <c r="C160" s="180">
        <f t="shared" si="4"/>
        <v>0</v>
      </c>
      <c r="D160" s="164"/>
      <c r="E160" s="173"/>
      <c r="F160" s="173"/>
      <c r="G160" s="166"/>
      <c r="H160" s="165"/>
      <c r="I160" s="194"/>
      <c r="J160" s="173"/>
      <c r="K160" s="196"/>
      <c r="L160" s="195"/>
      <c r="M160" s="179"/>
      <c r="N160" s="173"/>
      <c r="O160" s="159"/>
      <c r="P160" s="155"/>
      <c r="Q160" s="212"/>
      <c r="R160" s="173"/>
      <c r="S160" s="213"/>
      <c r="T160" s="213"/>
      <c r="U160" s="214"/>
      <c r="V160" s="204"/>
      <c r="W160" s="173"/>
      <c r="X160" s="206"/>
      <c r="Y160" s="205"/>
    </row>
    <row r="161" spans="2:25" x14ac:dyDescent="0.2">
      <c r="B161" s="369"/>
      <c r="C161" s="180">
        <f t="shared" si="4"/>
        <v>0</v>
      </c>
      <c r="D161" s="164"/>
      <c r="E161" s="173"/>
      <c r="F161" s="173"/>
      <c r="G161" s="166"/>
      <c r="H161" s="165"/>
      <c r="I161" s="194"/>
      <c r="J161" s="173"/>
      <c r="K161" s="196"/>
      <c r="L161" s="195"/>
      <c r="M161" s="179"/>
      <c r="N161" s="173"/>
      <c r="O161" s="159"/>
      <c r="P161" s="155"/>
      <c r="Q161" s="212"/>
      <c r="R161" s="173"/>
      <c r="S161" s="213"/>
      <c r="T161" s="213"/>
      <c r="U161" s="214"/>
      <c r="V161" s="204"/>
      <c r="W161" s="173"/>
      <c r="X161" s="206"/>
      <c r="Y161" s="205"/>
    </row>
    <row r="162" spans="2:25" x14ac:dyDescent="0.2">
      <c r="B162" s="369"/>
      <c r="C162" s="180">
        <f t="shared" si="4"/>
        <v>0</v>
      </c>
      <c r="D162" s="164"/>
      <c r="E162" s="173"/>
      <c r="F162" s="173"/>
      <c r="G162" s="166"/>
      <c r="H162" s="165"/>
      <c r="I162" s="194"/>
      <c r="J162" s="173"/>
      <c r="K162" s="196"/>
      <c r="L162" s="195"/>
      <c r="M162" s="179"/>
      <c r="N162" s="173"/>
      <c r="O162" s="159"/>
      <c r="P162" s="155"/>
      <c r="Q162" s="212"/>
      <c r="R162" s="173"/>
      <c r="S162" s="213"/>
      <c r="T162" s="213"/>
      <c r="U162" s="214"/>
      <c r="V162" s="204"/>
      <c r="W162" s="173"/>
      <c r="X162" s="206"/>
      <c r="Y162" s="205"/>
    </row>
  </sheetData>
  <autoFilter ref="A6:U18"/>
  <mergeCells count="80">
    <mergeCell ref="B155:B158"/>
    <mergeCell ref="B159:B162"/>
    <mergeCell ref="B135:B138"/>
    <mergeCell ref="B139:B142"/>
    <mergeCell ref="B143:B146"/>
    <mergeCell ref="B147:B150"/>
    <mergeCell ref="B151:B154"/>
    <mergeCell ref="A127:A130"/>
    <mergeCell ref="B127:B130"/>
    <mergeCell ref="B131:B134"/>
    <mergeCell ref="A115:A118"/>
    <mergeCell ref="B115:B118"/>
    <mergeCell ref="A119:A122"/>
    <mergeCell ref="B119:B122"/>
    <mergeCell ref="A123:A126"/>
    <mergeCell ref="B123:B126"/>
    <mergeCell ref="A103:A106"/>
    <mergeCell ref="B103:B106"/>
    <mergeCell ref="A107:A110"/>
    <mergeCell ref="B107:B110"/>
    <mergeCell ref="A111:A114"/>
    <mergeCell ref="B111:B114"/>
    <mergeCell ref="A91:A94"/>
    <mergeCell ref="B91:B94"/>
    <mergeCell ref="A95:A98"/>
    <mergeCell ref="B95:B98"/>
    <mergeCell ref="A99:A102"/>
    <mergeCell ref="B99:B102"/>
    <mergeCell ref="A79:A82"/>
    <mergeCell ref="B79:B82"/>
    <mergeCell ref="A83:A86"/>
    <mergeCell ref="B83:B86"/>
    <mergeCell ref="A87:A90"/>
    <mergeCell ref="B87:B90"/>
    <mergeCell ref="A67:A70"/>
    <mergeCell ref="B67:B70"/>
    <mergeCell ref="A71:A74"/>
    <mergeCell ref="B71:B74"/>
    <mergeCell ref="A75:A78"/>
    <mergeCell ref="B75:B78"/>
    <mergeCell ref="A55:A58"/>
    <mergeCell ref="B55:B58"/>
    <mergeCell ref="A59:A62"/>
    <mergeCell ref="B59:B62"/>
    <mergeCell ref="A63:A66"/>
    <mergeCell ref="B63:B66"/>
    <mergeCell ref="A43:A46"/>
    <mergeCell ref="B43:B46"/>
    <mergeCell ref="A47:A50"/>
    <mergeCell ref="B47:B50"/>
    <mergeCell ref="A51:A54"/>
    <mergeCell ref="B51:B54"/>
    <mergeCell ref="A31:A34"/>
    <mergeCell ref="B31:B34"/>
    <mergeCell ref="A35:A38"/>
    <mergeCell ref="B35:B38"/>
    <mergeCell ref="A39:A42"/>
    <mergeCell ref="B39:B42"/>
    <mergeCell ref="A19:A22"/>
    <mergeCell ref="B19:B22"/>
    <mergeCell ref="A23:A26"/>
    <mergeCell ref="B23:B26"/>
    <mergeCell ref="A27:A30"/>
    <mergeCell ref="B27:B30"/>
    <mergeCell ref="A15:A18"/>
    <mergeCell ref="B15:B18"/>
    <mergeCell ref="A7:A10"/>
    <mergeCell ref="B7:B10"/>
    <mergeCell ref="A11:A14"/>
    <mergeCell ref="B11:B14"/>
    <mergeCell ref="Q5:U5"/>
    <mergeCell ref="V5:Y5"/>
    <mergeCell ref="A1:K1"/>
    <mergeCell ref="M1:N1"/>
    <mergeCell ref="E3:H3"/>
    <mergeCell ref="J3:L3"/>
    <mergeCell ref="N3:P3"/>
    <mergeCell ref="D5:H5"/>
    <mergeCell ref="I5:L5"/>
    <mergeCell ref="M5:P5"/>
  </mergeCells>
  <conditionalFormatting sqref="G7:G18 G123:G124">
    <cfRule type="expression" dxfId="1543" priority="2471">
      <formula>G7=$M$3</formula>
    </cfRule>
    <cfRule type="expression" dxfId="1542" priority="2472">
      <formula>G7=$I$3</formula>
    </cfRule>
    <cfRule type="expression" dxfId="1541" priority="2473">
      <formula>G7=$D$3</formula>
    </cfRule>
  </conditionalFormatting>
  <conditionalFormatting sqref="H2:H4 L2:L4 P2:P4 U2:U4 H163:H1048576 L163:L1048576 P163:P1048576 U163:U1048576 H123:H124">
    <cfRule type="cellIs" dxfId="1540" priority="2463" operator="greaterThan">
      <formula>0</formula>
    </cfRule>
  </conditionalFormatting>
  <conditionalFormatting sqref="K7:K10">
    <cfRule type="expression" dxfId="1539" priority="1961">
      <formula>K7=$M$3</formula>
    </cfRule>
    <cfRule type="expression" dxfId="1538" priority="1962">
      <formula>K7=$I$3</formula>
    </cfRule>
    <cfRule type="expression" dxfId="1537" priority="1963">
      <formula>K7=$D$3</formula>
    </cfRule>
  </conditionalFormatting>
  <conditionalFormatting sqref="O8:O10">
    <cfRule type="expression" dxfId="1536" priority="1958">
      <formula>O8=$M$3</formula>
    </cfRule>
    <cfRule type="expression" dxfId="1535" priority="1959">
      <formula>O8=$I$3</formula>
    </cfRule>
    <cfRule type="expression" dxfId="1534" priority="1960">
      <formula>O8=$D$3</formula>
    </cfRule>
  </conditionalFormatting>
  <conditionalFormatting sqref="S7:T10">
    <cfRule type="expression" dxfId="1533" priority="1955">
      <formula>S7=$M$3</formula>
    </cfRule>
    <cfRule type="expression" dxfId="1532" priority="1956">
      <formula>S7=$I$3</formula>
    </cfRule>
    <cfRule type="expression" dxfId="1531" priority="1957">
      <formula>S7=$D$3</formula>
    </cfRule>
  </conditionalFormatting>
  <conditionalFormatting sqref="B7:B10">
    <cfRule type="expression" dxfId="1530" priority="1954">
      <formula>B7="CN"</formula>
    </cfRule>
  </conditionalFormatting>
  <conditionalFormatting sqref="U7:U10 P8:P10 L7:L10 H7:H10">
    <cfRule type="cellIs" dxfId="1529" priority="1953" operator="greaterThan">
      <formula>0</formula>
    </cfRule>
  </conditionalFormatting>
  <conditionalFormatting sqref="K13:K14">
    <cfRule type="expression" dxfId="1528" priority="1947">
      <formula>K13=$M$3</formula>
    </cfRule>
    <cfRule type="expression" dxfId="1527" priority="1948">
      <formula>K13=$I$3</formula>
    </cfRule>
    <cfRule type="expression" dxfId="1526" priority="1949">
      <formula>K13=$D$3</formula>
    </cfRule>
  </conditionalFormatting>
  <conditionalFormatting sqref="O13:O14">
    <cfRule type="expression" dxfId="1525" priority="1944">
      <formula>O13=$M$3</formula>
    </cfRule>
    <cfRule type="expression" dxfId="1524" priority="1945">
      <formula>O13=$I$3</formula>
    </cfRule>
    <cfRule type="expression" dxfId="1523" priority="1946">
      <formula>O13=$D$3</formula>
    </cfRule>
  </conditionalFormatting>
  <conditionalFormatting sqref="B11:B14">
    <cfRule type="expression" dxfId="1522" priority="1940">
      <formula>B11="CN"</formula>
    </cfRule>
  </conditionalFormatting>
  <conditionalFormatting sqref="P13:P14 L13:L14 H11:H14">
    <cfRule type="cellIs" dxfId="1521" priority="1939" operator="greaterThan">
      <formula>0</formula>
    </cfRule>
  </conditionalFormatting>
  <conditionalFormatting sqref="K16:K18">
    <cfRule type="expression" dxfId="1520" priority="1933">
      <formula>K16=$M$3</formula>
    </cfRule>
    <cfRule type="expression" dxfId="1519" priority="1934">
      <formula>K16=$I$3</formula>
    </cfRule>
    <cfRule type="expression" dxfId="1518" priority="1935">
      <formula>K16=$D$3</formula>
    </cfRule>
  </conditionalFormatting>
  <conditionalFormatting sqref="O15:O18">
    <cfRule type="expression" dxfId="1517" priority="1930">
      <formula>O15=$M$3</formula>
    </cfRule>
    <cfRule type="expression" dxfId="1516" priority="1931">
      <formula>O15=$I$3</formula>
    </cfRule>
    <cfRule type="expression" dxfId="1515" priority="1932">
      <formula>O15=$D$3</formula>
    </cfRule>
  </conditionalFormatting>
  <conditionalFormatting sqref="B15:B18">
    <cfRule type="expression" dxfId="1514" priority="1926">
      <formula>B15="CN"</formula>
    </cfRule>
  </conditionalFormatting>
  <conditionalFormatting sqref="P15:P18 L16:L18 H15:H18">
    <cfRule type="cellIs" dxfId="1513" priority="1925" operator="greaterThan">
      <formula>0</formula>
    </cfRule>
  </conditionalFormatting>
  <conditionalFormatting sqref="O7">
    <cfRule type="expression" dxfId="1512" priority="1910">
      <formula>O7=$M$3</formula>
    </cfRule>
    <cfRule type="expression" dxfId="1511" priority="1911">
      <formula>O7=$I$3</formula>
    </cfRule>
    <cfRule type="expression" dxfId="1510" priority="1912">
      <formula>O7=$D$3</formula>
    </cfRule>
  </conditionalFormatting>
  <conditionalFormatting sqref="P7">
    <cfRule type="cellIs" dxfId="1509" priority="1909" operator="greaterThan">
      <formula>0</formula>
    </cfRule>
  </conditionalFormatting>
  <conditionalFormatting sqref="Y2:Y4 Y163:Y1048576">
    <cfRule type="cellIs" dxfId="1508" priority="1793" operator="greaterThan">
      <formula>0</formula>
    </cfRule>
  </conditionalFormatting>
  <conditionalFormatting sqref="X7:X10">
    <cfRule type="expression" dxfId="1507" priority="1670">
      <formula>X7=$M$3</formula>
    </cfRule>
    <cfRule type="expression" dxfId="1506" priority="1671">
      <formula>X7=$I$3</formula>
    </cfRule>
    <cfRule type="expression" dxfId="1505" priority="1672">
      <formula>X7=$D$3</formula>
    </cfRule>
  </conditionalFormatting>
  <conditionalFormatting sqref="Y7:Y10">
    <cfRule type="cellIs" dxfId="1504" priority="1669" operator="greaterThan">
      <formula>0</formula>
    </cfRule>
  </conditionalFormatting>
  <conditionalFormatting sqref="X11:X14">
    <cfRule type="expression" dxfId="1503" priority="1666">
      <formula>X11=$M$3</formula>
    </cfRule>
    <cfRule type="expression" dxfId="1502" priority="1667">
      <formula>X11=$I$3</formula>
    </cfRule>
    <cfRule type="expression" dxfId="1501" priority="1668">
      <formula>X11=$D$3</formula>
    </cfRule>
  </conditionalFormatting>
  <conditionalFormatting sqref="Y11:Y14">
    <cfRule type="cellIs" dxfId="1500" priority="1665" operator="greaterThan">
      <formula>0</formula>
    </cfRule>
  </conditionalFormatting>
  <conditionalFormatting sqref="X15:X18">
    <cfRule type="expression" dxfId="1499" priority="1662">
      <formula>X15=$M$3</formula>
    </cfRule>
    <cfRule type="expression" dxfId="1498" priority="1663">
      <formula>X15=$I$3</formula>
    </cfRule>
    <cfRule type="expression" dxfId="1497" priority="1664">
      <formula>X15=$D$3</formula>
    </cfRule>
  </conditionalFormatting>
  <conditionalFormatting sqref="Y15:Y18">
    <cfRule type="cellIs" dxfId="1496" priority="1661" operator="greaterThan">
      <formula>0</formula>
    </cfRule>
  </conditionalFormatting>
  <conditionalFormatting sqref="G20:G22">
    <cfRule type="expression" dxfId="1495" priority="1259">
      <formula>G20=$M$3</formula>
    </cfRule>
    <cfRule type="expression" dxfId="1494" priority="1260">
      <formula>G20=$I$3</formula>
    </cfRule>
    <cfRule type="expression" dxfId="1493" priority="1261">
      <formula>G20=$D$3</formula>
    </cfRule>
  </conditionalFormatting>
  <conditionalFormatting sqref="K20:K22">
    <cfRule type="expression" dxfId="1492" priority="1256">
      <formula>K20=$M$3</formula>
    </cfRule>
    <cfRule type="expression" dxfId="1491" priority="1257">
      <formula>K20=$I$3</formula>
    </cfRule>
    <cfRule type="expression" dxfId="1490" priority="1258">
      <formula>K20=$D$3</formula>
    </cfRule>
  </conditionalFormatting>
  <conditionalFormatting sqref="O20:O22">
    <cfRule type="expression" dxfId="1489" priority="1253">
      <formula>O20=$M$3</formula>
    </cfRule>
    <cfRule type="expression" dxfId="1488" priority="1254">
      <formula>O20=$I$3</formula>
    </cfRule>
    <cfRule type="expression" dxfId="1487" priority="1255">
      <formula>O20=$D$3</formula>
    </cfRule>
  </conditionalFormatting>
  <conditionalFormatting sqref="B19:B22">
    <cfRule type="expression" dxfId="1486" priority="1249">
      <formula>B19="CN"</formula>
    </cfRule>
  </conditionalFormatting>
  <conditionalFormatting sqref="P20:P22 L20:L22 H20:H22">
    <cfRule type="cellIs" dxfId="1485" priority="1248" operator="greaterThan">
      <formula>0</formula>
    </cfRule>
  </conditionalFormatting>
  <conditionalFormatting sqref="X19:X22">
    <cfRule type="expression" dxfId="1484" priority="1245">
      <formula>X19=$M$3</formula>
    </cfRule>
    <cfRule type="expression" dxfId="1483" priority="1246">
      <formula>X19=$I$3</formula>
    </cfRule>
    <cfRule type="expression" dxfId="1482" priority="1247">
      <formula>X19=$D$3</formula>
    </cfRule>
  </conditionalFormatting>
  <conditionalFormatting sqref="Y19:Y22">
    <cfRule type="cellIs" dxfId="1481" priority="1244" operator="greaterThan">
      <formula>0</formula>
    </cfRule>
  </conditionalFormatting>
  <conditionalFormatting sqref="G24:G26">
    <cfRule type="expression" dxfId="1480" priority="1237">
      <formula>G24=$M$3</formula>
    </cfRule>
    <cfRule type="expression" dxfId="1479" priority="1238">
      <formula>G24=$I$3</formula>
    </cfRule>
    <cfRule type="expression" dxfId="1478" priority="1239">
      <formula>G24=$D$3</formula>
    </cfRule>
  </conditionalFormatting>
  <conditionalFormatting sqref="K24:K26">
    <cfRule type="expression" dxfId="1477" priority="1234">
      <formula>K24=$M$3</formula>
    </cfRule>
    <cfRule type="expression" dxfId="1476" priority="1235">
      <formula>K24=$I$3</formula>
    </cfRule>
    <cfRule type="expression" dxfId="1475" priority="1236">
      <formula>K24=$D$3</formula>
    </cfRule>
  </conditionalFormatting>
  <conditionalFormatting sqref="O24:O26">
    <cfRule type="expression" dxfId="1474" priority="1231">
      <formula>O24=$M$3</formula>
    </cfRule>
    <cfRule type="expression" dxfId="1473" priority="1232">
      <formula>O24=$I$3</formula>
    </cfRule>
    <cfRule type="expression" dxfId="1472" priority="1233">
      <formula>O24=$D$3</formula>
    </cfRule>
  </conditionalFormatting>
  <conditionalFormatting sqref="B23:B26">
    <cfRule type="expression" dxfId="1471" priority="1227">
      <formula>B23="CN"</formula>
    </cfRule>
  </conditionalFormatting>
  <conditionalFormatting sqref="P24:P26 L24:L26 H24:H26">
    <cfRule type="cellIs" dxfId="1470" priority="1226" operator="greaterThan">
      <formula>0</formula>
    </cfRule>
  </conditionalFormatting>
  <conditionalFormatting sqref="X23:X26">
    <cfRule type="expression" dxfId="1469" priority="1223">
      <formula>X23=$M$3</formula>
    </cfRule>
    <cfRule type="expression" dxfId="1468" priority="1224">
      <formula>X23=$I$3</formula>
    </cfRule>
    <cfRule type="expression" dxfId="1467" priority="1225">
      <formula>X23=$D$3</formula>
    </cfRule>
  </conditionalFormatting>
  <conditionalFormatting sqref="Y23:Y26">
    <cfRule type="cellIs" dxfId="1466" priority="1222" operator="greaterThan">
      <formula>0</formula>
    </cfRule>
  </conditionalFormatting>
  <conditionalFormatting sqref="G27:G30">
    <cfRule type="expression" dxfId="1465" priority="1215">
      <formula>G27=$M$3</formula>
    </cfRule>
    <cfRule type="expression" dxfId="1464" priority="1216">
      <formula>G27=$I$3</formula>
    </cfRule>
    <cfRule type="expression" dxfId="1463" priority="1217">
      <formula>G27=$D$3</formula>
    </cfRule>
  </conditionalFormatting>
  <conditionalFormatting sqref="K27:K30">
    <cfRule type="expression" dxfId="1462" priority="1212">
      <formula>K27=$M$3</formula>
    </cfRule>
    <cfRule type="expression" dxfId="1461" priority="1213">
      <formula>K27=$I$3</formula>
    </cfRule>
    <cfRule type="expression" dxfId="1460" priority="1214">
      <formula>K27=$D$3</formula>
    </cfRule>
  </conditionalFormatting>
  <conditionalFormatting sqref="O28:O30">
    <cfRule type="expression" dxfId="1459" priority="1209">
      <formula>O28=$M$3</formula>
    </cfRule>
    <cfRule type="expression" dxfId="1458" priority="1210">
      <formula>O28=$I$3</formula>
    </cfRule>
    <cfRule type="expression" dxfId="1457" priority="1211">
      <formula>O28=$D$3</formula>
    </cfRule>
  </conditionalFormatting>
  <conditionalFormatting sqref="B27:B30">
    <cfRule type="expression" dxfId="1456" priority="1205">
      <formula>B27="CN"</formula>
    </cfRule>
  </conditionalFormatting>
  <conditionalFormatting sqref="P28:P30 L27:L30 H27:H30">
    <cfRule type="cellIs" dxfId="1455" priority="1204" operator="greaterThan">
      <formula>0</formula>
    </cfRule>
  </conditionalFormatting>
  <conditionalFormatting sqref="X27:X30">
    <cfRule type="expression" dxfId="1454" priority="1201">
      <formula>X27=$M$3</formula>
    </cfRule>
    <cfRule type="expression" dxfId="1453" priority="1202">
      <formula>X27=$I$3</formula>
    </cfRule>
    <cfRule type="expression" dxfId="1452" priority="1203">
      <formula>X27=$D$3</formula>
    </cfRule>
  </conditionalFormatting>
  <conditionalFormatting sqref="Y27:Y30">
    <cfRule type="cellIs" dxfId="1451" priority="1200" operator="greaterThan">
      <formula>0</formula>
    </cfRule>
  </conditionalFormatting>
  <conditionalFormatting sqref="G33:G34">
    <cfRule type="expression" dxfId="1450" priority="1193">
      <formula>G33=$M$3</formula>
    </cfRule>
    <cfRule type="expression" dxfId="1449" priority="1194">
      <formula>G33=$I$3</formula>
    </cfRule>
    <cfRule type="expression" dxfId="1448" priority="1195">
      <formula>G33=$D$3</formula>
    </cfRule>
  </conditionalFormatting>
  <conditionalFormatting sqref="K31:K34">
    <cfRule type="expression" dxfId="1447" priority="1190">
      <formula>K31=$M$3</formula>
    </cfRule>
    <cfRule type="expression" dxfId="1446" priority="1191">
      <formula>K31=$I$3</formula>
    </cfRule>
    <cfRule type="expression" dxfId="1445" priority="1192">
      <formula>K31=$D$3</formula>
    </cfRule>
  </conditionalFormatting>
  <conditionalFormatting sqref="O32:O34">
    <cfRule type="expression" dxfId="1444" priority="1187">
      <formula>O32=$M$3</formula>
    </cfRule>
    <cfRule type="expression" dxfId="1443" priority="1188">
      <formula>O32=$I$3</formula>
    </cfRule>
    <cfRule type="expression" dxfId="1442" priority="1189">
      <formula>O32=$D$3</formula>
    </cfRule>
  </conditionalFormatting>
  <conditionalFormatting sqref="B31:B34">
    <cfRule type="expression" dxfId="1441" priority="1183">
      <formula>B31="CN"</formula>
    </cfRule>
  </conditionalFormatting>
  <conditionalFormatting sqref="P32:P34 L31:L34 H33:H34">
    <cfRule type="cellIs" dxfId="1440" priority="1182" operator="greaterThan">
      <formula>0</formula>
    </cfRule>
  </conditionalFormatting>
  <conditionalFormatting sqref="X31:X34">
    <cfRule type="expression" dxfId="1439" priority="1179">
      <formula>X31=$M$3</formula>
    </cfRule>
    <cfRule type="expression" dxfId="1438" priority="1180">
      <formula>X31=$I$3</formula>
    </cfRule>
    <cfRule type="expression" dxfId="1437" priority="1181">
      <formula>X31=$D$3</formula>
    </cfRule>
  </conditionalFormatting>
  <conditionalFormatting sqref="Y31:Y34">
    <cfRule type="cellIs" dxfId="1436" priority="1178" operator="greaterThan">
      <formula>0</formula>
    </cfRule>
  </conditionalFormatting>
  <conditionalFormatting sqref="G38">
    <cfRule type="expression" dxfId="1435" priority="1171">
      <formula>G38=$M$3</formula>
    </cfRule>
    <cfRule type="expression" dxfId="1434" priority="1172">
      <formula>G38=$I$3</formula>
    </cfRule>
    <cfRule type="expression" dxfId="1433" priority="1173">
      <formula>G38=$D$3</formula>
    </cfRule>
  </conditionalFormatting>
  <conditionalFormatting sqref="K36:K38">
    <cfRule type="expression" dxfId="1432" priority="1168">
      <formula>K36=$M$3</formula>
    </cfRule>
    <cfRule type="expression" dxfId="1431" priority="1169">
      <formula>K36=$I$3</formula>
    </cfRule>
    <cfRule type="expression" dxfId="1430" priority="1170">
      <formula>K36=$D$3</formula>
    </cfRule>
  </conditionalFormatting>
  <conditionalFormatting sqref="O36:O38">
    <cfRule type="expression" dxfId="1429" priority="1165">
      <formula>O36=$M$3</formula>
    </cfRule>
    <cfRule type="expression" dxfId="1428" priority="1166">
      <formula>O36=$I$3</formula>
    </cfRule>
    <cfRule type="expression" dxfId="1427" priority="1167">
      <formula>O36=$D$3</formula>
    </cfRule>
  </conditionalFormatting>
  <conditionalFormatting sqref="B35:B38">
    <cfRule type="expression" dxfId="1426" priority="1161">
      <formula>B35="CN"</formula>
    </cfRule>
  </conditionalFormatting>
  <conditionalFormatting sqref="P36:P38 L36:L38 H38">
    <cfRule type="cellIs" dxfId="1425" priority="1160" operator="greaterThan">
      <formula>0</formula>
    </cfRule>
  </conditionalFormatting>
  <conditionalFormatting sqref="X35:X38">
    <cfRule type="expression" dxfId="1424" priority="1157">
      <formula>X35=$M$3</formula>
    </cfRule>
    <cfRule type="expression" dxfId="1423" priority="1158">
      <formula>X35=$I$3</formula>
    </cfRule>
    <cfRule type="expression" dxfId="1422" priority="1159">
      <formula>X35=$D$3</formula>
    </cfRule>
  </conditionalFormatting>
  <conditionalFormatting sqref="Y35:Y38">
    <cfRule type="cellIs" dxfId="1421" priority="1156" operator="greaterThan">
      <formula>0</formula>
    </cfRule>
  </conditionalFormatting>
  <conditionalFormatting sqref="G39:G42">
    <cfRule type="expression" dxfId="1420" priority="1149">
      <formula>G39=$M$3</formula>
    </cfRule>
    <cfRule type="expression" dxfId="1419" priority="1150">
      <formula>G39=$I$3</formula>
    </cfRule>
    <cfRule type="expression" dxfId="1418" priority="1151">
      <formula>G39=$D$3</formula>
    </cfRule>
  </conditionalFormatting>
  <conditionalFormatting sqref="K40:K42">
    <cfRule type="expression" dxfId="1417" priority="1146">
      <formula>K40=$M$3</formula>
    </cfRule>
    <cfRule type="expression" dxfId="1416" priority="1147">
      <formula>K40=$I$3</formula>
    </cfRule>
    <cfRule type="expression" dxfId="1415" priority="1148">
      <formula>K40=$D$3</formula>
    </cfRule>
  </conditionalFormatting>
  <conditionalFormatting sqref="O40:O42">
    <cfRule type="expression" dxfId="1414" priority="1143">
      <formula>O40=$M$3</formula>
    </cfRule>
    <cfRule type="expression" dxfId="1413" priority="1144">
      <formula>O40=$I$3</formula>
    </cfRule>
    <cfRule type="expression" dxfId="1412" priority="1145">
      <formula>O40=$D$3</formula>
    </cfRule>
  </conditionalFormatting>
  <conditionalFormatting sqref="B39:B42">
    <cfRule type="expression" dxfId="1411" priority="1139">
      <formula>B39="CN"</formula>
    </cfRule>
  </conditionalFormatting>
  <conditionalFormatting sqref="P40:P42 L40:L42 H39:H42">
    <cfRule type="cellIs" dxfId="1410" priority="1138" operator="greaterThan">
      <formula>0</formula>
    </cfRule>
  </conditionalFormatting>
  <conditionalFormatting sqref="X39:X42">
    <cfRule type="expression" dxfId="1409" priority="1135">
      <formula>X39=$M$3</formula>
    </cfRule>
    <cfRule type="expression" dxfId="1408" priority="1136">
      <formula>X39=$I$3</formula>
    </cfRule>
    <cfRule type="expression" dxfId="1407" priority="1137">
      <formula>X39=$D$3</formula>
    </cfRule>
  </conditionalFormatting>
  <conditionalFormatting sqref="Y39:Y42">
    <cfRule type="cellIs" dxfId="1406" priority="1134" operator="greaterThan">
      <formula>0</formula>
    </cfRule>
  </conditionalFormatting>
  <conditionalFormatting sqref="G44:G46">
    <cfRule type="expression" dxfId="1405" priority="1127">
      <formula>G44=$M$3</formula>
    </cfRule>
    <cfRule type="expression" dxfId="1404" priority="1128">
      <formula>G44=$I$3</formula>
    </cfRule>
    <cfRule type="expression" dxfId="1403" priority="1129">
      <formula>G44=$D$3</formula>
    </cfRule>
  </conditionalFormatting>
  <conditionalFormatting sqref="K44:K46">
    <cfRule type="expression" dxfId="1402" priority="1124">
      <formula>K44=$M$3</formula>
    </cfRule>
    <cfRule type="expression" dxfId="1401" priority="1125">
      <formula>K44=$I$3</formula>
    </cfRule>
    <cfRule type="expression" dxfId="1400" priority="1126">
      <formula>K44=$D$3</formula>
    </cfRule>
  </conditionalFormatting>
  <conditionalFormatting sqref="O44:O46">
    <cfRule type="expression" dxfId="1399" priority="1121">
      <formula>O44=$M$3</formula>
    </cfRule>
    <cfRule type="expression" dxfId="1398" priority="1122">
      <formula>O44=$I$3</formula>
    </cfRule>
    <cfRule type="expression" dxfId="1397" priority="1123">
      <formula>O44=$D$3</formula>
    </cfRule>
  </conditionalFormatting>
  <conditionalFormatting sqref="B43:B46">
    <cfRule type="expression" dxfId="1396" priority="1117">
      <formula>B43="CN"</formula>
    </cfRule>
  </conditionalFormatting>
  <conditionalFormatting sqref="P44:P46 L44:L46 H44:H46">
    <cfRule type="cellIs" dxfId="1395" priority="1116" operator="greaterThan">
      <formula>0</formula>
    </cfRule>
  </conditionalFormatting>
  <conditionalFormatting sqref="X43:X46">
    <cfRule type="expression" dxfId="1394" priority="1113">
      <formula>X43=$M$3</formula>
    </cfRule>
    <cfRule type="expression" dxfId="1393" priority="1114">
      <formula>X43=$I$3</formula>
    </cfRule>
    <cfRule type="expression" dxfId="1392" priority="1115">
      <formula>X43=$D$3</formula>
    </cfRule>
  </conditionalFormatting>
  <conditionalFormatting sqref="Y43:Y46">
    <cfRule type="cellIs" dxfId="1391" priority="1112" operator="greaterThan">
      <formula>0</formula>
    </cfRule>
  </conditionalFormatting>
  <conditionalFormatting sqref="G47:G50">
    <cfRule type="expression" dxfId="1390" priority="1105">
      <formula>G47=$M$3</formula>
    </cfRule>
    <cfRule type="expression" dxfId="1389" priority="1106">
      <formula>G47=$I$3</formula>
    </cfRule>
    <cfRule type="expression" dxfId="1388" priority="1107">
      <formula>G47=$D$3</formula>
    </cfRule>
  </conditionalFormatting>
  <conditionalFormatting sqref="K48:K50">
    <cfRule type="expression" dxfId="1387" priority="1102">
      <formula>K48=$M$3</formula>
    </cfRule>
    <cfRule type="expression" dxfId="1386" priority="1103">
      <formula>K48=$I$3</formula>
    </cfRule>
    <cfRule type="expression" dxfId="1385" priority="1104">
      <formula>K48=$D$3</formula>
    </cfRule>
  </conditionalFormatting>
  <conditionalFormatting sqref="O48:O50">
    <cfRule type="expression" dxfId="1384" priority="1099">
      <formula>O48=$M$3</formula>
    </cfRule>
    <cfRule type="expression" dxfId="1383" priority="1100">
      <formula>O48=$I$3</formula>
    </cfRule>
    <cfRule type="expression" dxfId="1382" priority="1101">
      <formula>O48=$D$3</formula>
    </cfRule>
  </conditionalFormatting>
  <conditionalFormatting sqref="B47:B50">
    <cfRule type="expression" dxfId="1381" priority="1095">
      <formula>B47="CN"</formula>
    </cfRule>
  </conditionalFormatting>
  <conditionalFormatting sqref="P48:P50 L48:L50 H47:H50">
    <cfRule type="cellIs" dxfId="1380" priority="1094" operator="greaterThan">
      <formula>0</formula>
    </cfRule>
  </conditionalFormatting>
  <conditionalFormatting sqref="X47:X50">
    <cfRule type="expression" dxfId="1379" priority="1091">
      <formula>X47=$M$3</formula>
    </cfRule>
    <cfRule type="expression" dxfId="1378" priority="1092">
      <formula>X47=$I$3</formula>
    </cfRule>
    <cfRule type="expression" dxfId="1377" priority="1093">
      <formula>X47=$D$3</formula>
    </cfRule>
  </conditionalFormatting>
  <conditionalFormatting sqref="Y47:Y50">
    <cfRule type="cellIs" dxfId="1376" priority="1090" operator="greaterThan">
      <formula>0</formula>
    </cfRule>
  </conditionalFormatting>
  <conditionalFormatting sqref="G51:G54">
    <cfRule type="expression" dxfId="1375" priority="1083">
      <formula>G51=$M$3</formula>
    </cfRule>
    <cfRule type="expression" dxfId="1374" priority="1084">
      <formula>G51=$I$3</formula>
    </cfRule>
    <cfRule type="expression" dxfId="1373" priority="1085">
      <formula>G51=$D$3</formula>
    </cfRule>
  </conditionalFormatting>
  <conditionalFormatting sqref="K52:K54">
    <cfRule type="expression" dxfId="1372" priority="1080">
      <formula>K52=$M$3</formula>
    </cfRule>
    <cfRule type="expression" dxfId="1371" priority="1081">
      <formula>K52=$I$3</formula>
    </cfRule>
    <cfRule type="expression" dxfId="1370" priority="1082">
      <formula>K52=$D$3</formula>
    </cfRule>
  </conditionalFormatting>
  <conditionalFormatting sqref="O52:O54">
    <cfRule type="expression" dxfId="1369" priority="1077">
      <formula>O52=$M$3</formula>
    </cfRule>
    <cfRule type="expression" dxfId="1368" priority="1078">
      <formula>O52=$I$3</formula>
    </cfRule>
    <cfRule type="expression" dxfId="1367" priority="1079">
      <formula>O52=$D$3</formula>
    </cfRule>
  </conditionalFormatting>
  <conditionalFormatting sqref="B51:B54">
    <cfRule type="expression" dxfId="1366" priority="1073">
      <formula>B51="CN"</formula>
    </cfRule>
  </conditionalFormatting>
  <conditionalFormatting sqref="P52:P54 L52:L54 H51:H54">
    <cfRule type="cellIs" dxfId="1365" priority="1072" operator="greaterThan">
      <formula>0</formula>
    </cfRule>
  </conditionalFormatting>
  <conditionalFormatting sqref="X52:X54">
    <cfRule type="expression" dxfId="1364" priority="1069">
      <formula>X52=$M$3</formula>
    </cfRule>
    <cfRule type="expression" dxfId="1363" priority="1070">
      <formula>X52=$I$3</formula>
    </cfRule>
    <cfRule type="expression" dxfId="1362" priority="1071">
      <formula>X52=$D$3</formula>
    </cfRule>
  </conditionalFormatting>
  <conditionalFormatting sqref="Y52:Y54">
    <cfRule type="cellIs" dxfId="1361" priority="1068" operator="greaterThan">
      <formula>0</formula>
    </cfRule>
  </conditionalFormatting>
  <conditionalFormatting sqref="G56:G58">
    <cfRule type="expression" dxfId="1360" priority="1061">
      <formula>G56=$M$3</formula>
    </cfRule>
    <cfRule type="expression" dxfId="1359" priority="1062">
      <formula>G56=$I$3</formula>
    </cfRule>
    <cfRule type="expression" dxfId="1358" priority="1063">
      <formula>G56=$D$3</formula>
    </cfRule>
  </conditionalFormatting>
  <conditionalFormatting sqref="K57:K58">
    <cfRule type="expression" dxfId="1357" priority="1058">
      <formula>K57=$M$3</formula>
    </cfRule>
    <cfRule type="expression" dxfId="1356" priority="1059">
      <formula>K57=$I$3</formula>
    </cfRule>
    <cfRule type="expression" dxfId="1355" priority="1060">
      <formula>K57=$D$3</formula>
    </cfRule>
  </conditionalFormatting>
  <conditionalFormatting sqref="O57:O58">
    <cfRule type="expression" dxfId="1354" priority="1055">
      <formula>O57=$M$3</formula>
    </cfRule>
    <cfRule type="expression" dxfId="1353" priority="1056">
      <formula>O57=$I$3</formula>
    </cfRule>
    <cfRule type="expression" dxfId="1352" priority="1057">
      <formula>O57=$D$3</formula>
    </cfRule>
  </conditionalFormatting>
  <conditionalFormatting sqref="B55:B58">
    <cfRule type="expression" dxfId="1351" priority="1051">
      <formula>B55="CN"</formula>
    </cfRule>
  </conditionalFormatting>
  <conditionalFormatting sqref="P57:P58 L57:L58 H56:H58">
    <cfRule type="cellIs" dxfId="1350" priority="1050" operator="greaterThan">
      <formula>0</formula>
    </cfRule>
  </conditionalFormatting>
  <conditionalFormatting sqref="X56:X58">
    <cfRule type="expression" dxfId="1349" priority="1047">
      <formula>X56=$M$3</formula>
    </cfRule>
    <cfRule type="expression" dxfId="1348" priority="1048">
      <formula>X56=$I$3</formula>
    </cfRule>
    <cfRule type="expression" dxfId="1347" priority="1049">
      <formula>X56=$D$3</formula>
    </cfRule>
  </conditionalFormatting>
  <conditionalFormatting sqref="Y56:Y58">
    <cfRule type="cellIs" dxfId="1346" priority="1046" operator="greaterThan">
      <formula>0</formula>
    </cfRule>
  </conditionalFormatting>
  <conditionalFormatting sqref="G60:G62">
    <cfRule type="expression" dxfId="1345" priority="1039">
      <formula>G60=$M$3</formula>
    </cfRule>
    <cfRule type="expression" dxfId="1344" priority="1040">
      <formula>G60=$I$3</formula>
    </cfRule>
    <cfRule type="expression" dxfId="1343" priority="1041">
      <formula>G60=$D$3</formula>
    </cfRule>
  </conditionalFormatting>
  <conditionalFormatting sqref="K59:K62">
    <cfRule type="expression" dxfId="1342" priority="1036">
      <formula>K59=$M$3</formula>
    </cfRule>
    <cfRule type="expression" dxfId="1341" priority="1037">
      <formula>K59=$I$3</formula>
    </cfRule>
    <cfRule type="expression" dxfId="1340" priority="1038">
      <formula>K59=$D$3</formula>
    </cfRule>
  </conditionalFormatting>
  <conditionalFormatting sqref="O61:O62">
    <cfRule type="expression" dxfId="1339" priority="1033">
      <formula>O61=$M$3</formula>
    </cfRule>
    <cfRule type="expression" dxfId="1338" priority="1034">
      <formula>O61=$I$3</formula>
    </cfRule>
    <cfRule type="expression" dxfId="1337" priority="1035">
      <formula>O61=$D$3</formula>
    </cfRule>
  </conditionalFormatting>
  <conditionalFormatting sqref="B59:B62">
    <cfRule type="expression" dxfId="1336" priority="1029">
      <formula>B59="CN"</formula>
    </cfRule>
  </conditionalFormatting>
  <conditionalFormatting sqref="P61:P62 L59:L62 H60:H62">
    <cfRule type="cellIs" dxfId="1335" priority="1028" operator="greaterThan">
      <formula>0</formula>
    </cfRule>
  </conditionalFormatting>
  <conditionalFormatting sqref="X60:X62 X64:X67">
    <cfRule type="expression" dxfId="1334" priority="1025">
      <formula>X60=$M$3</formula>
    </cfRule>
    <cfRule type="expression" dxfId="1333" priority="1026">
      <formula>X60=$I$3</formula>
    </cfRule>
    <cfRule type="expression" dxfId="1332" priority="1027">
      <formula>X60=$D$3</formula>
    </cfRule>
  </conditionalFormatting>
  <conditionalFormatting sqref="Y60:Y62 Y64:Y67">
    <cfRule type="cellIs" dxfId="1331" priority="1024" operator="greaterThan">
      <formula>0</formula>
    </cfRule>
  </conditionalFormatting>
  <conditionalFormatting sqref="G64:G66">
    <cfRule type="expression" dxfId="1330" priority="1017">
      <formula>G64=$M$3</formula>
    </cfRule>
    <cfRule type="expression" dxfId="1329" priority="1018">
      <formula>G64=$I$3</formula>
    </cfRule>
    <cfRule type="expression" dxfId="1328" priority="1019">
      <formula>G64=$D$3</formula>
    </cfRule>
  </conditionalFormatting>
  <conditionalFormatting sqref="K64:K66">
    <cfRule type="expression" dxfId="1327" priority="1014">
      <formula>K64=$M$3</formula>
    </cfRule>
    <cfRule type="expression" dxfId="1326" priority="1015">
      <formula>K64=$I$3</formula>
    </cfRule>
    <cfRule type="expression" dxfId="1325" priority="1016">
      <formula>K64=$D$3</formula>
    </cfRule>
  </conditionalFormatting>
  <conditionalFormatting sqref="O64:O66">
    <cfRule type="expression" dxfId="1324" priority="1011">
      <formula>O64=$M$3</formula>
    </cfRule>
    <cfRule type="expression" dxfId="1323" priority="1012">
      <formula>O64=$I$3</formula>
    </cfRule>
    <cfRule type="expression" dxfId="1322" priority="1013">
      <formula>O64=$D$3</formula>
    </cfRule>
  </conditionalFormatting>
  <conditionalFormatting sqref="B63:B66">
    <cfRule type="expression" dxfId="1321" priority="1007">
      <formula>B63="CN"</formula>
    </cfRule>
  </conditionalFormatting>
  <conditionalFormatting sqref="P64:P66 L64:L66 H64:H66">
    <cfRule type="cellIs" dxfId="1320" priority="1006" operator="greaterThan">
      <formula>0</formula>
    </cfRule>
  </conditionalFormatting>
  <conditionalFormatting sqref="X68:X70">
    <cfRule type="expression" dxfId="1319" priority="1003">
      <formula>X68=$M$3</formula>
    </cfRule>
    <cfRule type="expression" dxfId="1318" priority="1004">
      <formula>X68=$I$3</formula>
    </cfRule>
    <cfRule type="expression" dxfId="1317" priority="1005">
      <formula>X68=$D$3</formula>
    </cfRule>
  </conditionalFormatting>
  <conditionalFormatting sqref="Y68:Y70">
    <cfRule type="cellIs" dxfId="1316" priority="1002" operator="greaterThan">
      <formula>0</formula>
    </cfRule>
  </conditionalFormatting>
  <conditionalFormatting sqref="G67:G70">
    <cfRule type="expression" dxfId="1315" priority="995">
      <formula>G67=$M$3</formula>
    </cfRule>
    <cfRule type="expression" dxfId="1314" priority="996">
      <formula>G67=$I$3</formula>
    </cfRule>
    <cfRule type="expression" dxfId="1313" priority="997">
      <formula>G67=$D$3</formula>
    </cfRule>
  </conditionalFormatting>
  <conditionalFormatting sqref="K68:K70">
    <cfRule type="expression" dxfId="1312" priority="992">
      <formula>K68=$M$3</formula>
    </cfRule>
    <cfRule type="expression" dxfId="1311" priority="993">
      <formula>K68=$I$3</formula>
    </cfRule>
    <cfRule type="expression" dxfId="1310" priority="994">
      <formula>K68=$D$3</formula>
    </cfRule>
  </conditionalFormatting>
  <conditionalFormatting sqref="O68:O70">
    <cfRule type="expression" dxfId="1309" priority="989">
      <formula>O68=$M$3</formula>
    </cfRule>
    <cfRule type="expression" dxfId="1308" priority="990">
      <formula>O68=$I$3</formula>
    </cfRule>
    <cfRule type="expression" dxfId="1307" priority="991">
      <formula>O68=$D$3</formula>
    </cfRule>
  </conditionalFormatting>
  <conditionalFormatting sqref="B67:B70">
    <cfRule type="expression" dxfId="1306" priority="985">
      <formula>B67="CN"</formula>
    </cfRule>
  </conditionalFormatting>
  <conditionalFormatting sqref="P68:P70 L68:L70 H67:H70">
    <cfRule type="cellIs" dxfId="1305" priority="984" operator="greaterThan">
      <formula>0</formula>
    </cfRule>
  </conditionalFormatting>
  <conditionalFormatting sqref="X72:X74">
    <cfRule type="expression" dxfId="1304" priority="981">
      <formula>X72=$M$3</formula>
    </cfRule>
    <cfRule type="expression" dxfId="1303" priority="982">
      <formula>X72=$I$3</formula>
    </cfRule>
    <cfRule type="expression" dxfId="1302" priority="983">
      <formula>X72=$D$3</formula>
    </cfRule>
  </conditionalFormatting>
  <conditionalFormatting sqref="Y72:Y74">
    <cfRule type="cellIs" dxfId="1301" priority="980" operator="greaterThan">
      <formula>0</formula>
    </cfRule>
  </conditionalFormatting>
  <conditionalFormatting sqref="G71:G74">
    <cfRule type="expression" dxfId="1300" priority="973">
      <formula>G71=$M$3</formula>
    </cfRule>
    <cfRule type="expression" dxfId="1299" priority="974">
      <formula>G71=$I$3</formula>
    </cfRule>
    <cfRule type="expression" dxfId="1298" priority="975">
      <formula>G71=$D$3</formula>
    </cfRule>
  </conditionalFormatting>
  <conditionalFormatting sqref="K72:K74">
    <cfRule type="expression" dxfId="1297" priority="970">
      <formula>K72=$M$3</formula>
    </cfRule>
    <cfRule type="expression" dxfId="1296" priority="971">
      <formula>K72=$I$3</formula>
    </cfRule>
    <cfRule type="expression" dxfId="1295" priority="972">
      <formula>K72=$D$3</formula>
    </cfRule>
  </conditionalFormatting>
  <conditionalFormatting sqref="O72:O74">
    <cfRule type="expression" dxfId="1294" priority="967">
      <formula>O72=$M$3</formula>
    </cfRule>
    <cfRule type="expression" dxfId="1293" priority="968">
      <formula>O72=$I$3</formula>
    </cfRule>
    <cfRule type="expression" dxfId="1292" priority="969">
      <formula>O72=$D$3</formula>
    </cfRule>
  </conditionalFormatting>
  <conditionalFormatting sqref="B71:B74">
    <cfRule type="expression" dxfId="1291" priority="963">
      <formula>B71="CN"</formula>
    </cfRule>
  </conditionalFormatting>
  <conditionalFormatting sqref="P72:P74 L72:L74 H71:H74">
    <cfRule type="cellIs" dxfId="1290" priority="962" operator="greaterThan">
      <formula>0</formula>
    </cfRule>
  </conditionalFormatting>
  <conditionalFormatting sqref="X75:X78">
    <cfRule type="expression" dxfId="1289" priority="959">
      <formula>X75=$M$3</formula>
    </cfRule>
    <cfRule type="expression" dxfId="1288" priority="960">
      <formula>X75=$I$3</formula>
    </cfRule>
    <cfRule type="expression" dxfId="1287" priority="961">
      <formula>X75=$D$3</formula>
    </cfRule>
  </conditionalFormatting>
  <conditionalFormatting sqref="Y76:Y78">
    <cfRule type="cellIs" dxfId="1286" priority="958" operator="greaterThan">
      <formula>0</formula>
    </cfRule>
  </conditionalFormatting>
  <conditionalFormatting sqref="G75 G77:G78">
    <cfRule type="expression" dxfId="1285" priority="951">
      <formula>G75=$M$3</formula>
    </cfRule>
    <cfRule type="expression" dxfId="1284" priority="952">
      <formula>G75=$I$3</formula>
    </cfRule>
    <cfRule type="expression" dxfId="1283" priority="953">
      <formula>G75=$D$3</formula>
    </cfRule>
  </conditionalFormatting>
  <conditionalFormatting sqref="K76:K78">
    <cfRule type="expression" dxfId="1282" priority="948">
      <formula>K76=$M$3</formula>
    </cfRule>
    <cfRule type="expression" dxfId="1281" priority="949">
      <formula>K76=$I$3</formula>
    </cfRule>
    <cfRule type="expression" dxfId="1280" priority="950">
      <formula>K76=$D$3</formula>
    </cfRule>
  </conditionalFormatting>
  <conditionalFormatting sqref="O76:O78">
    <cfRule type="expression" dxfId="1279" priority="945">
      <formula>O76=$M$3</formula>
    </cfRule>
    <cfRule type="expression" dxfId="1278" priority="946">
      <formula>O76=$I$3</formula>
    </cfRule>
    <cfRule type="expression" dxfId="1277" priority="947">
      <formula>O76=$D$3</formula>
    </cfRule>
  </conditionalFormatting>
  <conditionalFormatting sqref="B75:B78">
    <cfRule type="expression" dxfId="1276" priority="941">
      <formula>B75="CN"</formula>
    </cfRule>
  </conditionalFormatting>
  <conditionalFormatting sqref="P76:P78 L76:L78 H75 H77:H78">
    <cfRule type="cellIs" dxfId="1275" priority="940" operator="greaterThan">
      <formula>0</formula>
    </cfRule>
  </conditionalFormatting>
  <conditionalFormatting sqref="G80:G82">
    <cfRule type="expression" dxfId="1274" priority="929">
      <formula>G80=$M$3</formula>
    </cfRule>
    <cfRule type="expression" dxfId="1273" priority="930">
      <formula>G80=$I$3</formula>
    </cfRule>
    <cfRule type="expression" dxfId="1272" priority="931">
      <formula>G80=$D$3</formula>
    </cfRule>
  </conditionalFormatting>
  <conditionalFormatting sqref="K93:K94">
    <cfRule type="expression" dxfId="1271" priority="926">
      <formula>K93=$M$3</formula>
    </cfRule>
    <cfRule type="expression" dxfId="1270" priority="927">
      <formula>K93=$I$3</formula>
    </cfRule>
    <cfRule type="expression" dxfId="1269" priority="928">
      <formula>K93=$D$3</formula>
    </cfRule>
  </conditionalFormatting>
  <conditionalFormatting sqref="O80:O82">
    <cfRule type="expression" dxfId="1268" priority="923">
      <formula>O80=$M$3</formula>
    </cfRule>
    <cfRule type="expression" dxfId="1267" priority="924">
      <formula>O80=$I$3</formula>
    </cfRule>
    <cfRule type="expression" dxfId="1266" priority="925">
      <formula>O80=$D$3</formula>
    </cfRule>
  </conditionalFormatting>
  <conditionalFormatting sqref="B79:B82">
    <cfRule type="expression" dxfId="1265" priority="919">
      <formula>B79="CN"</formula>
    </cfRule>
  </conditionalFormatting>
  <conditionalFormatting sqref="P80:P82 L93:L94 H80:H82">
    <cfRule type="cellIs" dxfId="1264" priority="918" operator="greaterThan">
      <formula>0</formula>
    </cfRule>
  </conditionalFormatting>
  <conditionalFormatting sqref="X80:X82">
    <cfRule type="expression" dxfId="1263" priority="915">
      <formula>X80=$M$3</formula>
    </cfRule>
    <cfRule type="expression" dxfId="1262" priority="916">
      <formula>X80=$I$3</formula>
    </cfRule>
    <cfRule type="expression" dxfId="1261" priority="917">
      <formula>X80=$D$3</formula>
    </cfRule>
  </conditionalFormatting>
  <conditionalFormatting sqref="Y80:Y82">
    <cfRule type="cellIs" dxfId="1260" priority="914" operator="greaterThan">
      <formula>0</formula>
    </cfRule>
  </conditionalFormatting>
  <conditionalFormatting sqref="G84:G86">
    <cfRule type="expression" dxfId="1259" priority="907">
      <formula>G84=$M$3</formula>
    </cfRule>
    <cfRule type="expression" dxfId="1258" priority="908">
      <formula>G84=$I$3</formula>
    </cfRule>
    <cfRule type="expression" dxfId="1257" priority="909">
      <formula>G84=$D$3</formula>
    </cfRule>
  </conditionalFormatting>
  <conditionalFormatting sqref="K85:K86">
    <cfRule type="expression" dxfId="1256" priority="904">
      <formula>K85=$M$3</formula>
    </cfRule>
    <cfRule type="expression" dxfId="1255" priority="905">
      <formula>K85=$I$3</formula>
    </cfRule>
    <cfRule type="expression" dxfId="1254" priority="906">
      <formula>K85=$D$3</formula>
    </cfRule>
  </conditionalFormatting>
  <conditionalFormatting sqref="O84:O86">
    <cfRule type="expression" dxfId="1253" priority="901">
      <formula>O84=$M$3</formula>
    </cfRule>
    <cfRule type="expression" dxfId="1252" priority="902">
      <formula>O84=$I$3</formula>
    </cfRule>
    <cfRule type="expression" dxfId="1251" priority="903">
      <formula>O84=$D$3</formula>
    </cfRule>
  </conditionalFormatting>
  <conditionalFormatting sqref="B83:B86">
    <cfRule type="expression" dxfId="1250" priority="897">
      <formula>B83="CN"</formula>
    </cfRule>
  </conditionalFormatting>
  <conditionalFormatting sqref="P84:P86 L85:L86 H84:H86">
    <cfRule type="cellIs" dxfId="1249" priority="896" operator="greaterThan">
      <formula>0</formula>
    </cfRule>
  </conditionalFormatting>
  <conditionalFormatting sqref="X83:X86">
    <cfRule type="expression" dxfId="1248" priority="893">
      <formula>X83=$M$3</formula>
    </cfRule>
    <cfRule type="expression" dxfId="1247" priority="894">
      <formula>X83=$I$3</formula>
    </cfRule>
    <cfRule type="expression" dxfId="1246" priority="895">
      <formula>X83=$D$3</formula>
    </cfRule>
  </conditionalFormatting>
  <conditionalFormatting sqref="Y83:Y86">
    <cfRule type="cellIs" dxfId="1245" priority="892" operator="greaterThan">
      <formula>0</formula>
    </cfRule>
  </conditionalFormatting>
  <conditionalFormatting sqref="G87:G90">
    <cfRule type="expression" dxfId="1244" priority="885">
      <formula>G87=$M$3</formula>
    </cfRule>
    <cfRule type="expression" dxfId="1243" priority="886">
      <formula>G87=$I$3</formula>
    </cfRule>
    <cfRule type="expression" dxfId="1242" priority="887">
      <formula>G87=$D$3</formula>
    </cfRule>
  </conditionalFormatting>
  <conditionalFormatting sqref="K88:K90">
    <cfRule type="expression" dxfId="1241" priority="882">
      <formula>K88=$M$3</formula>
    </cfRule>
    <cfRule type="expression" dxfId="1240" priority="883">
      <formula>K88=$I$3</formula>
    </cfRule>
    <cfRule type="expression" dxfId="1239" priority="884">
      <formula>K88=$D$3</formula>
    </cfRule>
  </conditionalFormatting>
  <conditionalFormatting sqref="O87:O90">
    <cfRule type="expression" dxfId="1238" priority="879">
      <formula>O87=$M$3</formula>
    </cfRule>
    <cfRule type="expression" dxfId="1237" priority="880">
      <formula>O87=$I$3</formula>
    </cfRule>
    <cfRule type="expression" dxfId="1236" priority="881">
      <formula>O87=$D$3</formula>
    </cfRule>
  </conditionalFormatting>
  <conditionalFormatting sqref="B87:B90">
    <cfRule type="expression" dxfId="1235" priority="875">
      <formula>B87="CN"</formula>
    </cfRule>
  </conditionalFormatting>
  <conditionalFormatting sqref="P87:P90 L88:L90 H87:H90">
    <cfRule type="cellIs" dxfId="1234" priority="874" operator="greaterThan">
      <formula>0</formula>
    </cfRule>
  </conditionalFormatting>
  <conditionalFormatting sqref="X87:X90">
    <cfRule type="expression" dxfId="1233" priority="871">
      <formula>X87=$M$3</formula>
    </cfRule>
    <cfRule type="expression" dxfId="1232" priority="872">
      <formula>X87=$I$3</formula>
    </cfRule>
    <cfRule type="expression" dxfId="1231" priority="873">
      <formula>X87=$D$3</formula>
    </cfRule>
  </conditionalFormatting>
  <conditionalFormatting sqref="Y87:Y90">
    <cfRule type="cellIs" dxfId="1230" priority="870" operator="greaterThan">
      <formula>0</formula>
    </cfRule>
  </conditionalFormatting>
  <conditionalFormatting sqref="G91:G94">
    <cfRule type="expression" dxfId="1229" priority="863">
      <formula>G91=$M$3</formula>
    </cfRule>
    <cfRule type="expression" dxfId="1228" priority="864">
      <formula>G91=$I$3</formula>
    </cfRule>
    <cfRule type="expression" dxfId="1227" priority="865">
      <formula>G91=$D$3</formula>
    </cfRule>
  </conditionalFormatting>
  <conditionalFormatting sqref="O93:O94">
    <cfRule type="expression" dxfId="1226" priority="857">
      <formula>O93=$M$3</formula>
    </cfRule>
    <cfRule type="expression" dxfId="1225" priority="858">
      <formula>O93=$I$3</formula>
    </cfRule>
    <cfRule type="expression" dxfId="1224" priority="859">
      <formula>O93=$D$3</formula>
    </cfRule>
  </conditionalFormatting>
  <conditionalFormatting sqref="B91:B94">
    <cfRule type="expression" dxfId="1223" priority="853">
      <formula>B91="CN"</formula>
    </cfRule>
  </conditionalFormatting>
  <conditionalFormatting sqref="P93:P94 H91:H94">
    <cfRule type="cellIs" dxfId="1222" priority="852" operator="greaterThan">
      <formula>0</formula>
    </cfRule>
  </conditionalFormatting>
  <conditionalFormatting sqref="X91:X94">
    <cfRule type="expression" dxfId="1221" priority="849">
      <formula>X91=$M$3</formula>
    </cfRule>
    <cfRule type="expression" dxfId="1220" priority="850">
      <formula>X91=$I$3</formula>
    </cfRule>
    <cfRule type="expression" dxfId="1219" priority="851">
      <formula>X91=$D$3</formula>
    </cfRule>
  </conditionalFormatting>
  <conditionalFormatting sqref="Y91:Y94">
    <cfRule type="cellIs" dxfId="1218" priority="848" operator="greaterThan">
      <formula>0</formula>
    </cfRule>
  </conditionalFormatting>
  <conditionalFormatting sqref="K96:K98">
    <cfRule type="expression" dxfId="1217" priority="838">
      <formula>K96=$M$3</formula>
    </cfRule>
    <cfRule type="expression" dxfId="1216" priority="839">
      <formula>K96=$I$3</formula>
    </cfRule>
    <cfRule type="expression" dxfId="1215" priority="840">
      <formula>K96=$D$3</formula>
    </cfRule>
  </conditionalFormatting>
  <conditionalFormatting sqref="O96:O98">
    <cfRule type="expression" dxfId="1214" priority="835">
      <formula>O96=$M$3</formula>
    </cfRule>
    <cfRule type="expression" dxfId="1213" priority="836">
      <formula>O96=$I$3</formula>
    </cfRule>
    <cfRule type="expression" dxfId="1212" priority="837">
      <formula>O96=$D$3</formula>
    </cfRule>
  </conditionalFormatting>
  <conditionalFormatting sqref="B95:B98">
    <cfRule type="expression" dxfId="1211" priority="831">
      <formula>B95="CN"</formula>
    </cfRule>
  </conditionalFormatting>
  <conditionalFormatting sqref="P96:P98 L96:L98">
    <cfRule type="cellIs" dxfId="1210" priority="830" operator="greaterThan">
      <formula>0</formula>
    </cfRule>
  </conditionalFormatting>
  <conditionalFormatting sqref="X95:X98">
    <cfRule type="expression" dxfId="1209" priority="827">
      <formula>X95=$M$3</formula>
    </cfRule>
    <cfRule type="expression" dxfId="1208" priority="828">
      <formula>X95=$I$3</formula>
    </cfRule>
    <cfRule type="expression" dxfId="1207" priority="829">
      <formula>X95=$D$3</formula>
    </cfRule>
  </conditionalFormatting>
  <conditionalFormatting sqref="Y95:Y98">
    <cfRule type="cellIs" dxfId="1206" priority="826" operator="greaterThan">
      <formula>0</formula>
    </cfRule>
  </conditionalFormatting>
  <conditionalFormatting sqref="G100:G102">
    <cfRule type="expression" dxfId="1205" priority="819">
      <formula>G100=$M$3</formula>
    </cfRule>
    <cfRule type="expression" dxfId="1204" priority="820">
      <formula>G100=$I$3</formula>
    </cfRule>
    <cfRule type="expression" dxfId="1203" priority="821">
      <formula>G100=$D$3</formula>
    </cfRule>
  </conditionalFormatting>
  <conditionalFormatting sqref="K100:K102">
    <cfRule type="expression" dxfId="1202" priority="816">
      <formula>K100=$M$3</formula>
    </cfRule>
    <cfRule type="expression" dxfId="1201" priority="817">
      <formula>K100=$I$3</formula>
    </cfRule>
    <cfRule type="expression" dxfId="1200" priority="818">
      <formula>K100=$D$3</formula>
    </cfRule>
  </conditionalFormatting>
  <conditionalFormatting sqref="O100:O102">
    <cfRule type="expression" dxfId="1199" priority="813">
      <formula>O100=$M$3</formula>
    </cfRule>
    <cfRule type="expression" dxfId="1198" priority="814">
      <formula>O100=$I$3</formula>
    </cfRule>
    <cfRule type="expression" dxfId="1197" priority="815">
      <formula>O100=$D$3</formula>
    </cfRule>
  </conditionalFormatting>
  <conditionalFormatting sqref="B99:B102">
    <cfRule type="expression" dxfId="1196" priority="809">
      <formula>B99="CN"</formula>
    </cfRule>
  </conditionalFormatting>
  <conditionalFormatting sqref="P100:P102 L100:L102 H100:H102">
    <cfRule type="cellIs" dxfId="1195" priority="808" operator="greaterThan">
      <formula>0</formula>
    </cfRule>
  </conditionalFormatting>
  <conditionalFormatting sqref="X99:X102">
    <cfRule type="expression" dxfId="1194" priority="805">
      <formula>X99=$M$3</formula>
    </cfRule>
    <cfRule type="expression" dxfId="1193" priority="806">
      <formula>X99=$I$3</formula>
    </cfRule>
    <cfRule type="expression" dxfId="1192" priority="807">
      <formula>X99=$D$3</formula>
    </cfRule>
  </conditionalFormatting>
  <conditionalFormatting sqref="Y99:Y102">
    <cfRule type="cellIs" dxfId="1191" priority="804" operator="greaterThan">
      <formula>0</formula>
    </cfRule>
  </conditionalFormatting>
  <conditionalFormatting sqref="G103:G106">
    <cfRule type="expression" dxfId="1190" priority="797">
      <formula>G103=$M$3</formula>
    </cfRule>
    <cfRule type="expression" dxfId="1189" priority="798">
      <formula>G103=$I$3</formula>
    </cfRule>
    <cfRule type="expression" dxfId="1188" priority="799">
      <formula>G103=$D$3</formula>
    </cfRule>
  </conditionalFormatting>
  <conditionalFormatting sqref="K104:K106">
    <cfRule type="expression" dxfId="1187" priority="794">
      <formula>K104=$M$3</formula>
    </cfRule>
    <cfRule type="expression" dxfId="1186" priority="795">
      <formula>K104=$I$3</formula>
    </cfRule>
    <cfRule type="expression" dxfId="1185" priority="796">
      <formula>K104=$D$3</formula>
    </cfRule>
  </conditionalFormatting>
  <conditionalFormatting sqref="O104:O106">
    <cfRule type="expression" dxfId="1184" priority="791">
      <formula>O104=$M$3</formula>
    </cfRule>
    <cfRule type="expression" dxfId="1183" priority="792">
      <formula>O104=$I$3</formula>
    </cfRule>
    <cfRule type="expression" dxfId="1182" priority="793">
      <formula>O104=$D$3</formula>
    </cfRule>
  </conditionalFormatting>
  <conditionalFormatting sqref="B103:B106">
    <cfRule type="expression" dxfId="1181" priority="787">
      <formula>B103="CN"</formula>
    </cfRule>
  </conditionalFormatting>
  <conditionalFormatting sqref="P104:P106 L104:L106 H103:H106">
    <cfRule type="cellIs" dxfId="1180" priority="786" operator="greaterThan">
      <formula>0</formula>
    </cfRule>
  </conditionalFormatting>
  <conditionalFormatting sqref="X103:X106">
    <cfRule type="expression" dxfId="1179" priority="783">
      <formula>X103=$M$3</formula>
    </cfRule>
    <cfRule type="expression" dxfId="1178" priority="784">
      <formula>X103=$I$3</formula>
    </cfRule>
    <cfRule type="expression" dxfId="1177" priority="785">
      <formula>X103=$D$3</formula>
    </cfRule>
  </conditionalFormatting>
  <conditionalFormatting sqref="Y103:Y106">
    <cfRule type="cellIs" dxfId="1176" priority="782" operator="greaterThan">
      <formula>0</formula>
    </cfRule>
  </conditionalFormatting>
  <conditionalFormatting sqref="G107:G110">
    <cfRule type="expression" dxfId="1175" priority="775">
      <formula>G107=$M$3</formula>
    </cfRule>
    <cfRule type="expression" dxfId="1174" priority="776">
      <formula>G107=$I$3</formula>
    </cfRule>
    <cfRule type="expression" dxfId="1173" priority="777">
      <formula>G107=$D$3</formula>
    </cfRule>
  </conditionalFormatting>
  <conditionalFormatting sqref="K108:K110">
    <cfRule type="expression" dxfId="1172" priority="772">
      <formula>K108=$M$3</formula>
    </cfRule>
    <cfRule type="expression" dxfId="1171" priority="773">
      <formula>K108=$I$3</formula>
    </cfRule>
    <cfRule type="expression" dxfId="1170" priority="774">
      <formula>K108=$D$3</formula>
    </cfRule>
  </conditionalFormatting>
  <conditionalFormatting sqref="O108:O110">
    <cfRule type="expression" dxfId="1169" priority="769">
      <formula>O108=$M$3</formula>
    </cfRule>
    <cfRule type="expression" dxfId="1168" priority="770">
      <formula>O108=$I$3</formula>
    </cfRule>
    <cfRule type="expression" dxfId="1167" priority="771">
      <formula>O108=$D$3</formula>
    </cfRule>
  </conditionalFormatting>
  <conditionalFormatting sqref="B107:B110">
    <cfRule type="expression" dxfId="1166" priority="765">
      <formula>B107="CN"</formula>
    </cfRule>
  </conditionalFormatting>
  <conditionalFormatting sqref="P108:P110 L108:L110 H107:H110">
    <cfRule type="cellIs" dxfId="1165" priority="764" operator="greaterThan">
      <formula>0</formula>
    </cfRule>
  </conditionalFormatting>
  <conditionalFormatting sqref="X107:X110">
    <cfRule type="expression" dxfId="1164" priority="761">
      <formula>X107=$M$3</formula>
    </cfRule>
    <cfRule type="expression" dxfId="1163" priority="762">
      <formula>X107=$I$3</formula>
    </cfRule>
    <cfRule type="expression" dxfId="1162" priority="763">
      <formula>X107=$D$3</formula>
    </cfRule>
  </conditionalFormatting>
  <conditionalFormatting sqref="Y107:Y110">
    <cfRule type="cellIs" dxfId="1161" priority="760" operator="greaterThan">
      <formula>0</formula>
    </cfRule>
  </conditionalFormatting>
  <conditionalFormatting sqref="G111:G114">
    <cfRule type="expression" dxfId="1160" priority="753">
      <formula>G111=$M$3</formula>
    </cfRule>
    <cfRule type="expression" dxfId="1159" priority="754">
      <formula>G111=$I$3</formula>
    </cfRule>
    <cfRule type="expression" dxfId="1158" priority="755">
      <formula>G111=$D$3</formula>
    </cfRule>
  </conditionalFormatting>
  <conditionalFormatting sqref="K112:K114">
    <cfRule type="expression" dxfId="1157" priority="750">
      <formula>K112=$M$3</formula>
    </cfRule>
    <cfRule type="expression" dxfId="1156" priority="751">
      <formula>K112=$I$3</formula>
    </cfRule>
    <cfRule type="expression" dxfId="1155" priority="752">
      <formula>K112=$D$3</formula>
    </cfRule>
  </conditionalFormatting>
  <conditionalFormatting sqref="O112:O114">
    <cfRule type="expression" dxfId="1154" priority="747">
      <formula>O112=$M$3</formula>
    </cfRule>
    <cfRule type="expression" dxfId="1153" priority="748">
      <formula>O112=$I$3</formula>
    </cfRule>
    <cfRule type="expression" dxfId="1152" priority="749">
      <formula>O112=$D$3</formula>
    </cfRule>
  </conditionalFormatting>
  <conditionalFormatting sqref="B111:B114">
    <cfRule type="expression" dxfId="1151" priority="743">
      <formula>B111="CN"</formula>
    </cfRule>
  </conditionalFormatting>
  <conditionalFormatting sqref="P112:P114 L112:L114 H111:H114">
    <cfRule type="cellIs" dxfId="1150" priority="742" operator="greaterThan">
      <formula>0</formula>
    </cfRule>
  </conditionalFormatting>
  <conditionalFormatting sqref="X111:X114">
    <cfRule type="expression" dxfId="1149" priority="739">
      <formula>X111=$M$3</formula>
    </cfRule>
    <cfRule type="expression" dxfId="1148" priority="740">
      <formula>X111=$I$3</formula>
    </cfRule>
    <cfRule type="expression" dxfId="1147" priority="741">
      <formula>X111=$D$3</formula>
    </cfRule>
  </conditionalFormatting>
  <conditionalFormatting sqref="Y111:Y114">
    <cfRule type="cellIs" dxfId="1146" priority="738" operator="greaterThan">
      <formula>0</formula>
    </cfRule>
  </conditionalFormatting>
  <conditionalFormatting sqref="G115:G118">
    <cfRule type="expression" dxfId="1145" priority="731">
      <formula>G115=$M$3</formula>
    </cfRule>
    <cfRule type="expression" dxfId="1144" priority="732">
      <formula>G115=$I$3</formula>
    </cfRule>
    <cfRule type="expression" dxfId="1143" priority="733">
      <formula>G115=$D$3</formula>
    </cfRule>
  </conditionalFormatting>
  <conditionalFormatting sqref="K115:K118">
    <cfRule type="expression" dxfId="1142" priority="728">
      <formula>K115=$M$3</formula>
    </cfRule>
    <cfRule type="expression" dxfId="1141" priority="729">
      <formula>K115=$I$3</formula>
    </cfRule>
    <cfRule type="expression" dxfId="1140" priority="730">
      <formula>K115=$D$3</formula>
    </cfRule>
  </conditionalFormatting>
  <conditionalFormatting sqref="O116:O118">
    <cfRule type="expression" dxfId="1139" priority="725">
      <formula>O116=$M$3</formula>
    </cfRule>
    <cfRule type="expression" dxfId="1138" priority="726">
      <formula>O116=$I$3</formula>
    </cfRule>
    <cfRule type="expression" dxfId="1137" priority="727">
      <formula>O116=$D$3</formula>
    </cfRule>
  </conditionalFormatting>
  <conditionalFormatting sqref="B115:B118">
    <cfRule type="expression" dxfId="1136" priority="721">
      <formula>B115="CN"</formula>
    </cfRule>
  </conditionalFormatting>
  <conditionalFormatting sqref="P116:P118 L115:L118 H115:H118">
    <cfRule type="cellIs" dxfId="1135" priority="720" operator="greaterThan">
      <formula>0</formula>
    </cfRule>
  </conditionalFormatting>
  <conditionalFormatting sqref="X115:X118">
    <cfRule type="expression" dxfId="1134" priority="717">
      <formula>X115=$M$3</formula>
    </cfRule>
    <cfRule type="expression" dxfId="1133" priority="718">
      <formula>X115=$I$3</formula>
    </cfRule>
    <cfRule type="expression" dxfId="1132" priority="719">
      <formula>X115=$D$3</formula>
    </cfRule>
  </conditionalFormatting>
  <conditionalFormatting sqref="Y115:Y118">
    <cfRule type="cellIs" dxfId="1131" priority="716" operator="greaterThan">
      <formula>0</formula>
    </cfRule>
  </conditionalFormatting>
  <conditionalFormatting sqref="K120:K122">
    <cfRule type="expression" dxfId="1130" priority="706">
      <formula>K120=$M$3</formula>
    </cfRule>
    <cfRule type="expression" dxfId="1129" priority="707">
      <formula>K120=$I$3</formula>
    </cfRule>
    <cfRule type="expression" dxfId="1128" priority="708">
      <formula>K120=$D$3</formula>
    </cfRule>
  </conditionalFormatting>
  <conditionalFormatting sqref="O120:O122">
    <cfRule type="expression" dxfId="1127" priority="703">
      <formula>O120=$M$3</formula>
    </cfRule>
    <cfRule type="expression" dxfId="1126" priority="704">
      <formula>O120=$I$3</formula>
    </cfRule>
    <cfRule type="expression" dxfId="1125" priority="705">
      <formula>O120=$D$3</formula>
    </cfRule>
  </conditionalFormatting>
  <conditionalFormatting sqref="B119:B122">
    <cfRule type="expression" dxfId="1124" priority="699">
      <formula>B119="CN"</formula>
    </cfRule>
  </conditionalFormatting>
  <conditionalFormatting sqref="P120:P122 L120:L122">
    <cfRule type="cellIs" dxfId="1123" priority="698" operator="greaterThan">
      <formula>0</formula>
    </cfRule>
  </conditionalFormatting>
  <conditionalFormatting sqref="X119:X122">
    <cfRule type="expression" dxfId="1122" priority="695">
      <formula>X119=$M$3</formula>
    </cfRule>
    <cfRule type="expression" dxfId="1121" priority="696">
      <formula>X119=$I$3</formula>
    </cfRule>
    <cfRule type="expression" dxfId="1120" priority="697">
      <formula>X119=$D$3</formula>
    </cfRule>
  </conditionalFormatting>
  <conditionalFormatting sqref="Y119:Y122">
    <cfRule type="cellIs" dxfId="1119" priority="694" operator="greaterThan">
      <formula>0</formula>
    </cfRule>
  </conditionalFormatting>
  <conditionalFormatting sqref="G119:G122">
    <cfRule type="expression" dxfId="1118" priority="687">
      <formula>G119=$M$3</formula>
    </cfRule>
    <cfRule type="expression" dxfId="1117" priority="688">
      <formula>G119=$I$3</formula>
    </cfRule>
    <cfRule type="expression" dxfId="1116" priority="689">
      <formula>G119=$D$3</formula>
    </cfRule>
  </conditionalFormatting>
  <conditionalFormatting sqref="K124:K126">
    <cfRule type="expression" dxfId="1115" priority="684">
      <formula>K124=$M$3</formula>
    </cfRule>
    <cfRule type="expression" dxfId="1114" priority="685">
      <formula>K124=$I$3</formula>
    </cfRule>
    <cfRule type="expression" dxfId="1113" priority="686">
      <formula>K124=$D$3</formula>
    </cfRule>
  </conditionalFormatting>
  <conditionalFormatting sqref="O124:O126">
    <cfRule type="expression" dxfId="1112" priority="681">
      <formula>O124=$M$3</formula>
    </cfRule>
    <cfRule type="expression" dxfId="1111" priority="682">
      <formula>O124=$I$3</formula>
    </cfRule>
    <cfRule type="expression" dxfId="1110" priority="683">
      <formula>O124=$D$3</formula>
    </cfRule>
  </conditionalFormatting>
  <conditionalFormatting sqref="S124:T126">
    <cfRule type="expression" dxfId="1109" priority="678">
      <formula>S124=$M$3</formula>
    </cfRule>
    <cfRule type="expression" dxfId="1108" priority="679">
      <formula>S124=$I$3</formula>
    </cfRule>
    <cfRule type="expression" dxfId="1107" priority="680">
      <formula>S124=$D$3</formula>
    </cfRule>
  </conditionalFormatting>
  <conditionalFormatting sqref="B123:B126">
    <cfRule type="expression" dxfId="1106" priority="677">
      <formula>B123="CN"</formula>
    </cfRule>
  </conditionalFormatting>
  <conditionalFormatting sqref="U124:U126 P124:P126 L124:L126 H119:H122">
    <cfRule type="cellIs" dxfId="1105" priority="676" operator="greaterThan">
      <formula>0</formula>
    </cfRule>
  </conditionalFormatting>
  <conditionalFormatting sqref="X123:X126">
    <cfRule type="expression" dxfId="1104" priority="673">
      <formula>X123=$M$3</formula>
    </cfRule>
    <cfRule type="expression" dxfId="1103" priority="674">
      <formula>X123=$I$3</formula>
    </cfRule>
    <cfRule type="expression" dxfId="1102" priority="675">
      <formula>X123=$D$3</formula>
    </cfRule>
  </conditionalFormatting>
  <conditionalFormatting sqref="Y123:Y126">
    <cfRule type="cellIs" dxfId="1101" priority="672" operator="greaterThan">
      <formula>0</formula>
    </cfRule>
  </conditionalFormatting>
  <conditionalFormatting sqref="K128:K130">
    <cfRule type="expression" dxfId="1100" priority="662">
      <formula>K128=$M$3</formula>
    </cfRule>
    <cfRule type="expression" dxfId="1099" priority="663">
      <formula>K128=$I$3</formula>
    </cfRule>
    <cfRule type="expression" dxfId="1098" priority="664">
      <formula>K128=$D$3</formula>
    </cfRule>
  </conditionalFormatting>
  <conditionalFormatting sqref="O127:O130">
    <cfRule type="expression" dxfId="1097" priority="659">
      <formula>O127=$M$3</formula>
    </cfRule>
    <cfRule type="expression" dxfId="1096" priority="660">
      <formula>O127=$I$3</formula>
    </cfRule>
    <cfRule type="expression" dxfId="1095" priority="661">
      <formula>O127=$D$3</formula>
    </cfRule>
  </conditionalFormatting>
  <conditionalFormatting sqref="S127:T130">
    <cfRule type="expression" dxfId="1094" priority="656">
      <formula>S127=$M$3</formula>
    </cfRule>
    <cfRule type="expression" dxfId="1093" priority="657">
      <formula>S127=$I$3</formula>
    </cfRule>
    <cfRule type="expression" dxfId="1092" priority="658">
      <formula>S127=$D$3</formula>
    </cfRule>
  </conditionalFormatting>
  <conditionalFormatting sqref="B127:B130">
    <cfRule type="expression" dxfId="1091" priority="655">
      <formula>B127="CN"</formula>
    </cfRule>
  </conditionalFormatting>
  <conditionalFormatting sqref="U127:U130 P127:P130 L128:L130">
    <cfRule type="cellIs" dxfId="1090" priority="654" operator="greaterThan">
      <formula>0</formula>
    </cfRule>
  </conditionalFormatting>
  <conditionalFormatting sqref="X127:X130">
    <cfRule type="expression" dxfId="1089" priority="651">
      <formula>X127=$M$3</formula>
    </cfRule>
    <cfRule type="expression" dxfId="1088" priority="652">
      <formula>X127=$I$3</formula>
    </cfRule>
    <cfRule type="expression" dxfId="1087" priority="653">
      <formula>X127=$D$3</formula>
    </cfRule>
  </conditionalFormatting>
  <conditionalFormatting sqref="Y127:Y130">
    <cfRule type="cellIs" dxfId="1086" priority="650" operator="greaterThan">
      <formula>0</formula>
    </cfRule>
  </conditionalFormatting>
  <conditionalFormatting sqref="G132:G162">
    <cfRule type="expression" dxfId="1085" priority="643">
      <formula>G132=$M$3</formula>
    </cfRule>
    <cfRule type="expression" dxfId="1084" priority="644">
      <formula>G132=$I$3</formula>
    </cfRule>
    <cfRule type="expression" dxfId="1083" priority="645">
      <formula>G132=$D$3</formula>
    </cfRule>
  </conditionalFormatting>
  <conditionalFormatting sqref="K132:K134 K136:K138 K140:K162">
    <cfRule type="expression" dxfId="1082" priority="640">
      <formula>K132=$M$3</formula>
    </cfRule>
    <cfRule type="expression" dxfId="1081" priority="641">
      <formula>K132=$I$3</formula>
    </cfRule>
    <cfRule type="expression" dxfId="1080" priority="642">
      <formula>K132=$D$3</formula>
    </cfRule>
  </conditionalFormatting>
  <conditionalFormatting sqref="O131:O162">
    <cfRule type="expression" dxfId="1079" priority="637">
      <formula>O131=$M$3</formula>
    </cfRule>
    <cfRule type="expression" dxfId="1078" priority="638">
      <formula>O131=$I$3</formula>
    </cfRule>
    <cfRule type="expression" dxfId="1077" priority="639">
      <formula>O131=$D$3</formula>
    </cfRule>
  </conditionalFormatting>
  <conditionalFormatting sqref="S131:T162">
    <cfRule type="expression" dxfId="1076" priority="634">
      <formula>S131=$M$3</formula>
    </cfRule>
    <cfRule type="expression" dxfId="1075" priority="635">
      <formula>S131=$I$3</formula>
    </cfRule>
    <cfRule type="expression" dxfId="1074" priority="636">
      <formula>S131=$D$3</formula>
    </cfRule>
  </conditionalFormatting>
  <conditionalFormatting sqref="B131:B162">
    <cfRule type="expression" dxfId="1073" priority="633">
      <formula>B131="CN"</formula>
    </cfRule>
  </conditionalFormatting>
  <conditionalFormatting sqref="U131:U162 P131:P162 L132:L134 H132:H162 L136:L138 L140:L162">
    <cfRule type="cellIs" dxfId="1072" priority="632" operator="greaterThan">
      <formula>0</formula>
    </cfRule>
  </conditionalFormatting>
  <conditionalFormatting sqref="X131:X162">
    <cfRule type="expression" dxfId="1071" priority="629">
      <formula>X131=$M$3</formula>
    </cfRule>
    <cfRule type="expression" dxfId="1070" priority="630">
      <formula>X131=$I$3</formula>
    </cfRule>
    <cfRule type="expression" dxfId="1069" priority="631">
      <formula>X131=$D$3</formula>
    </cfRule>
  </conditionalFormatting>
  <conditionalFormatting sqref="Y131:Y162">
    <cfRule type="cellIs" dxfId="1068" priority="628" operator="greaterThan">
      <formula>0</formula>
    </cfRule>
  </conditionalFormatting>
  <conditionalFormatting sqref="O19">
    <cfRule type="expression" dxfId="1067" priority="621">
      <formula>O19=$M$3</formula>
    </cfRule>
    <cfRule type="expression" dxfId="1066" priority="622">
      <formula>O19=$I$3</formula>
    </cfRule>
    <cfRule type="expression" dxfId="1065" priority="623">
      <formula>O19=$D$3</formula>
    </cfRule>
  </conditionalFormatting>
  <conditionalFormatting sqref="P19">
    <cfRule type="cellIs" dxfId="1064" priority="620" operator="greaterThan">
      <formula>0</formula>
    </cfRule>
  </conditionalFormatting>
  <conditionalFormatting sqref="O23">
    <cfRule type="expression" dxfId="1063" priority="617">
      <formula>O23=$M$3</formula>
    </cfRule>
    <cfRule type="expression" dxfId="1062" priority="618">
      <formula>O23=$I$3</formula>
    </cfRule>
    <cfRule type="expression" dxfId="1061" priority="619">
      <formula>O23=$D$3</formula>
    </cfRule>
  </conditionalFormatting>
  <conditionalFormatting sqref="P23">
    <cfRule type="cellIs" dxfId="1060" priority="616" operator="greaterThan">
      <formula>0</formula>
    </cfRule>
  </conditionalFormatting>
  <conditionalFormatting sqref="O27">
    <cfRule type="expression" dxfId="1059" priority="613">
      <formula>O27=$M$3</formula>
    </cfRule>
    <cfRule type="expression" dxfId="1058" priority="614">
      <formula>O27=$I$3</formula>
    </cfRule>
    <cfRule type="expression" dxfId="1057" priority="615">
      <formula>O27=$D$3</formula>
    </cfRule>
  </conditionalFormatting>
  <conditionalFormatting sqref="P27">
    <cfRule type="cellIs" dxfId="1056" priority="612" operator="greaterThan">
      <formula>0</formula>
    </cfRule>
  </conditionalFormatting>
  <conditionalFormatting sqref="O31">
    <cfRule type="expression" dxfId="1055" priority="609">
      <formula>O31=$M$3</formula>
    </cfRule>
    <cfRule type="expression" dxfId="1054" priority="610">
      <formula>O31=$I$3</formula>
    </cfRule>
    <cfRule type="expression" dxfId="1053" priority="611">
      <formula>O31=$D$3</formula>
    </cfRule>
  </conditionalFormatting>
  <conditionalFormatting sqref="P31">
    <cfRule type="cellIs" dxfId="1052" priority="608" operator="greaterThan">
      <formula>0</formula>
    </cfRule>
  </conditionalFormatting>
  <conditionalFormatting sqref="O35">
    <cfRule type="expression" dxfId="1051" priority="605">
      <formula>O35=$M$3</formula>
    </cfRule>
    <cfRule type="expression" dxfId="1050" priority="606">
      <formula>O35=$I$3</formula>
    </cfRule>
    <cfRule type="expression" dxfId="1049" priority="607">
      <formula>O35=$D$3</formula>
    </cfRule>
  </conditionalFormatting>
  <conditionalFormatting sqref="P35">
    <cfRule type="cellIs" dxfId="1048" priority="604" operator="greaterThan">
      <formula>0</formula>
    </cfRule>
  </conditionalFormatting>
  <conditionalFormatting sqref="O39">
    <cfRule type="expression" dxfId="1047" priority="601">
      <formula>O39=$M$3</formula>
    </cfRule>
    <cfRule type="expression" dxfId="1046" priority="602">
      <formula>O39=$I$3</formula>
    </cfRule>
    <cfRule type="expression" dxfId="1045" priority="603">
      <formula>O39=$D$3</formula>
    </cfRule>
  </conditionalFormatting>
  <conditionalFormatting sqref="P39">
    <cfRule type="cellIs" dxfId="1044" priority="600" operator="greaterThan">
      <formula>0</formula>
    </cfRule>
  </conditionalFormatting>
  <conditionalFormatting sqref="O47">
    <cfRule type="expression" dxfId="1043" priority="593">
      <formula>O47=$M$3</formula>
    </cfRule>
    <cfRule type="expression" dxfId="1042" priority="594">
      <formula>O47=$I$3</formula>
    </cfRule>
    <cfRule type="expression" dxfId="1041" priority="595">
      <formula>O47=$D$3</formula>
    </cfRule>
  </conditionalFormatting>
  <conditionalFormatting sqref="P47">
    <cfRule type="cellIs" dxfId="1040" priority="592" operator="greaterThan">
      <formula>0</formula>
    </cfRule>
  </conditionalFormatting>
  <conditionalFormatting sqref="O51">
    <cfRule type="expression" dxfId="1039" priority="589">
      <formula>O51=$M$3</formula>
    </cfRule>
    <cfRule type="expression" dxfId="1038" priority="590">
      <formula>O51=$I$3</formula>
    </cfRule>
    <cfRule type="expression" dxfId="1037" priority="591">
      <formula>O51=$D$3</formula>
    </cfRule>
  </conditionalFormatting>
  <conditionalFormatting sqref="P51">
    <cfRule type="cellIs" dxfId="1036" priority="588" operator="greaterThan">
      <formula>0</formula>
    </cfRule>
  </conditionalFormatting>
  <conditionalFormatting sqref="O67">
    <cfRule type="expression" dxfId="1035" priority="573">
      <formula>O67=$M$3</formula>
    </cfRule>
    <cfRule type="expression" dxfId="1034" priority="574">
      <formula>O67=$I$3</formula>
    </cfRule>
    <cfRule type="expression" dxfId="1033" priority="575">
      <formula>O67=$D$3</formula>
    </cfRule>
  </conditionalFormatting>
  <conditionalFormatting sqref="P67">
    <cfRule type="cellIs" dxfId="1032" priority="572" operator="greaterThan">
      <formula>0</formula>
    </cfRule>
  </conditionalFormatting>
  <conditionalFormatting sqref="O75">
    <cfRule type="expression" dxfId="1031" priority="565">
      <formula>O75=$M$3</formula>
    </cfRule>
    <cfRule type="expression" dxfId="1030" priority="566">
      <formula>O75=$I$3</formula>
    </cfRule>
    <cfRule type="expression" dxfId="1029" priority="567">
      <formula>O75=$D$3</formula>
    </cfRule>
  </conditionalFormatting>
  <conditionalFormatting sqref="P75">
    <cfRule type="cellIs" dxfId="1028" priority="564" operator="greaterThan">
      <formula>0</formula>
    </cfRule>
  </conditionalFormatting>
  <conditionalFormatting sqref="O63">
    <cfRule type="expression" dxfId="1027" priority="577">
      <formula>O63=$M$3</formula>
    </cfRule>
    <cfRule type="expression" dxfId="1026" priority="578">
      <formula>O63=$I$3</formula>
    </cfRule>
    <cfRule type="expression" dxfId="1025" priority="579">
      <formula>O63=$D$3</formula>
    </cfRule>
  </conditionalFormatting>
  <conditionalFormatting sqref="P63">
    <cfRule type="cellIs" dxfId="1024" priority="576" operator="greaterThan">
      <formula>0</formula>
    </cfRule>
  </conditionalFormatting>
  <conditionalFormatting sqref="O71">
    <cfRule type="expression" dxfId="1023" priority="569">
      <formula>O71=$M$3</formula>
    </cfRule>
    <cfRule type="expression" dxfId="1022" priority="570">
      <formula>O71=$I$3</formula>
    </cfRule>
    <cfRule type="expression" dxfId="1021" priority="571">
      <formula>O71=$D$3</formula>
    </cfRule>
  </conditionalFormatting>
  <conditionalFormatting sqref="P71">
    <cfRule type="cellIs" dxfId="1020" priority="568" operator="greaterThan">
      <formula>0</formula>
    </cfRule>
  </conditionalFormatting>
  <conditionalFormatting sqref="O79">
    <cfRule type="expression" dxfId="1019" priority="561">
      <formula>O79=$M$3</formula>
    </cfRule>
    <cfRule type="expression" dxfId="1018" priority="562">
      <formula>O79=$I$3</formula>
    </cfRule>
    <cfRule type="expression" dxfId="1017" priority="563">
      <formula>O79=$D$3</formula>
    </cfRule>
  </conditionalFormatting>
  <conditionalFormatting sqref="P79">
    <cfRule type="cellIs" dxfId="1016" priority="560" operator="greaterThan">
      <formula>0</formula>
    </cfRule>
  </conditionalFormatting>
  <conditionalFormatting sqref="O83">
    <cfRule type="expression" dxfId="1015" priority="557">
      <formula>O83=$M$3</formula>
    </cfRule>
    <cfRule type="expression" dxfId="1014" priority="558">
      <formula>O83=$I$3</formula>
    </cfRule>
    <cfRule type="expression" dxfId="1013" priority="559">
      <formula>O83=$D$3</formula>
    </cfRule>
  </conditionalFormatting>
  <conditionalFormatting sqref="P83">
    <cfRule type="cellIs" dxfId="1012" priority="556" operator="greaterThan">
      <formula>0</formula>
    </cfRule>
  </conditionalFormatting>
  <conditionalFormatting sqref="O91">
    <cfRule type="expression" dxfId="1011" priority="553">
      <formula>O91=$M$3</formula>
    </cfRule>
    <cfRule type="expression" dxfId="1010" priority="554">
      <formula>O91=$I$3</formula>
    </cfRule>
    <cfRule type="expression" dxfId="1009" priority="555">
      <formula>O91=$D$3</formula>
    </cfRule>
  </conditionalFormatting>
  <conditionalFormatting sqref="P91">
    <cfRule type="cellIs" dxfId="1008" priority="552" operator="greaterThan">
      <formula>0</formula>
    </cfRule>
  </conditionalFormatting>
  <conditionalFormatting sqref="K11:K12">
    <cfRule type="expression" dxfId="1007" priority="514">
      <formula>K11=$M$3</formula>
    </cfRule>
    <cfRule type="expression" dxfId="1006" priority="515">
      <formula>K11=$I$3</formula>
    </cfRule>
    <cfRule type="expression" dxfId="1005" priority="516">
      <formula>K11=$D$3</formula>
    </cfRule>
  </conditionalFormatting>
  <conditionalFormatting sqref="O12">
    <cfRule type="expression" dxfId="1004" priority="511">
      <formula>O12=$M$3</formula>
    </cfRule>
    <cfRule type="expression" dxfId="1003" priority="512">
      <formula>O12=$I$3</formula>
    </cfRule>
    <cfRule type="expression" dxfId="1002" priority="513">
      <formula>O12=$D$3</formula>
    </cfRule>
  </conditionalFormatting>
  <conditionalFormatting sqref="P12 L11:L12">
    <cfRule type="cellIs" dxfId="1001" priority="510" operator="greaterThan">
      <formula>0</formula>
    </cfRule>
  </conditionalFormatting>
  <conditionalFormatting sqref="O11">
    <cfRule type="expression" dxfId="1000" priority="507">
      <formula>O11=$M$3</formula>
    </cfRule>
    <cfRule type="expression" dxfId="999" priority="508">
      <formula>O11=$I$3</formula>
    </cfRule>
    <cfRule type="expression" dxfId="998" priority="509">
      <formula>O11=$D$3</formula>
    </cfRule>
  </conditionalFormatting>
  <conditionalFormatting sqref="P11">
    <cfRule type="cellIs" dxfId="997" priority="506" operator="greaterThan">
      <formula>0</formula>
    </cfRule>
  </conditionalFormatting>
  <conditionalFormatting sqref="K92">
    <cfRule type="expression" dxfId="996" priority="499">
      <formula>K92=$M$3</formula>
    </cfRule>
    <cfRule type="expression" dxfId="995" priority="500">
      <formula>K92=$I$3</formula>
    </cfRule>
    <cfRule type="expression" dxfId="994" priority="501">
      <formula>K92=$D$3</formula>
    </cfRule>
  </conditionalFormatting>
  <conditionalFormatting sqref="L92">
    <cfRule type="cellIs" dxfId="993" priority="498" operator="greaterThan">
      <formula>0</formula>
    </cfRule>
  </conditionalFormatting>
  <conditionalFormatting sqref="K95">
    <cfRule type="expression" dxfId="992" priority="495">
      <formula>K95=$M$3</formula>
    </cfRule>
    <cfRule type="expression" dxfId="991" priority="496">
      <formula>K95=$I$3</formula>
    </cfRule>
    <cfRule type="expression" dxfId="990" priority="497">
      <formula>K95=$D$3</formula>
    </cfRule>
  </conditionalFormatting>
  <conditionalFormatting sqref="L95">
    <cfRule type="cellIs" dxfId="989" priority="494" operator="greaterThan">
      <formula>0</formula>
    </cfRule>
  </conditionalFormatting>
  <conditionalFormatting sqref="K107">
    <cfRule type="expression" dxfId="988" priority="475">
      <formula>K107=$M$3</formula>
    </cfRule>
    <cfRule type="expression" dxfId="987" priority="476">
      <formula>K107=$I$3</formula>
    </cfRule>
    <cfRule type="expression" dxfId="986" priority="477">
      <formula>K107=$D$3</formula>
    </cfRule>
  </conditionalFormatting>
  <conditionalFormatting sqref="L107">
    <cfRule type="cellIs" dxfId="985" priority="474" operator="greaterThan">
      <formula>0</formula>
    </cfRule>
  </conditionalFormatting>
  <conditionalFormatting sqref="S13:T14">
    <cfRule type="expression" dxfId="984" priority="452">
      <formula>S13=$M$3</formula>
    </cfRule>
    <cfRule type="expression" dxfId="983" priority="453">
      <formula>S13=$I$3</formula>
    </cfRule>
    <cfRule type="expression" dxfId="982" priority="454">
      <formula>S13=$D$3</formula>
    </cfRule>
  </conditionalFormatting>
  <conditionalFormatting sqref="U13:U14">
    <cfRule type="cellIs" dxfId="981" priority="451" operator="greaterThan">
      <formula>0</formula>
    </cfRule>
  </conditionalFormatting>
  <conditionalFormatting sqref="S15:T18">
    <cfRule type="expression" dxfId="980" priority="448">
      <formula>S15=$M$3</formula>
    </cfRule>
    <cfRule type="expression" dxfId="979" priority="449">
      <formula>S15=$I$3</formula>
    </cfRule>
    <cfRule type="expression" dxfId="978" priority="450">
      <formula>S15=$D$3</formula>
    </cfRule>
  </conditionalFormatting>
  <conditionalFormatting sqref="U15:U18">
    <cfRule type="cellIs" dxfId="977" priority="447" operator="greaterThan">
      <formula>0</formula>
    </cfRule>
  </conditionalFormatting>
  <conditionalFormatting sqref="S19:T22">
    <cfRule type="expression" dxfId="976" priority="444">
      <formula>S19=$M$3</formula>
    </cfRule>
    <cfRule type="expression" dxfId="975" priority="445">
      <formula>S19=$I$3</formula>
    </cfRule>
    <cfRule type="expression" dxfId="974" priority="446">
      <formula>S19=$D$3</formula>
    </cfRule>
  </conditionalFormatting>
  <conditionalFormatting sqref="U19:U22">
    <cfRule type="cellIs" dxfId="973" priority="443" operator="greaterThan">
      <formula>0</formula>
    </cfRule>
  </conditionalFormatting>
  <conditionalFormatting sqref="S23:T26">
    <cfRule type="expression" dxfId="972" priority="440">
      <formula>S23=$M$3</formula>
    </cfRule>
    <cfRule type="expression" dxfId="971" priority="441">
      <formula>S23=$I$3</formula>
    </cfRule>
    <cfRule type="expression" dxfId="970" priority="442">
      <formula>S23=$D$3</formula>
    </cfRule>
  </conditionalFormatting>
  <conditionalFormatting sqref="U23:U26">
    <cfRule type="cellIs" dxfId="969" priority="439" operator="greaterThan">
      <formula>0</formula>
    </cfRule>
  </conditionalFormatting>
  <conditionalFormatting sqref="S27:T30">
    <cfRule type="expression" dxfId="968" priority="436">
      <formula>S27=$M$3</formula>
    </cfRule>
    <cfRule type="expression" dxfId="967" priority="437">
      <formula>S27=$I$3</formula>
    </cfRule>
    <cfRule type="expression" dxfId="966" priority="438">
      <formula>S27=$D$3</formula>
    </cfRule>
  </conditionalFormatting>
  <conditionalFormatting sqref="U27:U30">
    <cfRule type="cellIs" dxfId="965" priority="435" operator="greaterThan">
      <formula>0</formula>
    </cfRule>
  </conditionalFormatting>
  <conditionalFormatting sqref="S31:T34">
    <cfRule type="expression" dxfId="964" priority="432">
      <formula>S31=$M$3</formula>
    </cfRule>
    <cfRule type="expression" dxfId="963" priority="433">
      <formula>S31=$I$3</formula>
    </cfRule>
    <cfRule type="expression" dxfId="962" priority="434">
      <formula>S31=$D$3</formula>
    </cfRule>
  </conditionalFormatting>
  <conditionalFormatting sqref="U31:U34">
    <cfRule type="cellIs" dxfId="961" priority="431" operator="greaterThan">
      <formula>0</formula>
    </cfRule>
  </conditionalFormatting>
  <conditionalFormatting sqref="S35:T38">
    <cfRule type="expression" dxfId="960" priority="428">
      <formula>S35=$M$3</formula>
    </cfRule>
    <cfRule type="expression" dxfId="959" priority="429">
      <formula>S35=$I$3</formula>
    </cfRule>
    <cfRule type="expression" dxfId="958" priority="430">
      <formula>S35=$D$3</formula>
    </cfRule>
  </conditionalFormatting>
  <conditionalFormatting sqref="U35:U38">
    <cfRule type="cellIs" dxfId="957" priority="427" operator="greaterThan">
      <formula>0</formula>
    </cfRule>
  </conditionalFormatting>
  <conditionalFormatting sqref="S39:T42">
    <cfRule type="expression" dxfId="956" priority="424">
      <formula>S39=$M$3</formula>
    </cfRule>
    <cfRule type="expression" dxfId="955" priority="425">
      <formula>S39=$I$3</formula>
    </cfRule>
    <cfRule type="expression" dxfId="954" priority="426">
      <formula>S39=$D$3</formula>
    </cfRule>
  </conditionalFormatting>
  <conditionalFormatting sqref="U39:U42">
    <cfRule type="cellIs" dxfId="953" priority="423" operator="greaterThan">
      <formula>0</formula>
    </cfRule>
  </conditionalFormatting>
  <conditionalFormatting sqref="S43:T46">
    <cfRule type="expression" dxfId="952" priority="420">
      <formula>S43=$M$3</formula>
    </cfRule>
    <cfRule type="expression" dxfId="951" priority="421">
      <formula>S43=$I$3</formula>
    </cfRule>
    <cfRule type="expression" dxfId="950" priority="422">
      <formula>S43=$D$3</formula>
    </cfRule>
  </conditionalFormatting>
  <conditionalFormatting sqref="U43:U46">
    <cfRule type="cellIs" dxfId="949" priority="419" operator="greaterThan">
      <formula>0</formula>
    </cfRule>
  </conditionalFormatting>
  <conditionalFormatting sqref="S47:T50">
    <cfRule type="expression" dxfId="948" priority="416">
      <formula>S47=$M$3</formula>
    </cfRule>
    <cfRule type="expression" dxfId="947" priority="417">
      <formula>S47=$I$3</formula>
    </cfRule>
    <cfRule type="expression" dxfId="946" priority="418">
      <formula>S47=$D$3</formula>
    </cfRule>
  </conditionalFormatting>
  <conditionalFormatting sqref="U47:U50">
    <cfRule type="cellIs" dxfId="945" priority="415" operator="greaterThan">
      <formula>0</formula>
    </cfRule>
  </conditionalFormatting>
  <conditionalFormatting sqref="S52:T54">
    <cfRule type="expression" dxfId="944" priority="412">
      <formula>S52=$M$3</formula>
    </cfRule>
    <cfRule type="expression" dxfId="943" priority="413">
      <formula>S52=$I$3</formula>
    </cfRule>
    <cfRule type="expression" dxfId="942" priority="414">
      <formula>S52=$D$3</formula>
    </cfRule>
  </conditionalFormatting>
  <conditionalFormatting sqref="U52:U54">
    <cfRule type="cellIs" dxfId="941" priority="411" operator="greaterThan">
      <formula>0</formula>
    </cfRule>
  </conditionalFormatting>
  <conditionalFormatting sqref="S56:T58">
    <cfRule type="expression" dxfId="940" priority="408">
      <formula>S56=$M$3</formula>
    </cfRule>
    <cfRule type="expression" dxfId="939" priority="409">
      <formula>S56=$I$3</formula>
    </cfRule>
    <cfRule type="expression" dxfId="938" priority="410">
      <formula>S56=$D$3</formula>
    </cfRule>
  </conditionalFormatting>
  <conditionalFormatting sqref="U56:U58">
    <cfRule type="cellIs" dxfId="937" priority="407" operator="greaterThan">
      <formula>0</formula>
    </cfRule>
  </conditionalFormatting>
  <conditionalFormatting sqref="S59:T62">
    <cfRule type="expression" dxfId="936" priority="404">
      <formula>S59=$M$3</formula>
    </cfRule>
    <cfRule type="expression" dxfId="935" priority="405">
      <formula>S59=$I$3</formula>
    </cfRule>
    <cfRule type="expression" dxfId="934" priority="406">
      <formula>S59=$D$3</formula>
    </cfRule>
  </conditionalFormatting>
  <conditionalFormatting sqref="U59:U62">
    <cfRule type="cellIs" dxfId="933" priority="403" operator="greaterThan">
      <formula>0</formula>
    </cfRule>
  </conditionalFormatting>
  <conditionalFormatting sqref="S63:T66">
    <cfRule type="expression" dxfId="932" priority="400">
      <formula>S63=$M$3</formula>
    </cfRule>
    <cfRule type="expression" dxfId="931" priority="401">
      <formula>S63=$I$3</formula>
    </cfRule>
    <cfRule type="expression" dxfId="930" priority="402">
      <formula>S63=$D$3</formula>
    </cfRule>
  </conditionalFormatting>
  <conditionalFormatting sqref="U63:U66">
    <cfRule type="cellIs" dxfId="929" priority="399" operator="greaterThan">
      <formula>0</formula>
    </cfRule>
  </conditionalFormatting>
  <conditionalFormatting sqref="S67:T70">
    <cfRule type="expression" dxfId="928" priority="396">
      <formula>S67=$M$3</formula>
    </cfRule>
    <cfRule type="expression" dxfId="927" priority="397">
      <formula>S67=$I$3</formula>
    </cfRule>
    <cfRule type="expression" dxfId="926" priority="398">
      <formula>S67=$D$3</formula>
    </cfRule>
  </conditionalFormatting>
  <conditionalFormatting sqref="U67:U70">
    <cfRule type="cellIs" dxfId="925" priority="395" operator="greaterThan">
      <formula>0</formula>
    </cfRule>
  </conditionalFormatting>
  <conditionalFormatting sqref="S71:T74">
    <cfRule type="expression" dxfId="924" priority="392">
      <formula>S71=$M$3</formula>
    </cfRule>
    <cfRule type="expression" dxfId="923" priority="393">
      <formula>S71=$I$3</formula>
    </cfRule>
    <cfRule type="expression" dxfId="922" priority="394">
      <formula>S71=$D$3</formula>
    </cfRule>
  </conditionalFormatting>
  <conditionalFormatting sqref="U71:U74">
    <cfRule type="cellIs" dxfId="921" priority="391" operator="greaterThan">
      <formula>0</formula>
    </cfRule>
  </conditionalFormatting>
  <conditionalFormatting sqref="S76:T78">
    <cfRule type="expression" dxfId="920" priority="388">
      <formula>S76=$M$3</formula>
    </cfRule>
    <cfRule type="expression" dxfId="919" priority="389">
      <formula>S76=$I$3</formula>
    </cfRule>
    <cfRule type="expression" dxfId="918" priority="390">
      <formula>S76=$D$3</formula>
    </cfRule>
  </conditionalFormatting>
  <conditionalFormatting sqref="U76:U78">
    <cfRule type="cellIs" dxfId="917" priority="387" operator="greaterThan">
      <formula>0</formula>
    </cfRule>
  </conditionalFormatting>
  <conditionalFormatting sqref="S80:T82">
    <cfRule type="expression" dxfId="916" priority="384">
      <formula>S80=$M$3</formula>
    </cfRule>
    <cfRule type="expression" dxfId="915" priority="385">
      <formula>S80=$I$3</formula>
    </cfRule>
    <cfRule type="expression" dxfId="914" priority="386">
      <formula>S80=$D$3</formula>
    </cfRule>
  </conditionalFormatting>
  <conditionalFormatting sqref="U80:U82">
    <cfRule type="cellIs" dxfId="913" priority="383" operator="greaterThan">
      <formula>0</formula>
    </cfRule>
  </conditionalFormatting>
  <conditionalFormatting sqref="S84:T86">
    <cfRule type="expression" dxfId="912" priority="380">
      <formula>S84=$M$3</formula>
    </cfRule>
    <cfRule type="expression" dxfId="911" priority="381">
      <formula>S84=$I$3</formula>
    </cfRule>
    <cfRule type="expression" dxfId="910" priority="382">
      <formula>S84=$D$3</formula>
    </cfRule>
  </conditionalFormatting>
  <conditionalFormatting sqref="U84:U86">
    <cfRule type="cellIs" dxfId="909" priority="379" operator="greaterThan">
      <formula>0</formula>
    </cfRule>
  </conditionalFormatting>
  <conditionalFormatting sqref="S87:T90">
    <cfRule type="expression" dxfId="908" priority="376">
      <formula>S87=$M$3</formula>
    </cfRule>
    <cfRule type="expression" dxfId="907" priority="377">
      <formula>S87=$I$3</formula>
    </cfRule>
    <cfRule type="expression" dxfId="906" priority="378">
      <formula>S87=$D$3</formula>
    </cfRule>
  </conditionalFormatting>
  <conditionalFormatting sqref="U87:U90">
    <cfRule type="cellIs" dxfId="905" priority="375" operator="greaterThan">
      <formula>0</formula>
    </cfRule>
  </conditionalFormatting>
  <conditionalFormatting sqref="S92:T94">
    <cfRule type="expression" dxfId="904" priority="372">
      <formula>S92=$M$3</formula>
    </cfRule>
    <cfRule type="expression" dxfId="903" priority="373">
      <formula>S92=$I$3</formula>
    </cfRule>
    <cfRule type="expression" dxfId="902" priority="374">
      <formula>S92=$D$3</formula>
    </cfRule>
  </conditionalFormatting>
  <conditionalFormatting sqref="U92:U94">
    <cfRule type="cellIs" dxfId="901" priority="371" operator="greaterThan">
      <formula>0</formula>
    </cfRule>
  </conditionalFormatting>
  <conditionalFormatting sqref="S96:T98">
    <cfRule type="expression" dxfId="900" priority="368">
      <formula>S96=$M$3</formula>
    </cfRule>
    <cfRule type="expression" dxfId="899" priority="369">
      <formula>S96=$I$3</formula>
    </cfRule>
    <cfRule type="expression" dxfId="898" priority="370">
      <formula>S96=$D$3</formula>
    </cfRule>
  </conditionalFormatting>
  <conditionalFormatting sqref="U96:U98">
    <cfRule type="cellIs" dxfId="897" priority="367" operator="greaterThan">
      <formula>0</formula>
    </cfRule>
  </conditionalFormatting>
  <conditionalFormatting sqref="S100:T102">
    <cfRule type="expression" dxfId="896" priority="364">
      <formula>S100=$M$3</formula>
    </cfRule>
    <cfRule type="expression" dxfId="895" priority="365">
      <formula>S100=$I$3</formula>
    </cfRule>
    <cfRule type="expression" dxfId="894" priority="366">
      <formula>S100=$D$3</formula>
    </cfRule>
  </conditionalFormatting>
  <conditionalFormatting sqref="U100:U102">
    <cfRule type="cellIs" dxfId="893" priority="363" operator="greaterThan">
      <formula>0</formula>
    </cfRule>
  </conditionalFormatting>
  <conditionalFormatting sqref="S104:T106">
    <cfRule type="expression" dxfId="892" priority="360">
      <formula>S104=$M$3</formula>
    </cfRule>
    <cfRule type="expression" dxfId="891" priority="361">
      <formula>S104=$I$3</formula>
    </cfRule>
    <cfRule type="expression" dxfId="890" priority="362">
      <formula>S104=$D$3</formula>
    </cfRule>
  </conditionalFormatting>
  <conditionalFormatting sqref="U104:U106">
    <cfRule type="cellIs" dxfId="889" priority="359" operator="greaterThan">
      <formula>0</formula>
    </cfRule>
  </conditionalFormatting>
  <conditionalFormatting sqref="S108:T110">
    <cfRule type="expression" dxfId="888" priority="356">
      <formula>S108=$M$3</formula>
    </cfRule>
    <cfRule type="expression" dxfId="887" priority="357">
      <formula>S108=$I$3</formula>
    </cfRule>
    <cfRule type="expression" dxfId="886" priority="358">
      <formula>S108=$D$3</formula>
    </cfRule>
  </conditionalFormatting>
  <conditionalFormatting sqref="U108:U110">
    <cfRule type="cellIs" dxfId="885" priority="355" operator="greaterThan">
      <formula>0</formula>
    </cfRule>
  </conditionalFormatting>
  <conditionalFormatting sqref="S112:T114">
    <cfRule type="expression" dxfId="884" priority="352">
      <formula>S112=$M$3</formula>
    </cfRule>
    <cfRule type="expression" dxfId="883" priority="353">
      <formula>S112=$I$3</formula>
    </cfRule>
    <cfRule type="expression" dxfId="882" priority="354">
      <formula>S112=$D$3</formula>
    </cfRule>
  </conditionalFormatting>
  <conditionalFormatting sqref="U112:U114">
    <cfRule type="cellIs" dxfId="881" priority="351" operator="greaterThan">
      <formula>0</formula>
    </cfRule>
  </conditionalFormatting>
  <conditionalFormatting sqref="S115:T118">
    <cfRule type="expression" dxfId="880" priority="348">
      <formula>S115=$M$3</formula>
    </cfRule>
    <cfRule type="expression" dxfId="879" priority="349">
      <formula>S115=$I$3</formula>
    </cfRule>
    <cfRule type="expression" dxfId="878" priority="350">
      <formula>S115=$D$3</formula>
    </cfRule>
  </conditionalFormatting>
  <conditionalFormatting sqref="U115:U118">
    <cfRule type="cellIs" dxfId="877" priority="347" operator="greaterThan">
      <formula>0</formula>
    </cfRule>
  </conditionalFormatting>
  <conditionalFormatting sqref="S120:T122">
    <cfRule type="expression" dxfId="876" priority="344">
      <formula>S120=$M$3</formula>
    </cfRule>
    <cfRule type="expression" dxfId="875" priority="345">
      <formula>S120=$I$3</formula>
    </cfRule>
    <cfRule type="expression" dxfId="874" priority="346">
      <formula>S120=$D$3</formula>
    </cfRule>
  </conditionalFormatting>
  <conditionalFormatting sqref="U120:U122">
    <cfRule type="cellIs" dxfId="873" priority="343" operator="greaterThan">
      <formula>0</formula>
    </cfRule>
  </conditionalFormatting>
  <conditionalFormatting sqref="S11:T12">
    <cfRule type="expression" dxfId="872" priority="340">
      <formula>S11=$M$3</formula>
    </cfRule>
    <cfRule type="expression" dxfId="871" priority="341">
      <formula>S11=$I$3</formula>
    </cfRule>
    <cfRule type="expression" dxfId="870" priority="342">
      <formula>S11=$D$3</formula>
    </cfRule>
  </conditionalFormatting>
  <conditionalFormatting sqref="U11:U12">
    <cfRule type="cellIs" dxfId="869" priority="339" operator="greaterThan">
      <formula>0</formula>
    </cfRule>
  </conditionalFormatting>
  <conditionalFormatting sqref="S75:T75">
    <cfRule type="expression" dxfId="868" priority="336">
      <formula>S75=$M$3</formula>
    </cfRule>
    <cfRule type="expression" dxfId="867" priority="337">
      <formula>S75=$I$3</formula>
    </cfRule>
    <cfRule type="expression" dxfId="866" priority="338">
      <formula>S75=$D$3</formula>
    </cfRule>
  </conditionalFormatting>
  <conditionalFormatting sqref="U75">
    <cfRule type="cellIs" dxfId="865" priority="335" operator="greaterThan">
      <formula>0</formula>
    </cfRule>
  </conditionalFormatting>
  <conditionalFormatting sqref="S79:T79">
    <cfRule type="expression" dxfId="864" priority="332">
      <formula>S79=$M$3</formula>
    </cfRule>
    <cfRule type="expression" dxfId="863" priority="333">
      <formula>S79=$I$3</formula>
    </cfRule>
    <cfRule type="expression" dxfId="862" priority="334">
      <formula>S79=$D$3</formula>
    </cfRule>
  </conditionalFormatting>
  <conditionalFormatting sqref="U79">
    <cfRule type="cellIs" dxfId="861" priority="331" operator="greaterThan">
      <formula>0</formula>
    </cfRule>
  </conditionalFormatting>
  <conditionalFormatting sqref="S83:T83">
    <cfRule type="expression" dxfId="860" priority="328">
      <formula>S83=$M$3</formula>
    </cfRule>
    <cfRule type="expression" dxfId="859" priority="329">
      <formula>S83=$I$3</formula>
    </cfRule>
    <cfRule type="expression" dxfId="858" priority="330">
      <formula>S83=$D$3</formula>
    </cfRule>
  </conditionalFormatting>
  <conditionalFormatting sqref="U83">
    <cfRule type="cellIs" dxfId="857" priority="327" operator="greaterThan">
      <formula>0</formula>
    </cfRule>
  </conditionalFormatting>
  <conditionalFormatting sqref="S91:T91">
    <cfRule type="expression" dxfId="856" priority="324">
      <formula>S91=$M$3</formula>
    </cfRule>
    <cfRule type="expression" dxfId="855" priority="325">
      <formula>S91=$I$3</formula>
    </cfRule>
    <cfRule type="expression" dxfId="854" priority="326">
      <formula>S91=$D$3</formula>
    </cfRule>
  </conditionalFormatting>
  <conditionalFormatting sqref="U91">
    <cfRule type="cellIs" dxfId="853" priority="323" operator="greaterThan">
      <formula>0</formula>
    </cfRule>
  </conditionalFormatting>
  <conditionalFormatting sqref="S95:T95">
    <cfRule type="expression" dxfId="852" priority="320">
      <formula>S95=$M$3</formula>
    </cfRule>
    <cfRule type="expression" dxfId="851" priority="321">
      <formula>S95=$I$3</formula>
    </cfRule>
    <cfRule type="expression" dxfId="850" priority="322">
      <formula>S95=$D$3</formula>
    </cfRule>
  </conditionalFormatting>
  <conditionalFormatting sqref="U95">
    <cfRule type="cellIs" dxfId="849" priority="319" operator="greaterThan">
      <formula>0</formula>
    </cfRule>
  </conditionalFormatting>
  <conditionalFormatting sqref="S99:T99">
    <cfRule type="expression" dxfId="848" priority="316">
      <formula>S99=$M$3</formula>
    </cfRule>
    <cfRule type="expression" dxfId="847" priority="317">
      <formula>S99=$I$3</formula>
    </cfRule>
    <cfRule type="expression" dxfId="846" priority="318">
      <formula>S99=$D$3</formula>
    </cfRule>
  </conditionalFormatting>
  <conditionalFormatting sqref="U99">
    <cfRule type="cellIs" dxfId="845" priority="315" operator="greaterThan">
      <formula>0</formula>
    </cfRule>
  </conditionalFormatting>
  <conditionalFormatting sqref="S103:T103">
    <cfRule type="expression" dxfId="844" priority="312">
      <formula>S103=$M$3</formula>
    </cfRule>
    <cfRule type="expression" dxfId="843" priority="313">
      <formula>S103=$I$3</formula>
    </cfRule>
    <cfRule type="expression" dxfId="842" priority="314">
      <formula>S103=$D$3</formula>
    </cfRule>
  </conditionalFormatting>
  <conditionalFormatting sqref="U103">
    <cfRule type="cellIs" dxfId="841" priority="311" operator="greaterThan">
      <formula>0</formula>
    </cfRule>
  </conditionalFormatting>
  <conditionalFormatting sqref="S107:T107">
    <cfRule type="expression" dxfId="840" priority="308">
      <formula>S107=$M$3</formula>
    </cfRule>
    <cfRule type="expression" dxfId="839" priority="309">
      <formula>S107=$I$3</formula>
    </cfRule>
    <cfRule type="expression" dxfId="838" priority="310">
      <formula>S107=$D$3</formula>
    </cfRule>
  </conditionalFormatting>
  <conditionalFormatting sqref="U107">
    <cfRule type="cellIs" dxfId="837" priority="307" operator="greaterThan">
      <formula>0</formula>
    </cfRule>
  </conditionalFormatting>
  <conditionalFormatting sqref="S111:T111">
    <cfRule type="expression" dxfId="836" priority="304">
      <formula>S111=$M$3</formula>
    </cfRule>
    <cfRule type="expression" dxfId="835" priority="305">
      <formula>S111=$I$3</formula>
    </cfRule>
    <cfRule type="expression" dxfId="834" priority="306">
      <formula>S111=$D$3</formula>
    </cfRule>
  </conditionalFormatting>
  <conditionalFormatting sqref="U111">
    <cfRule type="cellIs" dxfId="833" priority="303" operator="greaterThan">
      <formula>0</formula>
    </cfRule>
  </conditionalFormatting>
  <conditionalFormatting sqref="S119:T119">
    <cfRule type="expression" dxfId="832" priority="300">
      <formula>S119=$M$3</formula>
    </cfRule>
    <cfRule type="expression" dxfId="831" priority="301">
      <formula>S119=$I$3</formula>
    </cfRule>
    <cfRule type="expression" dxfId="830" priority="302">
      <formula>S119=$D$3</formula>
    </cfRule>
  </conditionalFormatting>
  <conditionalFormatting sqref="U119">
    <cfRule type="cellIs" dxfId="829" priority="299" operator="greaterThan">
      <formula>0</formula>
    </cfRule>
  </conditionalFormatting>
  <conditionalFormatting sqref="S123:T123">
    <cfRule type="expression" dxfId="828" priority="296">
      <formula>S123=$M$3</formula>
    </cfRule>
    <cfRule type="expression" dxfId="827" priority="297">
      <formula>S123=$I$3</formula>
    </cfRule>
    <cfRule type="expression" dxfId="826" priority="298">
      <formula>S123=$D$3</formula>
    </cfRule>
  </conditionalFormatting>
  <conditionalFormatting sqref="U123">
    <cfRule type="cellIs" dxfId="825" priority="295" operator="greaterThan">
      <formula>0</formula>
    </cfRule>
  </conditionalFormatting>
  <conditionalFormatting sqref="K15">
    <cfRule type="expression" dxfId="824" priority="292">
      <formula>K15=$M$3</formula>
    </cfRule>
    <cfRule type="expression" dxfId="823" priority="293">
      <formula>K15=$I$3</formula>
    </cfRule>
    <cfRule type="expression" dxfId="822" priority="294">
      <formula>K15=$D$3</formula>
    </cfRule>
  </conditionalFormatting>
  <conditionalFormatting sqref="L15">
    <cfRule type="cellIs" dxfId="821" priority="291" operator="greaterThan">
      <formula>0</formula>
    </cfRule>
  </conditionalFormatting>
  <conditionalFormatting sqref="K19">
    <cfRule type="expression" dxfId="820" priority="288">
      <formula>K19=$M$3</formula>
    </cfRule>
    <cfRule type="expression" dxfId="819" priority="289">
      <formula>K19=$I$3</formula>
    </cfRule>
    <cfRule type="expression" dxfId="818" priority="290">
      <formula>K19=$D$3</formula>
    </cfRule>
  </conditionalFormatting>
  <conditionalFormatting sqref="L19">
    <cfRule type="cellIs" dxfId="817" priority="287" operator="greaterThan">
      <formula>0</formula>
    </cfRule>
  </conditionalFormatting>
  <conditionalFormatting sqref="K23">
    <cfRule type="expression" dxfId="816" priority="284">
      <formula>K23=$M$3</formula>
    </cfRule>
    <cfRule type="expression" dxfId="815" priority="285">
      <formula>K23=$I$3</formula>
    </cfRule>
    <cfRule type="expression" dxfId="814" priority="286">
      <formula>K23=$D$3</formula>
    </cfRule>
  </conditionalFormatting>
  <conditionalFormatting sqref="L23">
    <cfRule type="cellIs" dxfId="813" priority="283" operator="greaterThan">
      <formula>0</formula>
    </cfRule>
  </conditionalFormatting>
  <conditionalFormatting sqref="K35">
    <cfRule type="expression" dxfId="812" priority="280">
      <formula>K35=$M$3</formula>
    </cfRule>
    <cfRule type="expression" dxfId="811" priority="281">
      <formula>K35=$I$3</formula>
    </cfRule>
    <cfRule type="expression" dxfId="810" priority="282">
      <formula>K35=$D$3</formula>
    </cfRule>
  </conditionalFormatting>
  <conditionalFormatting sqref="L35">
    <cfRule type="cellIs" dxfId="809" priority="279" operator="greaterThan">
      <formula>0</formula>
    </cfRule>
  </conditionalFormatting>
  <conditionalFormatting sqref="K39">
    <cfRule type="expression" dxfId="808" priority="276">
      <formula>K39=$M$3</formula>
    </cfRule>
    <cfRule type="expression" dxfId="807" priority="277">
      <formula>K39=$I$3</formula>
    </cfRule>
    <cfRule type="expression" dxfId="806" priority="278">
      <formula>K39=$D$3</formula>
    </cfRule>
  </conditionalFormatting>
  <conditionalFormatting sqref="L39">
    <cfRule type="cellIs" dxfId="805" priority="275" operator="greaterThan">
      <formula>0</formula>
    </cfRule>
  </conditionalFormatting>
  <conditionalFormatting sqref="K43">
    <cfRule type="expression" dxfId="804" priority="272">
      <formula>K43=$M$3</formula>
    </cfRule>
    <cfRule type="expression" dxfId="803" priority="273">
      <formula>K43=$I$3</formula>
    </cfRule>
    <cfRule type="expression" dxfId="802" priority="274">
      <formula>K43=$D$3</formula>
    </cfRule>
  </conditionalFormatting>
  <conditionalFormatting sqref="L43">
    <cfRule type="cellIs" dxfId="801" priority="271" operator="greaterThan">
      <formula>0</formula>
    </cfRule>
  </conditionalFormatting>
  <conditionalFormatting sqref="K47">
    <cfRule type="expression" dxfId="800" priority="268">
      <formula>K47=$M$3</formula>
    </cfRule>
    <cfRule type="expression" dxfId="799" priority="269">
      <formula>K47=$I$3</formula>
    </cfRule>
    <cfRule type="expression" dxfId="798" priority="270">
      <formula>K47=$D$3</formula>
    </cfRule>
  </conditionalFormatting>
  <conditionalFormatting sqref="L47">
    <cfRule type="cellIs" dxfId="797" priority="267" operator="greaterThan">
      <formula>0</formula>
    </cfRule>
  </conditionalFormatting>
  <conditionalFormatting sqref="K63">
    <cfRule type="expression" dxfId="796" priority="264">
      <formula>K63=$M$3</formula>
    </cfRule>
    <cfRule type="expression" dxfId="795" priority="265">
      <formula>K63=$I$3</formula>
    </cfRule>
    <cfRule type="expression" dxfId="794" priority="266">
      <formula>K63=$D$3</formula>
    </cfRule>
  </conditionalFormatting>
  <conditionalFormatting sqref="L63">
    <cfRule type="cellIs" dxfId="793" priority="263" operator="greaterThan">
      <formula>0</formula>
    </cfRule>
  </conditionalFormatting>
  <conditionalFormatting sqref="K67">
    <cfRule type="expression" dxfId="792" priority="260">
      <formula>K67=$M$3</formula>
    </cfRule>
    <cfRule type="expression" dxfId="791" priority="261">
      <formula>K67=$I$3</formula>
    </cfRule>
    <cfRule type="expression" dxfId="790" priority="262">
      <formula>K67=$D$3</formula>
    </cfRule>
  </conditionalFormatting>
  <conditionalFormatting sqref="L67">
    <cfRule type="cellIs" dxfId="789" priority="259" operator="greaterThan">
      <formula>0</formula>
    </cfRule>
  </conditionalFormatting>
  <conditionalFormatting sqref="K71">
    <cfRule type="expression" dxfId="788" priority="256">
      <formula>K71=$M$3</formula>
    </cfRule>
    <cfRule type="expression" dxfId="787" priority="257">
      <formula>K71=$I$3</formula>
    </cfRule>
    <cfRule type="expression" dxfId="786" priority="258">
      <formula>K71=$D$3</formula>
    </cfRule>
  </conditionalFormatting>
  <conditionalFormatting sqref="L71">
    <cfRule type="cellIs" dxfId="785" priority="255" operator="greaterThan">
      <formula>0</formula>
    </cfRule>
  </conditionalFormatting>
  <conditionalFormatting sqref="K103">
    <cfRule type="expression" dxfId="784" priority="236">
      <formula>K103=$M$3</formula>
    </cfRule>
    <cfRule type="expression" dxfId="783" priority="237">
      <formula>K103=$I$3</formula>
    </cfRule>
    <cfRule type="expression" dxfId="782" priority="238">
      <formula>K103=$D$3</formula>
    </cfRule>
  </conditionalFormatting>
  <conditionalFormatting sqref="L103">
    <cfRule type="cellIs" dxfId="781" priority="235" operator="greaterThan">
      <formula>0</formula>
    </cfRule>
  </conditionalFormatting>
  <conditionalFormatting sqref="G19">
    <cfRule type="expression" dxfId="780" priority="232">
      <formula>G19=$M$3</formula>
    </cfRule>
    <cfRule type="expression" dxfId="779" priority="233">
      <formula>G19=$I$3</formula>
    </cfRule>
    <cfRule type="expression" dxfId="778" priority="234">
      <formula>G19=$D$3</formula>
    </cfRule>
  </conditionalFormatting>
  <conditionalFormatting sqref="H19">
    <cfRule type="cellIs" dxfId="777" priority="231" operator="greaterThan">
      <formula>0</formula>
    </cfRule>
  </conditionalFormatting>
  <conditionalFormatting sqref="K99">
    <cfRule type="expression" dxfId="776" priority="240">
      <formula>K99=$M$3</formula>
    </cfRule>
    <cfRule type="expression" dxfId="775" priority="241">
      <formula>K99=$I$3</formula>
    </cfRule>
    <cfRule type="expression" dxfId="774" priority="242">
      <formula>K99=$D$3</formula>
    </cfRule>
  </conditionalFormatting>
  <conditionalFormatting sqref="L99">
    <cfRule type="cellIs" dxfId="773" priority="239" operator="greaterThan">
      <formula>0</formula>
    </cfRule>
  </conditionalFormatting>
  <conditionalFormatting sqref="G23">
    <cfRule type="expression" dxfId="772" priority="228">
      <formula>G23=$M$3</formula>
    </cfRule>
    <cfRule type="expression" dxfId="771" priority="229">
      <formula>G23=$I$3</formula>
    </cfRule>
    <cfRule type="expression" dxfId="770" priority="230">
      <formula>G23=$D$3</formula>
    </cfRule>
  </conditionalFormatting>
  <conditionalFormatting sqref="H23">
    <cfRule type="cellIs" dxfId="769" priority="227" operator="greaterThan">
      <formula>0</formula>
    </cfRule>
  </conditionalFormatting>
  <conditionalFormatting sqref="K111">
    <cfRule type="expression" dxfId="768" priority="224">
      <formula>K111=$M$3</formula>
    </cfRule>
    <cfRule type="expression" dxfId="767" priority="225">
      <formula>K111=$I$3</formula>
    </cfRule>
    <cfRule type="expression" dxfId="766" priority="226">
      <formula>K111=$D$3</formula>
    </cfRule>
  </conditionalFormatting>
  <conditionalFormatting sqref="L111">
    <cfRule type="cellIs" dxfId="765" priority="223" operator="greaterThan">
      <formula>0</formula>
    </cfRule>
  </conditionalFormatting>
  <conditionalFormatting sqref="K119">
    <cfRule type="expression" dxfId="764" priority="220">
      <formula>K119=$M$3</formula>
    </cfRule>
    <cfRule type="expression" dxfId="763" priority="221">
      <formula>K119=$I$3</formula>
    </cfRule>
    <cfRule type="expression" dxfId="762" priority="222">
      <formula>K119=$D$3</formula>
    </cfRule>
  </conditionalFormatting>
  <conditionalFormatting sqref="L119">
    <cfRule type="cellIs" dxfId="761" priority="219" operator="greaterThan">
      <formula>0</formula>
    </cfRule>
  </conditionalFormatting>
  <conditionalFormatting sqref="K51">
    <cfRule type="expression" dxfId="760" priority="212">
      <formula>K51=$M$3</formula>
    </cfRule>
    <cfRule type="expression" dxfId="759" priority="213">
      <formula>K51=$I$3</formula>
    </cfRule>
    <cfRule type="expression" dxfId="758" priority="214">
      <formula>K51=$D$3</formula>
    </cfRule>
  </conditionalFormatting>
  <conditionalFormatting sqref="L51">
    <cfRule type="cellIs" dxfId="757" priority="211" operator="greaterThan">
      <formula>0</formula>
    </cfRule>
  </conditionalFormatting>
  <conditionalFormatting sqref="G32">
    <cfRule type="expression" dxfId="756" priority="208">
      <formula>G32=$M$3</formula>
    </cfRule>
    <cfRule type="expression" dxfId="755" priority="209">
      <formula>G32=$I$3</formula>
    </cfRule>
    <cfRule type="expression" dxfId="754" priority="210">
      <formula>G32=$D$3</formula>
    </cfRule>
  </conditionalFormatting>
  <conditionalFormatting sqref="H32">
    <cfRule type="cellIs" dxfId="753" priority="207" operator="greaterThan">
      <formula>0</formula>
    </cfRule>
  </conditionalFormatting>
  <conditionalFormatting sqref="G43">
    <cfRule type="expression" dxfId="752" priority="204">
      <formula>G43=$M$3</formula>
    </cfRule>
    <cfRule type="expression" dxfId="751" priority="205">
      <formula>G43=$I$3</formula>
    </cfRule>
    <cfRule type="expression" dxfId="750" priority="206">
      <formula>G43=$D$3</formula>
    </cfRule>
  </conditionalFormatting>
  <conditionalFormatting sqref="H43">
    <cfRule type="cellIs" dxfId="749" priority="203" operator="greaterThan">
      <formula>0</formula>
    </cfRule>
  </conditionalFormatting>
  <conditionalFormatting sqref="G31">
    <cfRule type="expression" dxfId="748" priority="196">
      <formula>G31=$M$3</formula>
    </cfRule>
    <cfRule type="expression" dxfId="747" priority="197">
      <formula>G31=$I$3</formula>
    </cfRule>
    <cfRule type="expression" dxfId="746" priority="198">
      <formula>G31=$D$3</formula>
    </cfRule>
  </conditionalFormatting>
  <conditionalFormatting sqref="H31">
    <cfRule type="cellIs" dxfId="745" priority="195" operator="greaterThan">
      <formula>0</formula>
    </cfRule>
  </conditionalFormatting>
  <conditionalFormatting sqref="G37">
    <cfRule type="expression" dxfId="744" priority="192">
      <formula>G37=$M$3</formula>
    </cfRule>
    <cfRule type="expression" dxfId="743" priority="193">
      <formula>G37=$I$3</formula>
    </cfRule>
    <cfRule type="expression" dxfId="742" priority="194">
      <formula>G37=$D$3</formula>
    </cfRule>
  </conditionalFormatting>
  <conditionalFormatting sqref="H37">
    <cfRule type="cellIs" dxfId="741" priority="191" operator="greaterThan">
      <formula>0</formula>
    </cfRule>
  </conditionalFormatting>
  <conditionalFormatting sqref="G35">
    <cfRule type="expression" dxfId="740" priority="188">
      <formula>G35=$M$3</formula>
    </cfRule>
    <cfRule type="expression" dxfId="739" priority="189">
      <formula>G35=$I$3</formula>
    </cfRule>
    <cfRule type="expression" dxfId="738" priority="190">
      <formula>G35=$D$3</formula>
    </cfRule>
  </conditionalFormatting>
  <conditionalFormatting sqref="H35">
    <cfRule type="cellIs" dxfId="737" priority="187" operator="greaterThan">
      <formula>0</formula>
    </cfRule>
  </conditionalFormatting>
  <conditionalFormatting sqref="G36">
    <cfRule type="expression" dxfId="736" priority="184">
      <formula>G36=$M$3</formula>
    </cfRule>
    <cfRule type="expression" dxfId="735" priority="185">
      <formula>G36=$I$3</formula>
    </cfRule>
    <cfRule type="expression" dxfId="734" priority="186">
      <formula>G36=$D$3</formula>
    </cfRule>
  </conditionalFormatting>
  <conditionalFormatting sqref="H36">
    <cfRule type="cellIs" dxfId="733" priority="183" operator="greaterThan">
      <formula>0</formula>
    </cfRule>
  </conditionalFormatting>
  <conditionalFormatting sqref="X51">
    <cfRule type="expression" dxfId="732" priority="180">
      <formula>X51=$M$3</formula>
    </cfRule>
    <cfRule type="expression" dxfId="731" priority="181">
      <formula>X51=$I$3</formula>
    </cfRule>
    <cfRule type="expression" dxfId="730" priority="182">
      <formula>X51=$D$3</formula>
    </cfRule>
  </conditionalFormatting>
  <conditionalFormatting sqref="Y51">
    <cfRule type="cellIs" dxfId="729" priority="179" operator="greaterThan">
      <formula>0</formula>
    </cfRule>
  </conditionalFormatting>
  <conditionalFormatting sqref="X55">
    <cfRule type="expression" dxfId="728" priority="176">
      <formula>X55=$M$3</formula>
    </cfRule>
    <cfRule type="expression" dxfId="727" priority="177">
      <formula>X55=$I$3</formula>
    </cfRule>
    <cfRule type="expression" dxfId="726" priority="178">
      <formula>X55=$D$3</formula>
    </cfRule>
  </conditionalFormatting>
  <conditionalFormatting sqref="Y55">
    <cfRule type="cellIs" dxfId="725" priority="175" operator="greaterThan">
      <formula>0</formula>
    </cfRule>
  </conditionalFormatting>
  <conditionalFormatting sqref="X59">
    <cfRule type="expression" dxfId="724" priority="172">
      <formula>X59=$M$3</formula>
    </cfRule>
    <cfRule type="expression" dxfId="723" priority="173">
      <formula>X59=$I$3</formula>
    </cfRule>
    <cfRule type="expression" dxfId="722" priority="174">
      <formula>X59=$D$3</formula>
    </cfRule>
  </conditionalFormatting>
  <conditionalFormatting sqref="X63">
    <cfRule type="expression" dxfId="721" priority="168">
      <formula>X63=$M$3</formula>
    </cfRule>
    <cfRule type="expression" dxfId="720" priority="169">
      <formula>X63=$I$3</formula>
    </cfRule>
    <cfRule type="expression" dxfId="719" priority="170">
      <formula>X63=$D$3</formula>
    </cfRule>
  </conditionalFormatting>
  <conditionalFormatting sqref="X71">
    <cfRule type="expression" dxfId="718" priority="160">
      <formula>X71=$M$3</formula>
    </cfRule>
    <cfRule type="expression" dxfId="717" priority="161">
      <formula>X71=$I$3</formula>
    </cfRule>
    <cfRule type="expression" dxfId="716" priority="162">
      <formula>X71=$D$3</formula>
    </cfRule>
  </conditionalFormatting>
  <conditionalFormatting sqref="U51">
    <cfRule type="cellIs" dxfId="715" priority="156" operator="greaterThan">
      <formula>0</formula>
    </cfRule>
  </conditionalFormatting>
  <conditionalFormatting sqref="S55:T55">
    <cfRule type="expression" dxfId="714" priority="153">
      <formula>S55=$M$3</formula>
    </cfRule>
    <cfRule type="expression" dxfId="713" priority="154">
      <formula>S55=$I$3</formula>
    </cfRule>
    <cfRule type="expression" dxfId="712" priority="155">
      <formula>S55=$D$3</formula>
    </cfRule>
  </conditionalFormatting>
  <conditionalFormatting sqref="U55">
    <cfRule type="cellIs" dxfId="711" priority="152" operator="greaterThan">
      <formula>0</formula>
    </cfRule>
  </conditionalFormatting>
  <conditionalFormatting sqref="O43">
    <cfRule type="expression" dxfId="710" priority="149">
      <formula>O43=$M$3</formula>
    </cfRule>
    <cfRule type="expression" dxfId="709" priority="150">
      <formula>O43=$I$3</formula>
    </cfRule>
    <cfRule type="expression" dxfId="708" priority="151">
      <formula>O43=$D$3</formula>
    </cfRule>
  </conditionalFormatting>
  <conditionalFormatting sqref="P43">
    <cfRule type="cellIs" dxfId="707" priority="148" operator="greaterThan">
      <formula>0</formula>
    </cfRule>
  </conditionalFormatting>
  <conditionalFormatting sqref="S51:T51">
    <cfRule type="expression" dxfId="706" priority="145">
      <formula>S51=$M$3</formula>
    </cfRule>
    <cfRule type="expression" dxfId="705" priority="146">
      <formula>S51=$I$3</formula>
    </cfRule>
    <cfRule type="expression" dxfId="704" priority="147">
      <formula>S51=$D$3</formula>
    </cfRule>
  </conditionalFormatting>
  <conditionalFormatting sqref="G95:G98">
    <cfRule type="expression" dxfId="703" priority="142">
      <formula>G95=$M$3</formula>
    </cfRule>
    <cfRule type="expression" dxfId="702" priority="143">
      <formula>G95=$I$3</formula>
    </cfRule>
    <cfRule type="expression" dxfId="701" priority="144">
      <formula>G95=$D$3</formula>
    </cfRule>
  </conditionalFormatting>
  <conditionalFormatting sqref="H95:H98">
    <cfRule type="cellIs" dxfId="700" priority="141" operator="greaterThan">
      <formula>0</formula>
    </cfRule>
  </conditionalFormatting>
  <conditionalFormatting sqref="G99">
    <cfRule type="expression" dxfId="699" priority="138">
      <formula>G99=$M$3</formula>
    </cfRule>
    <cfRule type="expression" dxfId="698" priority="139">
      <formula>G99=$I$3</formula>
    </cfRule>
    <cfRule type="expression" dxfId="697" priority="140">
      <formula>G99=$D$3</formula>
    </cfRule>
  </conditionalFormatting>
  <conditionalFormatting sqref="H99">
    <cfRule type="cellIs" dxfId="696" priority="137" operator="greaterThan">
      <formula>0</formula>
    </cfRule>
  </conditionalFormatting>
  <conditionalFormatting sqref="G127:G130">
    <cfRule type="expression" dxfId="695" priority="134">
      <formula>G127=$M$3</formula>
    </cfRule>
    <cfRule type="expression" dxfId="694" priority="135">
      <formula>G127=$I$3</formula>
    </cfRule>
    <cfRule type="expression" dxfId="693" priority="136">
      <formula>G127=$D$3</formula>
    </cfRule>
  </conditionalFormatting>
  <conditionalFormatting sqref="H127:H130">
    <cfRule type="cellIs" dxfId="692" priority="133" operator="greaterThan">
      <formula>0</formula>
    </cfRule>
  </conditionalFormatting>
  <conditionalFormatting sqref="G131">
    <cfRule type="expression" dxfId="691" priority="130">
      <formula>G131=$M$3</formula>
    </cfRule>
    <cfRule type="expression" dxfId="690" priority="131">
      <formula>G131=$I$3</formula>
    </cfRule>
    <cfRule type="expression" dxfId="689" priority="132">
      <formula>G131=$D$3</formula>
    </cfRule>
  </conditionalFormatting>
  <conditionalFormatting sqref="H131">
    <cfRule type="cellIs" dxfId="688" priority="129" operator="greaterThan">
      <formula>0</formula>
    </cfRule>
  </conditionalFormatting>
  <conditionalFormatting sqref="G55">
    <cfRule type="expression" dxfId="687" priority="126">
      <formula>G55=$M$3</formula>
    </cfRule>
    <cfRule type="expression" dxfId="686" priority="127">
      <formula>G55=$I$3</formula>
    </cfRule>
    <cfRule type="expression" dxfId="685" priority="128">
      <formula>G55=$D$3</formula>
    </cfRule>
  </conditionalFormatting>
  <conditionalFormatting sqref="H55">
    <cfRule type="cellIs" dxfId="684" priority="125" operator="greaterThan">
      <formula>0</formula>
    </cfRule>
  </conditionalFormatting>
  <conditionalFormatting sqref="G59">
    <cfRule type="expression" dxfId="683" priority="122">
      <formula>G59=$M$3</formula>
    </cfRule>
    <cfRule type="expression" dxfId="682" priority="123">
      <formula>G59=$I$3</formula>
    </cfRule>
    <cfRule type="expression" dxfId="681" priority="124">
      <formula>G59=$D$3</formula>
    </cfRule>
  </conditionalFormatting>
  <conditionalFormatting sqref="H59">
    <cfRule type="cellIs" dxfId="680" priority="121" operator="greaterThan">
      <formula>0</formula>
    </cfRule>
  </conditionalFormatting>
  <conditionalFormatting sqref="G63">
    <cfRule type="expression" dxfId="679" priority="118">
      <formula>G63=$M$3</formula>
    </cfRule>
    <cfRule type="expression" dxfId="678" priority="119">
      <formula>G63=$I$3</formula>
    </cfRule>
    <cfRule type="expression" dxfId="677" priority="120">
      <formula>G63=$D$3</formula>
    </cfRule>
  </conditionalFormatting>
  <conditionalFormatting sqref="H63">
    <cfRule type="cellIs" dxfId="676" priority="117" operator="greaterThan">
      <formula>0</formula>
    </cfRule>
  </conditionalFormatting>
  <conditionalFormatting sqref="G76">
    <cfRule type="expression" dxfId="675" priority="114">
      <formula>G76=$M$3</formula>
    </cfRule>
    <cfRule type="expression" dxfId="674" priority="115">
      <formula>G76=$I$3</formula>
    </cfRule>
    <cfRule type="expression" dxfId="673" priority="116">
      <formula>G76=$D$3</formula>
    </cfRule>
  </conditionalFormatting>
  <conditionalFormatting sqref="H76">
    <cfRule type="cellIs" dxfId="672" priority="113" operator="greaterThan">
      <formula>0</formula>
    </cfRule>
  </conditionalFormatting>
  <conditionalFormatting sqref="G79">
    <cfRule type="expression" dxfId="671" priority="110">
      <formula>G79=$M$3</formula>
    </cfRule>
    <cfRule type="expression" dxfId="670" priority="111">
      <formula>G79=$I$3</formula>
    </cfRule>
    <cfRule type="expression" dxfId="669" priority="112">
      <formula>G79=$D$3</formula>
    </cfRule>
  </conditionalFormatting>
  <conditionalFormatting sqref="H79">
    <cfRule type="cellIs" dxfId="668" priority="109" operator="greaterThan">
      <formula>0</formula>
    </cfRule>
  </conditionalFormatting>
  <conditionalFormatting sqref="G83">
    <cfRule type="expression" dxfId="667" priority="106">
      <formula>G83=$M$3</formula>
    </cfRule>
    <cfRule type="expression" dxfId="666" priority="107">
      <formula>G83=$I$3</formula>
    </cfRule>
    <cfRule type="expression" dxfId="665" priority="108">
      <formula>G83=$D$3</formula>
    </cfRule>
  </conditionalFormatting>
  <conditionalFormatting sqref="H83">
    <cfRule type="cellIs" dxfId="664" priority="105" operator="greaterThan">
      <formula>0</formula>
    </cfRule>
  </conditionalFormatting>
  <conditionalFormatting sqref="K75">
    <cfRule type="expression" dxfId="663" priority="102">
      <formula>K75=$M$3</formula>
    </cfRule>
    <cfRule type="expression" dxfId="662" priority="103">
      <formula>K75=$I$3</formula>
    </cfRule>
    <cfRule type="expression" dxfId="661" priority="104">
      <formula>K75=$D$3</formula>
    </cfRule>
  </conditionalFormatting>
  <conditionalFormatting sqref="L75">
    <cfRule type="cellIs" dxfId="660" priority="101" operator="greaterThan">
      <formula>0</formula>
    </cfRule>
  </conditionalFormatting>
  <conditionalFormatting sqref="K79">
    <cfRule type="expression" dxfId="659" priority="98">
      <formula>K79=$M$3</formula>
    </cfRule>
    <cfRule type="expression" dxfId="658" priority="99">
      <formula>K79=$I$3</formula>
    </cfRule>
    <cfRule type="expression" dxfId="657" priority="100">
      <formula>K79=$D$3</formula>
    </cfRule>
  </conditionalFormatting>
  <conditionalFormatting sqref="L79">
    <cfRule type="cellIs" dxfId="656" priority="97" operator="greaterThan">
      <formula>0</formula>
    </cfRule>
  </conditionalFormatting>
  <conditionalFormatting sqref="K84">
    <cfRule type="expression" dxfId="655" priority="94">
      <formula>K84=$M$3</formula>
    </cfRule>
    <cfRule type="expression" dxfId="654" priority="95">
      <formula>K84=$I$3</formula>
    </cfRule>
    <cfRule type="expression" dxfId="653" priority="96">
      <formula>K84=$D$3</formula>
    </cfRule>
  </conditionalFormatting>
  <conditionalFormatting sqref="L84">
    <cfRule type="cellIs" dxfId="652" priority="93" operator="greaterThan">
      <formula>0</formula>
    </cfRule>
  </conditionalFormatting>
  <conditionalFormatting sqref="K87">
    <cfRule type="expression" dxfId="651" priority="90">
      <formula>K87=$M$3</formula>
    </cfRule>
    <cfRule type="expression" dxfId="650" priority="91">
      <formula>K87=$I$3</formula>
    </cfRule>
    <cfRule type="expression" dxfId="649" priority="92">
      <formula>K87=$D$3</formula>
    </cfRule>
  </conditionalFormatting>
  <conditionalFormatting sqref="L87">
    <cfRule type="cellIs" dxfId="648" priority="89" operator="greaterThan">
      <formula>0</formula>
    </cfRule>
  </conditionalFormatting>
  <conditionalFormatting sqref="K123">
    <cfRule type="expression" dxfId="647" priority="86">
      <formula>K123=$M$3</formula>
    </cfRule>
    <cfRule type="expression" dxfId="646" priority="87">
      <formula>K123=$I$3</formula>
    </cfRule>
    <cfRule type="expression" dxfId="645" priority="88">
      <formula>K123=$D$3</formula>
    </cfRule>
  </conditionalFormatting>
  <conditionalFormatting sqref="L123">
    <cfRule type="cellIs" dxfId="644" priority="85" operator="greaterThan">
      <formula>0</formula>
    </cfRule>
  </conditionalFormatting>
  <conditionalFormatting sqref="K127">
    <cfRule type="expression" dxfId="643" priority="82">
      <formula>K127=$M$3</formula>
    </cfRule>
    <cfRule type="expression" dxfId="642" priority="83">
      <formula>K127=$I$3</formula>
    </cfRule>
    <cfRule type="expression" dxfId="641" priority="84">
      <formula>K127=$D$3</formula>
    </cfRule>
  </conditionalFormatting>
  <conditionalFormatting sqref="L127">
    <cfRule type="cellIs" dxfId="640" priority="81" operator="greaterThan">
      <formula>0</formula>
    </cfRule>
  </conditionalFormatting>
  <conditionalFormatting sqref="K131">
    <cfRule type="expression" dxfId="639" priority="78">
      <formula>K131=$M$3</formula>
    </cfRule>
    <cfRule type="expression" dxfId="638" priority="79">
      <formula>K131=$I$3</formula>
    </cfRule>
    <cfRule type="expression" dxfId="637" priority="80">
      <formula>K131=$D$3</formula>
    </cfRule>
  </conditionalFormatting>
  <conditionalFormatting sqref="L131">
    <cfRule type="cellIs" dxfId="636" priority="77" operator="greaterThan">
      <formula>0</formula>
    </cfRule>
  </conditionalFormatting>
  <conditionalFormatting sqref="K135">
    <cfRule type="expression" dxfId="635" priority="74">
      <formula>K135=$M$3</formula>
    </cfRule>
    <cfRule type="expression" dxfId="634" priority="75">
      <formula>K135=$I$3</formula>
    </cfRule>
    <cfRule type="expression" dxfId="633" priority="76">
      <formula>K135=$D$3</formula>
    </cfRule>
  </conditionalFormatting>
  <conditionalFormatting sqref="L135">
    <cfRule type="cellIs" dxfId="632" priority="73" operator="greaterThan">
      <formula>0</formula>
    </cfRule>
  </conditionalFormatting>
  <conditionalFormatting sqref="K139">
    <cfRule type="expression" dxfId="631" priority="70">
      <formula>K139=$M$3</formula>
    </cfRule>
    <cfRule type="expression" dxfId="630" priority="71">
      <formula>K139=$I$3</formula>
    </cfRule>
    <cfRule type="expression" dxfId="629" priority="72">
      <formula>K139=$D$3</formula>
    </cfRule>
  </conditionalFormatting>
  <conditionalFormatting sqref="L139">
    <cfRule type="cellIs" dxfId="628" priority="69" operator="greaterThan">
      <formula>0</formula>
    </cfRule>
  </conditionalFormatting>
  <conditionalFormatting sqref="O92">
    <cfRule type="expression" dxfId="627" priority="66">
      <formula>O92=$M$3</formula>
    </cfRule>
    <cfRule type="expression" dxfId="626" priority="67">
      <formula>O92=$I$3</formula>
    </cfRule>
    <cfRule type="expression" dxfId="625" priority="68">
      <formula>O92=$D$3</formula>
    </cfRule>
  </conditionalFormatting>
  <conditionalFormatting sqref="P92">
    <cfRule type="cellIs" dxfId="624" priority="65" operator="greaterThan">
      <formula>0</formula>
    </cfRule>
  </conditionalFormatting>
  <conditionalFormatting sqref="O95">
    <cfRule type="expression" dxfId="623" priority="62">
      <formula>O95=$M$3</formula>
    </cfRule>
    <cfRule type="expression" dxfId="622" priority="63">
      <formula>O95=$I$3</formula>
    </cfRule>
    <cfRule type="expression" dxfId="621" priority="64">
      <formula>O95=$D$3</formula>
    </cfRule>
  </conditionalFormatting>
  <conditionalFormatting sqref="P95">
    <cfRule type="cellIs" dxfId="620" priority="61" operator="greaterThan">
      <formula>0</formula>
    </cfRule>
  </conditionalFormatting>
  <conditionalFormatting sqref="O99">
    <cfRule type="expression" dxfId="619" priority="58">
      <formula>O99=$M$3</formula>
    </cfRule>
    <cfRule type="expression" dxfId="618" priority="59">
      <formula>O99=$I$3</formula>
    </cfRule>
    <cfRule type="expression" dxfId="617" priority="60">
      <formula>O99=$D$3</formula>
    </cfRule>
  </conditionalFormatting>
  <conditionalFormatting sqref="P99">
    <cfRule type="cellIs" dxfId="616" priority="57" operator="greaterThan">
      <formula>0</formula>
    </cfRule>
  </conditionalFormatting>
  <conditionalFormatting sqref="O103">
    <cfRule type="expression" dxfId="615" priority="54">
      <formula>O103=$M$3</formula>
    </cfRule>
    <cfRule type="expression" dxfId="614" priority="55">
      <formula>O103=$I$3</formula>
    </cfRule>
    <cfRule type="expression" dxfId="613" priority="56">
      <formula>O103=$D$3</formula>
    </cfRule>
  </conditionalFormatting>
  <conditionalFormatting sqref="P103">
    <cfRule type="cellIs" dxfId="612" priority="53" operator="greaterThan">
      <formula>0</formula>
    </cfRule>
  </conditionalFormatting>
  <conditionalFormatting sqref="O107">
    <cfRule type="expression" dxfId="611" priority="50">
      <formula>O107=$M$3</formula>
    </cfRule>
    <cfRule type="expression" dxfId="610" priority="51">
      <formula>O107=$I$3</formula>
    </cfRule>
    <cfRule type="expression" dxfId="609" priority="52">
      <formula>O107=$D$3</formula>
    </cfRule>
  </conditionalFormatting>
  <conditionalFormatting sqref="P107">
    <cfRule type="cellIs" dxfId="608" priority="49" operator="greaterThan">
      <formula>0</formula>
    </cfRule>
  </conditionalFormatting>
  <conditionalFormatting sqref="O111">
    <cfRule type="expression" dxfId="607" priority="46">
      <formula>O111=$M$3</formula>
    </cfRule>
    <cfRule type="expression" dxfId="606" priority="47">
      <formula>O111=$I$3</formula>
    </cfRule>
    <cfRule type="expression" dxfId="605" priority="48">
      <formula>O111=$D$3</formula>
    </cfRule>
  </conditionalFormatting>
  <conditionalFormatting sqref="P111">
    <cfRule type="cellIs" dxfId="604" priority="45" operator="greaterThan">
      <formula>0</formula>
    </cfRule>
  </conditionalFormatting>
  <conditionalFormatting sqref="O115">
    <cfRule type="expression" dxfId="603" priority="42">
      <formula>O115=$M$3</formula>
    </cfRule>
    <cfRule type="expression" dxfId="602" priority="43">
      <formula>O115=$I$3</formula>
    </cfRule>
    <cfRule type="expression" dxfId="601" priority="44">
      <formula>O115=$D$3</formula>
    </cfRule>
  </conditionalFormatting>
  <conditionalFormatting sqref="P115">
    <cfRule type="cellIs" dxfId="600" priority="41" operator="greaterThan">
      <formula>0</formula>
    </cfRule>
  </conditionalFormatting>
  <conditionalFormatting sqref="O119">
    <cfRule type="expression" dxfId="599" priority="38">
      <formula>O119=$M$3</formula>
    </cfRule>
    <cfRule type="expression" dxfId="598" priority="39">
      <formula>O119=$I$3</formula>
    </cfRule>
    <cfRule type="expression" dxfId="597" priority="40">
      <formula>O119=$D$3</formula>
    </cfRule>
  </conditionalFormatting>
  <conditionalFormatting sqref="P119">
    <cfRule type="cellIs" dxfId="596" priority="37" operator="greaterThan">
      <formula>0</formula>
    </cfRule>
  </conditionalFormatting>
  <conditionalFormatting sqref="O123">
    <cfRule type="expression" dxfId="595" priority="34">
      <formula>O123=$M$3</formula>
    </cfRule>
    <cfRule type="expression" dxfId="594" priority="35">
      <formula>O123=$I$3</formula>
    </cfRule>
    <cfRule type="expression" dxfId="593" priority="36">
      <formula>O123=$D$3</formula>
    </cfRule>
  </conditionalFormatting>
  <conditionalFormatting sqref="P123">
    <cfRule type="cellIs" dxfId="592" priority="33" operator="greaterThan">
      <formula>0</formula>
    </cfRule>
  </conditionalFormatting>
  <conditionalFormatting sqref="O60">
    <cfRule type="expression" dxfId="591" priority="26">
      <formula>O60=$M$3</formula>
    </cfRule>
    <cfRule type="expression" dxfId="590" priority="27">
      <formula>O60=$I$3</formula>
    </cfRule>
    <cfRule type="expression" dxfId="589" priority="28">
      <formula>O60=$D$3</formula>
    </cfRule>
  </conditionalFormatting>
  <conditionalFormatting sqref="P60">
    <cfRule type="cellIs" dxfId="588" priority="25" operator="greaterThan">
      <formula>0</formula>
    </cfRule>
  </conditionalFormatting>
  <conditionalFormatting sqref="O59">
    <cfRule type="expression" dxfId="587" priority="22">
      <formula>O59=$M$3</formula>
    </cfRule>
    <cfRule type="expression" dxfId="586" priority="23">
      <formula>O59=$I$3</formula>
    </cfRule>
    <cfRule type="expression" dxfId="585" priority="24">
      <formula>O59=$D$3</formula>
    </cfRule>
  </conditionalFormatting>
  <conditionalFormatting sqref="P59">
    <cfRule type="cellIs" dxfId="584" priority="21" operator="greaterThan">
      <formula>0</formula>
    </cfRule>
  </conditionalFormatting>
  <conditionalFormatting sqref="O55">
    <cfRule type="expression" dxfId="583" priority="18">
      <formula>O55=$M$3</formula>
    </cfRule>
    <cfRule type="expression" dxfId="582" priority="19">
      <formula>O55=$I$3</formula>
    </cfRule>
    <cfRule type="expression" dxfId="581" priority="20">
      <formula>O55=$D$3</formula>
    </cfRule>
  </conditionalFormatting>
  <conditionalFormatting sqref="P55">
    <cfRule type="cellIs" dxfId="580" priority="17" operator="greaterThan">
      <formula>0</formula>
    </cfRule>
  </conditionalFormatting>
  <conditionalFormatting sqref="K55">
    <cfRule type="expression" dxfId="579" priority="14">
      <formula>K55=$M$3</formula>
    </cfRule>
    <cfRule type="expression" dxfId="578" priority="15">
      <formula>K55=$I$3</formula>
    </cfRule>
    <cfRule type="expression" dxfId="577" priority="16">
      <formula>K55=$D$3</formula>
    </cfRule>
  </conditionalFormatting>
  <conditionalFormatting sqref="L55">
    <cfRule type="cellIs" dxfId="576" priority="13" operator="greaterThan">
      <formula>0</formula>
    </cfRule>
  </conditionalFormatting>
  <conditionalFormatting sqref="K56">
    <cfRule type="expression" dxfId="575" priority="10">
      <formula>K56=$M$3</formula>
    </cfRule>
    <cfRule type="expression" dxfId="574" priority="11">
      <formula>K56=$I$3</formula>
    </cfRule>
    <cfRule type="expression" dxfId="573" priority="12">
      <formula>K56=$D$3</formula>
    </cfRule>
  </conditionalFormatting>
  <conditionalFormatting sqref="L56">
    <cfRule type="cellIs" dxfId="572" priority="9" operator="greaterThan">
      <formula>0</formula>
    </cfRule>
  </conditionalFormatting>
  <conditionalFormatting sqref="Y59">
    <cfRule type="cellIs" dxfId="571" priority="8" operator="greaterThan">
      <formula>0</formula>
    </cfRule>
  </conditionalFormatting>
  <conditionalFormatting sqref="Y63">
    <cfRule type="cellIs" dxfId="570" priority="7" operator="greaterThan">
      <formula>0</formula>
    </cfRule>
  </conditionalFormatting>
  <conditionalFormatting sqref="Y71">
    <cfRule type="cellIs" dxfId="569" priority="6" operator="greaterThan">
      <formula>0</formula>
    </cfRule>
  </conditionalFormatting>
  <conditionalFormatting sqref="Y75">
    <cfRule type="cellIs" dxfId="568" priority="5" operator="greaterThan">
      <formula>0</formula>
    </cfRule>
  </conditionalFormatting>
  <conditionalFormatting sqref="X79">
    <cfRule type="expression" dxfId="567" priority="2">
      <formula>X79=$M$3</formula>
    </cfRule>
    <cfRule type="expression" dxfId="566" priority="3">
      <formula>X79=$I$3</formula>
    </cfRule>
    <cfRule type="expression" dxfId="565" priority="4">
      <formula>X79=$D$3</formula>
    </cfRule>
  </conditionalFormatting>
  <conditionalFormatting sqref="Y79">
    <cfRule type="cellIs" dxfId="564" priority="1" operator="greaterThan">
      <formula>0</formula>
    </cfRule>
  </conditionalFormatting>
  <printOptions horizontalCentered="1"/>
  <pageMargins left="0" right="0" top="0.25" bottom="0.25" header="0.3" footer="0.3"/>
  <pageSetup paperSize="9" scale="65" orientation="landscape" horizontalDpi="300" verticalDpi="300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rgb="FFBDFFDB"/>
  </sheetPr>
  <dimension ref="A1:BM32"/>
  <sheetViews>
    <sheetView workbookViewId="0">
      <selection activeCell="U22" sqref="U22"/>
    </sheetView>
  </sheetViews>
  <sheetFormatPr defaultColWidth="9.140625" defaultRowHeight="15.75" x14ac:dyDescent="0.2"/>
  <cols>
    <col min="1" max="1" width="6.85546875" style="35" customWidth="1"/>
    <col min="2" max="2" width="6.140625" style="35" customWidth="1"/>
    <col min="3" max="3" width="9" style="35" customWidth="1"/>
    <col min="4" max="9" width="7.5703125" style="35" hidden="1" customWidth="1"/>
    <col min="10" max="55" width="7.5703125" style="35" customWidth="1"/>
    <col min="56" max="65" width="7.5703125" style="35" bestFit="1" customWidth="1"/>
    <col min="66" max="16384" width="9.140625" style="35"/>
  </cols>
  <sheetData>
    <row r="1" spans="1:65" ht="3.75" customHeight="1" x14ac:dyDescent="0.2"/>
    <row r="2" spans="1:65" ht="30" customHeight="1" x14ac:dyDescent="0.2">
      <c r="A2" s="55">
        <v>5</v>
      </c>
      <c r="B2" s="55">
        <v>2023</v>
      </c>
      <c r="C2" s="36" t="s">
        <v>7</v>
      </c>
      <c r="D2" s="37">
        <f>DATE(B2,A2,1)</f>
        <v>45047</v>
      </c>
      <c r="E2" s="37">
        <f>D2+1</f>
        <v>45048</v>
      </c>
      <c r="F2" s="37">
        <f t="shared" ref="F2:BM2" si="0">E2+1</f>
        <v>45049</v>
      </c>
      <c r="G2" s="37">
        <f t="shared" si="0"/>
        <v>45050</v>
      </c>
      <c r="H2" s="37">
        <f t="shared" si="0"/>
        <v>45051</v>
      </c>
      <c r="I2" s="37">
        <f t="shared" si="0"/>
        <v>45052</v>
      </c>
      <c r="J2" s="37">
        <f t="shared" si="0"/>
        <v>45053</v>
      </c>
      <c r="K2" s="37">
        <f t="shared" si="0"/>
        <v>45054</v>
      </c>
      <c r="L2" s="37">
        <f t="shared" si="0"/>
        <v>45055</v>
      </c>
      <c r="M2" s="37">
        <f t="shared" si="0"/>
        <v>45056</v>
      </c>
      <c r="N2" s="37">
        <f t="shared" si="0"/>
        <v>45057</v>
      </c>
      <c r="O2" s="37">
        <f t="shared" si="0"/>
        <v>45058</v>
      </c>
      <c r="P2" s="37">
        <f t="shared" si="0"/>
        <v>45059</v>
      </c>
      <c r="Q2" s="37">
        <f t="shared" si="0"/>
        <v>45060</v>
      </c>
      <c r="R2" s="37">
        <f t="shared" si="0"/>
        <v>45061</v>
      </c>
      <c r="S2" s="37">
        <f t="shared" si="0"/>
        <v>45062</v>
      </c>
      <c r="T2" s="37">
        <f t="shared" si="0"/>
        <v>45063</v>
      </c>
      <c r="U2" s="37">
        <f t="shared" si="0"/>
        <v>45064</v>
      </c>
      <c r="V2" s="37">
        <f t="shared" si="0"/>
        <v>45065</v>
      </c>
      <c r="W2" s="37">
        <f t="shared" si="0"/>
        <v>45066</v>
      </c>
      <c r="X2" s="37">
        <f t="shared" si="0"/>
        <v>45067</v>
      </c>
      <c r="Y2" s="37">
        <f t="shared" si="0"/>
        <v>45068</v>
      </c>
      <c r="Z2" s="37">
        <f t="shared" si="0"/>
        <v>45069</v>
      </c>
      <c r="AA2" s="37">
        <f t="shared" si="0"/>
        <v>45070</v>
      </c>
      <c r="AB2" s="37">
        <f t="shared" si="0"/>
        <v>45071</v>
      </c>
      <c r="AC2" s="37">
        <f t="shared" si="0"/>
        <v>45072</v>
      </c>
      <c r="AD2" s="37">
        <f t="shared" si="0"/>
        <v>45073</v>
      </c>
      <c r="AE2" s="37">
        <f t="shared" si="0"/>
        <v>45074</v>
      </c>
      <c r="AF2" s="37">
        <f t="shared" si="0"/>
        <v>45075</v>
      </c>
      <c r="AG2" s="37">
        <f t="shared" si="0"/>
        <v>45076</v>
      </c>
      <c r="AH2" s="37">
        <f t="shared" si="0"/>
        <v>45077</v>
      </c>
      <c r="AI2" s="37">
        <f>AH2+1</f>
        <v>45078</v>
      </c>
      <c r="AJ2" s="37">
        <f t="shared" si="0"/>
        <v>45079</v>
      </c>
      <c r="AK2" s="37">
        <f t="shared" si="0"/>
        <v>45080</v>
      </c>
      <c r="AL2" s="37">
        <f t="shared" si="0"/>
        <v>45081</v>
      </c>
      <c r="AM2" s="37">
        <f t="shared" si="0"/>
        <v>45082</v>
      </c>
      <c r="AN2" s="37">
        <f t="shared" si="0"/>
        <v>45083</v>
      </c>
      <c r="AO2" s="37">
        <f t="shared" si="0"/>
        <v>45084</v>
      </c>
      <c r="AP2" s="37">
        <f t="shared" si="0"/>
        <v>45085</v>
      </c>
      <c r="AQ2" s="37">
        <f t="shared" si="0"/>
        <v>45086</v>
      </c>
      <c r="AR2" s="37">
        <f t="shared" si="0"/>
        <v>45087</v>
      </c>
      <c r="AS2" s="37">
        <f t="shared" si="0"/>
        <v>45088</v>
      </c>
      <c r="AT2" s="37">
        <f t="shared" si="0"/>
        <v>45089</v>
      </c>
      <c r="AU2" s="37">
        <f t="shared" si="0"/>
        <v>45090</v>
      </c>
      <c r="AV2" s="37">
        <f t="shared" si="0"/>
        <v>45091</v>
      </c>
      <c r="AW2" s="37">
        <f t="shared" si="0"/>
        <v>45092</v>
      </c>
      <c r="AX2" s="37">
        <f t="shared" si="0"/>
        <v>45093</v>
      </c>
      <c r="AY2" s="37">
        <f t="shared" si="0"/>
        <v>45094</v>
      </c>
      <c r="AZ2" s="37">
        <f t="shared" si="0"/>
        <v>45095</v>
      </c>
      <c r="BA2" s="37">
        <f t="shared" si="0"/>
        <v>45096</v>
      </c>
      <c r="BB2" s="37">
        <f t="shared" si="0"/>
        <v>45097</v>
      </c>
      <c r="BC2" s="37">
        <f t="shared" si="0"/>
        <v>45098</v>
      </c>
      <c r="BD2" s="37">
        <f t="shared" si="0"/>
        <v>45099</v>
      </c>
      <c r="BE2" s="37">
        <f t="shared" si="0"/>
        <v>45100</v>
      </c>
      <c r="BF2" s="37">
        <f t="shared" si="0"/>
        <v>45101</v>
      </c>
      <c r="BG2" s="37">
        <f t="shared" si="0"/>
        <v>45102</v>
      </c>
      <c r="BH2" s="37">
        <f t="shared" si="0"/>
        <v>45103</v>
      </c>
      <c r="BI2" s="37">
        <f t="shared" si="0"/>
        <v>45104</v>
      </c>
      <c r="BJ2" s="37">
        <f t="shared" si="0"/>
        <v>45105</v>
      </c>
      <c r="BK2" s="37">
        <f t="shared" si="0"/>
        <v>45106</v>
      </c>
      <c r="BL2" s="37">
        <f t="shared" si="0"/>
        <v>45107</v>
      </c>
      <c r="BM2" s="37">
        <f t="shared" si="0"/>
        <v>45108</v>
      </c>
    </row>
    <row r="3" spans="1:65" ht="24.95" customHeight="1" x14ac:dyDescent="0.2">
      <c r="A3" s="38" t="s">
        <v>15</v>
      </c>
      <c r="B3" s="39"/>
      <c r="C3" s="40"/>
      <c r="D3" s="41" t="str">
        <f>IF(WEEKDAY(D2)=1,"CN","T"&amp;WEEKDAY(D2))</f>
        <v>T2</v>
      </c>
      <c r="E3" s="41" t="str">
        <f t="shared" ref="E3:AH3" si="1">IF(WEEKDAY(E2)=1,"CN","T"&amp;WEEKDAY(E2))</f>
        <v>T3</v>
      </c>
      <c r="F3" s="41" t="str">
        <f t="shared" si="1"/>
        <v>T4</v>
      </c>
      <c r="G3" s="41" t="str">
        <f t="shared" si="1"/>
        <v>T5</v>
      </c>
      <c r="H3" s="41" t="str">
        <f t="shared" si="1"/>
        <v>T6</v>
      </c>
      <c r="I3" s="41" t="str">
        <f t="shared" si="1"/>
        <v>T7</v>
      </c>
      <c r="J3" s="41" t="str">
        <f t="shared" si="1"/>
        <v>CN</v>
      </c>
      <c r="K3" s="41" t="str">
        <f t="shared" si="1"/>
        <v>T2</v>
      </c>
      <c r="L3" s="41" t="str">
        <f t="shared" si="1"/>
        <v>T3</v>
      </c>
      <c r="M3" s="41" t="str">
        <f t="shared" si="1"/>
        <v>T4</v>
      </c>
      <c r="N3" s="41" t="str">
        <f t="shared" si="1"/>
        <v>T5</v>
      </c>
      <c r="O3" s="41" t="str">
        <f t="shared" si="1"/>
        <v>T6</v>
      </c>
      <c r="P3" s="41" t="str">
        <f t="shared" si="1"/>
        <v>T7</v>
      </c>
      <c r="Q3" s="41" t="str">
        <f t="shared" si="1"/>
        <v>CN</v>
      </c>
      <c r="R3" s="41" t="str">
        <f t="shared" si="1"/>
        <v>T2</v>
      </c>
      <c r="S3" s="41" t="str">
        <f t="shared" si="1"/>
        <v>T3</v>
      </c>
      <c r="T3" s="41" t="str">
        <f t="shared" si="1"/>
        <v>T4</v>
      </c>
      <c r="U3" s="41" t="str">
        <f t="shared" si="1"/>
        <v>T5</v>
      </c>
      <c r="V3" s="41" t="str">
        <f t="shared" si="1"/>
        <v>T6</v>
      </c>
      <c r="W3" s="41" t="str">
        <f t="shared" si="1"/>
        <v>T7</v>
      </c>
      <c r="X3" s="41" t="str">
        <f t="shared" si="1"/>
        <v>CN</v>
      </c>
      <c r="Y3" s="41" t="str">
        <f t="shared" si="1"/>
        <v>T2</v>
      </c>
      <c r="Z3" s="41" t="str">
        <f t="shared" si="1"/>
        <v>T3</v>
      </c>
      <c r="AA3" s="41" t="str">
        <f t="shared" si="1"/>
        <v>T4</v>
      </c>
      <c r="AB3" s="41" t="str">
        <f t="shared" si="1"/>
        <v>T5</v>
      </c>
      <c r="AC3" s="41" t="str">
        <f t="shared" si="1"/>
        <v>T6</v>
      </c>
      <c r="AD3" s="41" t="str">
        <f t="shared" si="1"/>
        <v>T7</v>
      </c>
      <c r="AE3" s="41" t="str">
        <f t="shared" si="1"/>
        <v>CN</v>
      </c>
      <c r="AF3" s="41" t="str">
        <f t="shared" si="1"/>
        <v>T2</v>
      </c>
      <c r="AG3" s="41" t="str">
        <f t="shared" si="1"/>
        <v>T3</v>
      </c>
      <c r="AH3" s="41" t="str">
        <f t="shared" si="1"/>
        <v>T4</v>
      </c>
      <c r="AI3" s="134" t="str">
        <f t="shared" ref="AI3:AX3" si="2">IF(WEEKDAY(AI2)=1,"CN","T"&amp;WEEKDAY(AI2))</f>
        <v>T5</v>
      </c>
      <c r="AJ3" s="134" t="str">
        <f t="shared" si="2"/>
        <v>T6</v>
      </c>
      <c r="AK3" s="134" t="str">
        <f t="shared" si="2"/>
        <v>T7</v>
      </c>
      <c r="AL3" s="134" t="str">
        <f t="shared" si="2"/>
        <v>CN</v>
      </c>
      <c r="AM3" s="134" t="str">
        <f t="shared" si="2"/>
        <v>T2</v>
      </c>
      <c r="AN3" s="134" t="str">
        <f t="shared" si="2"/>
        <v>T3</v>
      </c>
      <c r="AO3" s="134" t="str">
        <f t="shared" si="2"/>
        <v>T4</v>
      </c>
      <c r="AP3" s="134" t="str">
        <f t="shared" si="2"/>
        <v>T5</v>
      </c>
      <c r="AQ3" s="134" t="str">
        <f t="shared" si="2"/>
        <v>T6</v>
      </c>
      <c r="AR3" s="134" t="str">
        <f t="shared" si="2"/>
        <v>T7</v>
      </c>
      <c r="AS3" s="134" t="str">
        <f t="shared" si="2"/>
        <v>CN</v>
      </c>
      <c r="AT3" s="134" t="str">
        <f t="shared" si="2"/>
        <v>T2</v>
      </c>
      <c r="AU3" s="134" t="str">
        <f t="shared" si="2"/>
        <v>T3</v>
      </c>
      <c r="AV3" s="134" t="str">
        <f t="shared" si="2"/>
        <v>T4</v>
      </c>
      <c r="AW3" s="134" t="str">
        <f t="shared" si="2"/>
        <v>T5</v>
      </c>
      <c r="AX3" s="134" t="str">
        <f t="shared" si="2"/>
        <v>T6</v>
      </c>
      <c r="AY3" s="134" t="str">
        <f t="shared" ref="AY3:BM3" si="3">IF(WEEKDAY(AY2)=1,"CN","T"&amp;WEEKDAY(AY2))</f>
        <v>T7</v>
      </c>
      <c r="AZ3" s="134" t="str">
        <f t="shared" si="3"/>
        <v>CN</v>
      </c>
      <c r="BA3" s="134" t="str">
        <f t="shared" si="3"/>
        <v>T2</v>
      </c>
      <c r="BB3" s="134" t="str">
        <f t="shared" si="3"/>
        <v>T3</v>
      </c>
      <c r="BC3" s="134" t="str">
        <f t="shared" si="3"/>
        <v>T4</v>
      </c>
      <c r="BD3" s="134" t="str">
        <f t="shared" si="3"/>
        <v>T5</v>
      </c>
      <c r="BE3" s="134" t="str">
        <f t="shared" si="3"/>
        <v>T6</v>
      </c>
      <c r="BF3" s="134" t="str">
        <f t="shared" si="3"/>
        <v>T7</v>
      </c>
      <c r="BG3" s="134" t="str">
        <f t="shared" si="3"/>
        <v>CN</v>
      </c>
      <c r="BH3" s="134" t="str">
        <f t="shared" si="3"/>
        <v>T2</v>
      </c>
      <c r="BI3" s="134" t="str">
        <f t="shared" si="3"/>
        <v>T3</v>
      </c>
      <c r="BJ3" s="134" t="str">
        <f t="shared" si="3"/>
        <v>T4</v>
      </c>
      <c r="BK3" s="134" t="str">
        <f t="shared" si="3"/>
        <v>T5</v>
      </c>
      <c r="BL3" s="134" t="str">
        <f t="shared" si="3"/>
        <v>T6</v>
      </c>
      <c r="BM3" s="134" t="str">
        <f t="shared" si="3"/>
        <v>T7</v>
      </c>
    </row>
    <row r="4" spans="1:65" ht="20.100000000000001" customHeight="1" x14ac:dyDescent="0.2">
      <c r="A4" s="42">
        <f>SUM(D4:AH4)</f>
        <v>115</v>
      </c>
      <c r="B4" s="43"/>
      <c r="C4" s="44"/>
      <c r="D4" s="45">
        <f>SUBTOTAL(9,D5:D12)</f>
        <v>0</v>
      </c>
      <c r="E4" s="45">
        <f t="shared" ref="E4:N4" si="4">SUBTOTAL(9,E5:E12)</f>
        <v>11</v>
      </c>
      <c r="F4" s="45">
        <f t="shared" si="4"/>
        <v>0</v>
      </c>
      <c r="G4" s="45">
        <f t="shared" si="4"/>
        <v>0</v>
      </c>
      <c r="H4" s="45">
        <f t="shared" si="4"/>
        <v>0</v>
      </c>
      <c r="I4" s="45">
        <f t="shared" si="4"/>
        <v>0</v>
      </c>
      <c r="J4" s="45">
        <f t="shared" si="4"/>
        <v>0</v>
      </c>
      <c r="K4" s="45">
        <f t="shared" si="4"/>
        <v>0</v>
      </c>
      <c r="L4" s="45">
        <f t="shared" si="4"/>
        <v>0</v>
      </c>
      <c r="M4" s="45">
        <f t="shared" si="4"/>
        <v>0</v>
      </c>
      <c r="N4" s="45">
        <f t="shared" si="4"/>
        <v>0</v>
      </c>
      <c r="O4" s="45">
        <f>SUM(O6:O12)</f>
        <v>52</v>
      </c>
      <c r="P4" s="45">
        <f t="shared" ref="P4:AG4" si="5">SUM(P6:P12)</f>
        <v>52</v>
      </c>
      <c r="Q4" s="45">
        <f t="shared" si="5"/>
        <v>0</v>
      </c>
      <c r="R4" s="45">
        <f t="shared" si="5"/>
        <v>0</v>
      </c>
      <c r="S4" s="45">
        <f t="shared" si="5"/>
        <v>0</v>
      </c>
      <c r="T4" s="45">
        <f t="shared" si="5"/>
        <v>0</v>
      </c>
      <c r="U4" s="45">
        <f t="shared" si="5"/>
        <v>0</v>
      </c>
      <c r="V4" s="45">
        <f t="shared" si="5"/>
        <v>0</v>
      </c>
      <c r="W4" s="45">
        <f t="shared" si="5"/>
        <v>0</v>
      </c>
      <c r="X4" s="45">
        <f t="shared" si="5"/>
        <v>0</v>
      </c>
      <c r="Y4" s="45">
        <f t="shared" si="5"/>
        <v>0</v>
      </c>
      <c r="Z4" s="45">
        <f t="shared" si="5"/>
        <v>0</v>
      </c>
      <c r="AA4" s="45">
        <f t="shared" si="5"/>
        <v>0</v>
      </c>
      <c r="AB4" s="45">
        <f t="shared" si="5"/>
        <v>0</v>
      </c>
      <c r="AC4" s="45">
        <f t="shared" si="5"/>
        <v>0</v>
      </c>
      <c r="AD4" s="45">
        <f t="shared" si="5"/>
        <v>0</v>
      </c>
      <c r="AE4" s="45">
        <f t="shared" si="5"/>
        <v>0</v>
      </c>
      <c r="AF4" s="45">
        <f t="shared" si="5"/>
        <v>0</v>
      </c>
      <c r="AG4" s="45">
        <f t="shared" si="5"/>
        <v>0</v>
      </c>
      <c r="AH4" s="45">
        <f t="shared" ref="AH4:AN4" si="6">SUM(AH6:AH12)</f>
        <v>0</v>
      </c>
      <c r="AI4" s="45">
        <f t="shared" si="6"/>
        <v>0</v>
      </c>
      <c r="AJ4" s="45">
        <f t="shared" si="6"/>
        <v>0</v>
      </c>
      <c r="AK4" s="45">
        <f t="shared" si="6"/>
        <v>0</v>
      </c>
      <c r="AL4" s="45">
        <f t="shared" si="6"/>
        <v>0</v>
      </c>
      <c r="AM4" s="45">
        <f t="shared" si="6"/>
        <v>0</v>
      </c>
      <c r="AN4" s="45">
        <f t="shared" si="6"/>
        <v>0</v>
      </c>
      <c r="AO4" s="45">
        <f t="shared" ref="AO4:AX4" si="7">SUM(AO6:AO12)</f>
        <v>0</v>
      </c>
      <c r="AP4" s="45">
        <f t="shared" si="7"/>
        <v>0</v>
      </c>
      <c r="AQ4" s="45">
        <f t="shared" si="7"/>
        <v>0</v>
      </c>
      <c r="AR4" s="45">
        <f t="shared" si="7"/>
        <v>0</v>
      </c>
      <c r="AS4" s="45">
        <f t="shared" si="7"/>
        <v>0</v>
      </c>
      <c r="AT4" s="45">
        <f t="shared" si="7"/>
        <v>0</v>
      </c>
      <c r="AU4" s="45">
        <f t="shared" si="7"/>
        <v>0</v>
      </c>
      <c r="AV4" s="45">
        <f t="shared" si="7"/>
        <v>0</v>
      </c>
      <c r="AW4" s="45">
        <f t="shared" si="7"/>
        <v>0</v>
      </c>
      <c r="AX4" s="45">
        <f t="shared" si="7"/>
        <v>0</v>
      </c>
      <c r="AY4" s="45">
        <f t="shared" ref="AY4:BM4" si="8">SUM(AY6:AY12)</f>
        <v>0</v>
      </c>
      <c r="AZ4" s="45">
        <f t="shared" si="8"/>
        <v>0</v>
      </c>
      <c r="BA4" s="45">
        <f t="shared" si="8"/>
        <v>0</v>
      </c>
      <c r="BB4" s="45">
        <f t="shared" si="8"/>
        <v>0</v>
      </c>
      <c r="BC4" s="45">
        <f t="shared" si="8"/>
        <v>0</v>
      </c>
      <c r="BD4" s="45">
        <f t="shared" si="8"/>
        <v>0</v>
      </c>
      <c r="BE4" s="45">
        <f t="shared" si="8"/>
        <v>0</v>
      </c>
      <c r="BF4" s="45">
        <f t="shared" si="8"/>
        <v>0</v>
      </c>
      <c r="BG4" s="45">
        <f t="shared" si="8"/>
        <v>0</v>
      </c>
      <c r="BH4" s="45">
        <f t="shared" si="8"/>
        <v>0</v>
      </c>
      <c r="BI4" s="45">
        <f t="shared" si="8"/>
        <v>0</v>
      </c>
      <c r="BJ4" s="45">
        <f t="shared" si="8"/>
        <v>0</v>
      </c>
      <c r="BK4" s="45">
        <f t="shared" si="8"/>
        <v>0</v>
      </c>
      <c r="BL4" s="45">
        <f t="shared" si="8"/>
        <v>0</v>
      </c>
      <c r="BM4" s="45">
        <f t="shared" si="8"/>
        <v>0</v>
      </c>
    </row>
    <row r="5" spans="1:65" ht="20.100000000000001" hidden="1" customHeight="1" x14ac:dyDescent="0.2">
      <c r="A5" s="371" t="s">
        <v>13</v>
      </c>
      <c r="B5" s="64">
        <v>8</v>
      </c>
      <c r="C5" s="65">
        <f t="shared" ref="C5:C12" si="9">SUM(D5:AH5)</f>
        <v>0</v>
      </c>
      <c r="D5" s="66"/>
      <c r="E5" s="67"/>
      <c r="F5" s="67"/>
      <c r="G5" s="67"/>
      <c r="H5" s="67"/>
      <c r="I5" s="67"/>
      <c r="J5" s="67"/>
      <c r="K5" s="67"/>
      <c r="L5" s="67"/>
      <c r="M5" s="67"/>
      <c r="N5" s="67"/>
      <c r="O5" s="67"/>
      <c r="P5" s="67"/>
      <c r="Q5" s="67"/>
      <c r="R5" s="67"/>
      <c r="S5" s="67"/>
      <c r="T5" s="67"/>
      <c r="U5" s="67"/>
      <c r="V5" s="67"/>
      <c r="W5" s="67"/>
      <c r="X5" s="67"/>
      <c r="Y5" s="67"/>
      <c r="Z5" s="67"/>
      <c r="AA5" s="67"/>
      <c r="AB5" s="67"/>
      <c r="AC5" s="67"/>
      <c r="AD5" s="67"/>
      <c r="AE5" s="67"/>
      <c r="AF5" s="67"/>
      <c r="AG5" s="67"/>
      <c r="AH5" s="67"/>
      <c r="AI5" s="67"/>
      <c r="AJ5" s="67"/>
      <c r="AK5" s="67"/>
      <c r="AL5" s="67"/>
      <c r="AM5" s="67"/>
      <c r="AN5" s="67"/>
      <c r="AO5" s="67"/>
      <c r="AP5" s="67"/>
      <c r="AQ5" s="67"/>
      <c r="AR5" s="67"/>
      <c r="AS5" s="67"/>
      <c r="AT5" s="67"/>
      <c r="AU5" s="67"/>
      <c r="AV5" s="67"/>
      <c r="AW5" s="67"/>
      <c r="AX5" s="67"/>
      <c r="AY5" s="67"/>
      <c r="AZ5" s="67"/>
      <c r="BA5" s="67"/>
      <c r="BB5" s="67"/>
      <c r="BC5" s="67"/>
      <c r="BD5" s="67"/>
      <c r="BE5" s="67"/>
      <c r="BF5" s="67"/>
      <c r="BG5" s="67"/>
      <c r="BH5" s="67"/>
      <c r="BI5" s="67"/>
      <c r="BJ5" s="67"/>
      <c r="BK5" s="67"/>
      <c r="BL5" s="67"/>
      <c r="BM5" s="67"/>
    </row>
    <row r="6" spans="1:65" ht="18" customHeight="1" x14ac:dyDescent="0.2">
      <c r="A6" s="372"/>
      <c r="B6" s="68">
        <v>10</v>
      </c>
      <c r="C6" s="69">
        <f t="shared" si="9"/>
        <v>11</v>
      </c>
      <c r="D6" s="70">
        <f>SUBTOTAL(9,D16:D18)</f>
        <v>0</v>
      </c>
      <c r="E6" s="70">
        <f t="shared" ref="E6:AH6" si="10">SUBTOTAL(9,E16:E18)</f>
        <v>0</v>
      </c>
      <c r="F6" s="70">
        <f t="shared" si="10"/>
        <v>0</v>
      </c>
      <c r="G6" s="70">
        <f t="shared" si="10"/>
        <v>0</v>
      </c>
      <c r="H6" s="70">
        <f t="shared" si="10"/>
        <v>0</v>
      </c>
      <c r="I6" s="70">
        <f t="shared" si="10"/>
        <v>0</v>
      </c>
      <c r="J6" s="70">
        <f t="shared" si="10"/>
        <v>0</v>
      </c>
      <c r="K6" s="70">
        <f t="shared" si="10"/>
        <v>11</v>
      </c>
      <c r="L6" s="70">
        <f t="shared" si="10"/>
        <v>0</v>
      </c>
      <c r="M6" s="70">
        <f t="shared" si="10"/>
        <v>0</v>
      </c>
      <c r="N6" s="70">
        <f t="shared" si="10"/>
        <v>0</v>
      </c>
      <c r="O6" s="70">
        <f t="shared" si="10"/>
        <v>0</v>
      </c>
      <c r="P6" s="70">
        <f t="shared" si="10"/>
        <v>0</v>
      </c>
      <c r="Q6" s="70">
        <f t="shared" si="10"/>
        <v>0</v>
      </c>
      <c r="R6" s="70">
        <f t="shared" si="10"/>
        <v>0</v>
      </c>
      <c r="S6" s="70">
        <f t="shared" si="10"/>
        <v>0</v>
      </c>
      <c r="T6" s="70">
        <f t="shared" si="10"/>
        <v>0</v>
      </c>
      <c r="U6" s="70">
        <f t="shared" si="10"/>
        <v>0</v>
      </c>
      <c r="V6" s="70">
        <f t="shared" si="10"/>
        <v>0</v>
      </c>
      <c r="W6" s="70">
        <f t="shared" si="10"/>
        <v>0</v>
      </c>
      <c r="X6" s="70">
        <f t="shared" si="10"/>
        <v>0</v>
      </c>
      <c r="Y6" s="70">
        <f t="shared" si="10"/>
        <v>0</v>
      </c>
      <c r="Z6" s="70">
        <f t="shared" si="10"/>
        <v>0</v>
      </c>
      <c r="AA6" s="70">
        <f t="shared" si="10"/>
        <v>0</v>
      </c>
      <c r="AB6" s="70">
        <f t="shared" si="10"/>
        <v>0</v>
      </c>
      <c r="AC6" s="70">
        <f t="shared" si="10"/>
        <v>0</v>
      </c>
      <c r="AD6" s="70">
        <f t="shared" si="10"/>
        <v>0</v>
      </c>
      <c r="AE6" s="70">
        <f t="shared" si="10"/>
        <v>0</v>
      </c>
      <c r="AF6" s="70">
        <f t="shared" si="10"/>
        <v>0</v>
      </c>
      <c r="AG6" s="70">
        <f t="shared" si="10"/>
        <v>0</v>
      </c>
      <c r="AH6" s="70">
        <f t="shared" si="10"/>
        <v>0</v>
      </c>
      <c r="AI6" s="70">
        <f t="shared" ref="AI6:AX6" si="11">SUBTOTAL(9,AI16:AI18)</f>
        <v>0</v>
      </c>
      <c r="AJ6" s="70">
        <f t="shared" si="11"/>
        <v>0</v>
      </c>
      <c r="AK6" s="70">
        <f t="shared" si="11"/>
        <v>0</v>
      </c>
      <c r="AL6" s="70">
        <f t="shared" si="11"/>
        <v>0</v>
      </c>
      <c r="AM6" s="70">
        <f t="shared" si="11"/>
        <v>0</v>
      </c>
      <c r="AN6" s="70">
        <f t="shared" si="11"/>
        <v>0</v>
      </c>
      <c r="AO6" s="70">
        <f t="shared" si="11"/>
        <v>0</v>
      </c>
      <c r="AP6" s="70">
        <f t="shared" si="11"/>
        <v>0</v>
      </c>
      <c r="AQ6" s="70">
        <f t="shared" si="11"/>
        <v>0</v>
      </c>
      <c r="AR6" s="70">
        <f t="shared" si="11"/>
        <v>0</v>
      </c>
      <c r="AS6" s="70">
        <f t="shared" si="11"/>
        <v>0</v>
      </c>
      <c r="AT6" s="70">
        <f t="shared" si="11"/>
        <v>0</v>
      </c>
      <c r="AU6" s="70">
        <f t="shared" si="11"/>
        <v>0</v>
      </c>
      <c r="AV6" s="70">
        <f t="shared" si="11"/>
        <v>0</v>
      </c>
      <c r="AW6" s="70">
        <f t="shared" si="11"/>
        <v>0</v>
      </c>
      <c r="AX6" s="70">
        <f t="shared" si="11"/>
        <v>0</v>
      </c>
      <c r="AY6" s="70">
        <f t="shared" ref="AY6:BM6" si="12">SUBTOTAL(9,AY16:AY18)</f>
        <v>0</v>
      </c>
      <c r="AZ6" s="70">
        <f t="shared" si="12"/>
        <v>0</v>
      </c>
      <c r="BA6" s="70">
        <f t="shared" si="12"/>
        <v>0</v>
      </c>
      <c r="BB6" s="70">
        <f t="shared" si="12"/>
        <v>0</v>
      </c>
      <c r="BC6" s="70">
        <f t="shared" si="12"/>
        <v>0</v>
      </c>
      <c r="BD6" s="70">
        <f t="shared" si="12"/>
        <v>0</v>
      </c>
      <c r="BE6" s="70">
        <f t="shared" si="12"/>
        <v>0</v>
      </c>
      <c r="BF6" s="70">
        <f t="shared" si="12"/>
        <v>0</v>
      </c>
      <c r="BG6" s="70">
        <f t="shared" si="12"/>
        <v>0</v>
      </c>
      <c r="BH6" s="70">
        <f t="shared" si="12"/>
        <v>0</v>
      </c>
      <c r="BI6" s="70">
        <f t="shared" si="12"/>
        <v>0</v>
      </c>
      <c r="BJ6" s="70">
        <f t="shared" si="12"/>
        <v>0</v>
      </c>
      <c r="BK6" s="70">
        <f t="shared" si="12"/>
        <v>0</v>
      </c>
      <c r="BL6" s="70">
        <f t="shared" si="12"/>
        <v>0</v>
      </c>
      <c r="BM6" s="70">
        <f t="shared" si="12"/>
        <v>0</v>
      </c>
    </row>
    <row r="7" spans="1:65" ht="18" customHeight="1" x14ac:dyDescent="0.2">
      <c r="A7" s="372"/>
      <c r="B7" s="68">
        <v>12</v>
      </c>
      <c r="C7" s="69">
        <f t="shared" si="9"/>
        <v>0</v>
      </c>
      <c r="D7" s="70">
        <f>SUBTOTAL(9,D19:D21)</f>
        <v>0</v>
      </c>
      <c r="E7" s="70">
        <f t="shared" ref="E7:AH7" si="13">SUBTOTAL(9,E19:E21)</f>
        <v>0</v>
      </c>
      <c r="F7" s="70">
        <f t="shared" si="13"/>
        <v>0</v>
      </c>
      <c r="G7" s="70">
        <f t="shared" si="13"/>
        <v>0</v>
      </c>
      <c r="H7" s="70">
        <f t="shared" si="13"/>
        <v>0</v>
      </c>
      <c r="I7" s="70">
        <f t="shared" si="13"/>
        <v>0</v>
      </c>
      <c r="J7" s="70">
        <f t="shared" si="13"/>
        <v>0</v>
      </c>
      <c r="K7" s="70">
        <f t="shared" si="13"/>
        <v>0</v>
      </c>
      <c r="L7" s="70">
        <f t="shared" si="13"/>
        <v>0</v>
      </c>
      <c r="M7" s="70">
        <f t="shared" si="13"/>
        <v>0</v>
      </c>
      <c r="N7" s="70">
        <f t="shared" si="13"/>
        <v>0</v>
      </c>
      <c r="O7" s="70">
        <f t="shared" si="13"/>
        <v>0</v>
      </c>
      <c r="P7" s="70">
        <f t="shared" si="13"/>
        <v>0</v>
      </c>
      <c r="Q7" s="70">
        <f t="shared" si="13"/>
        <v>0</v>
      </c>
      <c r="R7" s="70">
        <f t="shared" si="13"/>
        <v>0</v>
      </c>
      <c r="S7" s="70">
        <f t="shared" si="13"/>
        <v>0</v>
      </c>
      <c r="T7" s="70">
        <f t="shared" si="13"/>
        <v>0</v>
      </c>
      <c r="U7" s="70">
        <f t="shared" si="13"/>
        <v>0</v>
      </c>
      <c r="V7" s="70">
        <f t="shared" si="13"/>
        <v>0</v>
      </c>
      <c r="W7" s="70">
        <f t="shared" si="13"/>
        <v>0</v>
      </c>
      <c r="X7" s="70">
        <f t="shared" si="13"/>
        <v>0</v>
      </c>
      <c r="Y7" s="70">
        <f t="shared" si="13"/>
        <v>0</v>
      </c>
      <c r="Z7" s="70">
        <f t="shared" si="13"/>
        <v>0</v>
      </c>
      <c r="AA7" s="70">
        <f t="shared" si="13"/>
        <v>0</v>
      </c>
      <c r="AB7" s="70">
        <f t="shared" si="13"/>
        <v>0</v>
      </c>
      <c r="AC7" s="70">
        <f t="shared" si="13"/>
        <v>0</v>
      </c>
      <c r="AD7" s="70">
        <f t="shared" si="13"/>
        <v>0</v>
      </c>
      <c r="AE7" s="70">
        <f t="shared" si="13"/>
        <v>0</v>
      </c>
      <c r="AF7" s="70">
        <f t="shared" si="13"/>
        <v>0</v>
      </c>
      <c r="AG7" s="70">
        <f t="shared" si="13"/>
        <v>0</v>
      </c>
      <c r="AH7" s="70">
        <f t="shared" si="13"/>
        <v>0</v>
      </c>
      <c r="AI7" s="70">
        <f t="shared" ref="AI7:AX7" si="14">SUBTOTAL(9,AI19:AI21)</f>
        <v>0</v>
      </c>
      <c r="AJ7" s="70">
        <f t="shared" si="14"/>
        <v>0</v>
      </c>
      <c r="AK7" s="70">
        <f t="shared" si="14"/>
        <v>0</v>
      </c>
      <c r="AL7" s="70">
        <f t="shared" si="14"/>
        <v>0</v>
      </c>
      <c r="AM7" s="70">
        <f t="shared" si="14"/>
        <v>0</v>
      </c>
      <c r="AN7" s="70">
        <f t="shared" si="14"/>
        <v>0</v>
      </c>
      <c r="AO7" s="70">
        <f t="shared" si="14"/>
        <v>0</v>
      </c>
      <c r="AP7" s="70">
        <f t="shared" si="14"/>
        <v>0</v>
      </c>
      <c r="AQ7" s="70">
        <f t="shared" si="14"/>
        <v>0</v>
      </c>
      <c r="AR7" s="70">
        <f t="shared" si="14"/>
        <v>0</v>
      </c>
      <c r="AS7" s="70">
        <f t="shared" si="14"/>
        <v>0</v>
      </c>
      <c r="AT7" s="70">
        <f t="shared" si="14"/>
        <v>0</v>
      </c>
      <c r="AU7" s="70">
        <f t="shared" si="14"/>
        <v>0</v>
      </c>
      <c r="AV7" s="70">
        <f t="shared" si="14"/>
        <v>0</v>
      </c>
      <c r="AW7" s="70">
        <f t="shared" si="14"/>
        <v>0</v>
      </c>
      <c r="AX7" s="70">
        <f t="shared" si="14"/>
        <v>0</v>
      </c>
      <c r="AY7" s="70">
        <f t="shared" ref="AY7:BM7" si="15">SUBTOTAL(9,AY19:AY21)</f>
        <v>0</v>
      </c>
      <c r="AZ7" s="70">
        <f t="shared" si="15"/>
        <v>0</v>
      </c>
      <c r="BA7" s="70">
        <f t="shared" si="15"/>
        <v>0</v>
      </c>
      <c r="BB7" s="70">
        <f t="shared" si="15"/>
        <v>0</v>
      </c>
      <c r="BC7" s="70">
        <f t="shared" si="15"/>
        <v>0</v>
      </c>
      <c r="BD7" s="70">
        <f t="shared" si="15"/>
        <v>0</v>
      </c>
      <c r="BE7" s="70">
        <f t="shared" si="15"/>
        <v>0</v>
      </c>
      <c r="BF7" s="70">
        <f t="shared" si="15"/>
        <v>0</v>
      </c>
      <c r="BG7" s="70">
        <f t="shared" si="15"/>
        <v>0</v>
      </c>
      <c r="BH7" s="70">
        <f t="shared" si="15"/>
        <v>0</v>
      </c>
      <c r="BI7" s="70">
        <f t="shared" si="15"/>
        <v>0</v>
      </c>
      <c r="BJ7" s="70">
        <f t="shared" si="15"/>
        <v>0</v>
      </c>
      <c r="BK7" s="70">
        <f t="shared" si="15"/>
        <v>0</v>
      </c>
      <c r="BL7" s="70">
        <f t="shared" si="15"/>
        <v>0</v>
      </c>
      <c r="BM7" s="70">
        <f t="shared" si="15"/>
        <v>0</v>
      </c>
    </row>
    <row r="8" spans="1:65" ht="18" customHeight="1" x14ac:dyDescent="0.2">
      <c r="A8" s="372"/>
      <c r="B8" s="68">
        <v>15</v>
      </c>
      <c r="C8" s="69">
        <f t="shared" si="9"/>
        <v>614</v>
      </c>
      <c r="D8" s="70">
        <f>SUBTOTAL(9,D22:D24)</f>
        <v>0</v>
      </c>
      <c r="E8" s="70">
        <f t="shared" ref="E8:AH8" si="16">SUBTOTAL(9,E22:E24)</f>
        <v>52</v>
      </c>
      <c r="F8" s="70">
        <f t="shared" si="16"/>
        <v>52</v>
      </c>
      <c r="G8" s="70">
        <f t="shared" si="16"/>
        <v>52</v>
      </c>
      <c r="H8" s="70">
        <f t="shared" si="16"/>
        <v>52</v>
      </c>
      <c r="I8" s="70">
        <f t="shared" si="16"/>
        <v>52</v>
      </c>
      <c r="J8" s="70">
        <f t="shared" si="16"/>
        <v>52</v>
      </c>
      <c r="K8" s="70">
        <f t="shared" si="16"/>
        <v>42</v>
      </c>
      <c r="L8" s="70">
        <f t="shared" si="16"/>
        <v>52</v>
      </c>
      <c r="M8" s="70">
        <f t="shared" si="16"/>
        <v>52</v>
      </c>
      <c r="N8" s="70">
        <f t="shared" si="16"/>
        <v>52</v>
      </c>
      <c r="O8" s="70">
        <f t="shared" si="16"/>
        <v>52</v>
      </c>
      <c r="P8" s="70">
        <f t="shared" si="16"/>
        <v>52</v>
      </c>
      <c r="Q8" s="70">
        <f t="shared" si="16"/>
        <v>0</v>
      </c>
      <c r="R8" s="70">
        <f t="shared" si="16"/>
        <v>0</v>
      </c>
      <c r="S8" s="70">
        <f t="shared" si="16"/>
        <v>0</v>
      </c>
      <c r="T8" s="70">
        <f t="shared" si="16"/>
        <v>0</v>
      </c>
      <c r="U8" s="70">
        <f t="shared" si="16"/>
        <v>0</v>
      </c>
      <c r="V8" s="70">
        <f t="shared" si="16"/>
        <v>0</v>
      </c>
      <c r="W8" s="70">
        <f t="shared" si="16"/>
        <v>0</v>
      </c>
      <c r="X8" s="70">
        <f t="shared" si="16"/>
        <v>0</v>
      </c>
      <c r="Y8" s="70">
        <f t="shared" si="16"/>
        <v>0</v>
      </c>
      <c r="Z8" s="70">
        <f t="shared" si="16"/>
        <v>0</v>
      </c>
      <c r="AA8" s="70">
        <f t="shared" si="16"/>
        <v>0</v>
      </c>
      <c r="AB8" s="70">
        <f t="shared" si="16"/>
        <v>0</v>
      </c>
      <c r="AC8" s="70">
        <f t="shared" si="16"/>
        <v>0</v>
      </c>
      <c r="AD8" s="70">
        <f t="shared" si="16"/>
        <v>0</v>
      </c>
      <c r="AE8" s="70">
        <f t="shared" si="16"/>
        <v>0</v>
      </c>
      <c r="AF8" s="70">
        <f t="shared" si="16"/>
        <v>0</v>
      </c>
      <c r="AG8" s="70">
        <f t="shared" si="16"/>
        <v>0</v>
      </c>
      <c r="AH8" s="70">
        <f t="shared" si="16"/>
        <v>0</v>
      </c>
      <c r="AI8" s="70">
        <f t="shared" ref="AI8:AX8" si="17">SUBTOTAL(9,AI22:AI24)</f>
        <v>0</v>
      </c>
      <c r="AJ8" s="70">
        <f t="shared" si="17"/>
        <v>0</v>
      </c>
      <c r="AK8" s="70">
        <f t="shared" si="17"/>
        <v>0</v>
      </c>
      <c r="AL8" s="70">
        <f t="shared" si="17"/>
        <v>0</v>
      </c>
      <c r="AM8" s="70">
        <f t="shared" si="17"/>
        <v>0</v>
      </c>
      <c r="AN8" s="70">
        <f t="shared" si="17"/>
        <v>0</v>
      </c>
      <c r="AO8" s="70">
        <f t="shared" si="17"/>
        <v>0</v>
      </c>
      <c r="AP8" s="70">
        <f t="shared" si="17"/>
        <v>0</v>
      </c>
      <c r="AQ8" s="70">
        <f t="shared" si="17"/>
        <v>0</v>
      </c>
      <c r="AR8" s="70">
        <f t="shared" si="17"/>
        <v>0</v>
      </c>
      <c r="AS8" s="70">
        <f t="shared" si="17"/>
        <v>0</v>
      </c>
      <c r="AT8" s="70">
        <f t="shared" si="17"/>
        <v>0</v>
      </c>
      <c r="AU8" s="70">
        <f t="shared" si="17"/>
        <v>0</v>
      </c>
      <c r="AV8" s="70">
        <f t="shared" si="17"/>
        <v>0</v>
      </c>
      <c r="AW8" s="70">
        <f t="shared" si="17"/>
        <v>0</v>
      </c>
      <c r="AX8" s="70">
        <f t="shared" si="17"/>
        <v>0</v>
      </c>
      <c r="AY8" s="70">
        <f t="shared" ref="AY8:BM8" si="18">SUBTOTAL(9,AY22:AY24)</f>
        <v>0</v>
      </c>
      <c r="AZ8" s="70">
        <f t="shared" si="18"/>
        <v>0</v>
      </c>
      <c r="BA8" s="70">
        <f t="shared" si="18"/>
        <v>0</v>
      </c>
      <c r="BB8" s="70">
        <f t="shared" si="18"/>
        <v>0</v>
      </c>
      <c r="BC8" s="70">
        <f t="shared" si="18"/>
        <v>0</v>
      </c>
      <c r="BD8" s="70">
        <f t="shared" si="18"/>
        <v>0</v>
      </c>
      <c r="BE8" s="70">
        <f t="shared" si="18"/>
        <v>0</v>
      </c>
      <c r="BF8" s="70">
        <f t="shared" si="18"/>
        <v>0</v>
      </c>
      <c r="BG8" s="70">
        <f t="shared" si="18"/>
        <v>0</v>
      </c>
      <c r="BH8" s="70">
        <f t="shared" si="18"/>
        <v>0</v>
      </c>
      <c r="BI8" s="70">
        <f t="shared" si="18"/>
        <v>0</v>
      </c>
      <c r="BJ8" s="70">
        <f t="shared" si="18"/>
        <v>0</v>
      </c>
      <c r="BK8" s="70">
        <f t="shared" si="18"/>
        <v>0</v>
      </c>
      <c r="BL8" s="70">
        <f t="shared" si="18"/>
        <v>0</v>
      </c>
      <c r="BM8" s="70">
        <f t="shared" si="18"/>
        <v>0</v>
      </c>
    </row>
    <row r="9" spans="1:65" ht="18" customHeight="1" x14ac:dyDescent="0.2">
      <c r="A9" s="372"/>
      <c r="B9" s="68">
        <v>17</v>
      </c>
      <c r="C9" s="69">
        <f t="shared" si="9"/>
        <v>0</v>
      </c>
      <c r="D9" s="70">
        <f>SUBTOTAL(9,D25:D27)</f>
        <v>0</v>
      </c>
      <c r="E9" s="70">
        <f t="shared" ref="E9:AH9" si="19">SUBTOTAL(9,E25:E27)</f>
        <v>0</v>
      </c>
      <c r="F9" s="70">
        <f t="shared" si="19"/>
        <v>0</v>
      </c>
      <c r="G9" s="70">
        <f t="shared" si="19"/>
        <v>0</v>
      </c>
      <c r="H9" s="70">
        <f t="shared" si="19"/>
        <v>0</v>
      </c>
      <c r="I9" s="70">
        <f t="shared" si="19"/>
        <v>0</v>
      </c>
      <c r="J9" s="70">
        <f t="shared" si="19"/>
        <v>0</v>
      </c>
      <c r="K9" s="70">
        <f t="shared" si="19"/>
        <v>0</v>
      </c>
      <c r="L9" s="70">
        <f t="shared" si="19"/>
        <v>0</v>
      </c>
      <c r="M9" s="70">
        <f t="shared" si="19"/>
        <v>0</v>
      </c>
      <c r="N9" s="70">
        <f t="shared" si="19"/>
        <v>0</v>
      </c>
      <c r="O9" s="70">
        <f t="shared" si="19"/>
        <v>0</v>
      </c>
      <c r="P9" s="70">
        <f t="shared" si="19"/>
        <v>0</v>
      </c>
      <c r="Q9" s="70">
        <f t="shared" si="19"/>
        <v>0</v>
      </c>
      <c r="R9" s="70">
        <f t="shared" si="19"/>
        <v>0</v>
      </c>
      <c r="S9" s="70">
        <f t="shared" si="19"/>
        <v>0</v>
      </c>
      <c r="T9" s="70">
        <f t="shared" si="19"/>
        <v>0</v>
      </c>
      <c r="U9" s="70">
        <f>SUBTOTAL(9,U25:U27)</f>
        <v>0</v>
      </c>
      <c r="V9" s="70">
        <f>SUBTOTAL(9,V25:V27)</f>
        <v>0</v>
      </c>
      <c r="W9" s="70">
        <f>SUBTOTAL(9,W25:W27)</f>
        <v>0</v>
      </c>
      <c r="X9" s="70">
        <f t="shared" si="19"/>
        <v>0</v>
      </c>
      <c r="Y9" s="70">
        <f t="shared" si="19"/>
        <v>0</v>
      </c>
      <c r="Z9" s="70">
        <f t="shared" si="19"/>
        <v>0</v>
      </c>
      <c r="AA9" s="70">
        <f t="shared" si="19"/>
        <v>0</v>
      </c>
      <c r="AB9" s="70">
        <f t="shared" si="19"/>
        <v>0</v>
      </c>
      <c r="AC9" s="70">
        <f t="shared" si="19"/>
        <v>0</v>
      </c>
      <c r="AD9" s="70">
        <f t="shared" si="19"/>
        <v>0</v>
      </c>
      <c r="AE9" s="70">
        <f t="shared" si="19"/>
        <v>0</v>
      </c>
      <c r="AF9" s="70">
        <f t="shared" si="19"/>
        <v>0</v>
      </c>
      <c r="AG9" s="70">
        <f t="shared" si="19"/>
        <v>0</v>
      </c>
      <c r="AH9" s="70">
        <f t="shared" si="19"/>
        <v>0</v>
      </c>
      <c r="AI9" s="70">
        <f t="shared" ref="AI9:AX9" si="20">SUBTOTAL(9,AI25:AI27)</f>
        <v>0</v>
      </c>
      <c r="AJ9" s="70">
        <f t="shared" si="20"/>
        <v>0</v>
      </c>
      <c r="AK9" s="70">
        <f t="shared" si="20"/>
        <v>0</v>
      </c>
      <c r="AL9" s="70">
        <f t="shared" si="20"/>
        <v>0</v>
      </c>
      <c r="AM9" s="70">
        <f t="shared" si="20"/>
        <v>0</v>
      </c>
      <c r="AN9" s="70">
        <f t="shared" si="20"/>
        <v>0</v>
      </c>
      <c r="AO9" s="70">
        <f t="shared" si="20"/>
        <v>0</v>
      </c>
      <c r="AP9" s="70">
        <f t="shared" si="20"/>
        <v>0</v>
      </c>
      <c r="AQ9" s="70">
        <f t="shared" si="20"/>
        <v>0</v>
      </c>
      <c r="AR9" s="70">
        <f t="shared" si="20"/>
        <v>0</v>
      </c>
      <c r="AS9" s="70">
        <f t="shared" si="20"/>
        <v>0</v>
      </c>
      <c r="AT9" s="70">
        <f t="shared" si="20"/>
        <v>0</v>
      </c>
      <c r="AU9" s="70">
        <f t="shared" si="20"/>
        <v>0</v>
      </c>
      <c r="AV9" s="70">
        <f t="shared" si="20"/>
        <v>0</v>
      </c>
      <c r="AW9" s="70">
        <f t="shared" si="20"/>
        <v>0</v>
      </c>
      <c r="AX9" s="70">
        <f t="shared" si="20"/>
        <v>0</v>
      </c>
      <c r="AY9" s="70">
        <f t="shared" ref="AY9:BM9" si="21">SUBTOTAL(9,AY25:AY27)</f>
        <v>0</v>
      </c>
      <c r="AZ9" s="70">
        <f t="shared" si="21"/>
        <v>0</v>
      </c>
      <c r="BA9" s="70">
        <f t="shared" si="21"/>
        <v>0</v>
      </c>
      <c r="BB9" s="70">
        <f t="shared" si="21"/>
        <v>0</v>
      </c>
      <c r="BC9" s="70">
        <f t="shared" si="21"/>
        <v>0</v>
      </c>
      <c r="BD9" s="70">
        <f t="shared" si="21"/>
        <v>0</v>
      </c>
      <c r="BE9" s="70">
        <f t="shared" si="21"/>
        <v>0</v>
      </c>
      <c r="BF9" s="70">
        <f t="shared" si="21"/>
        <v>0</v>
      </c>
      <c r="BG9" s="70">
        <f t="shared" si="21"/>
        <v>0</v>
      </c>
      <c r="BH9" s="70">
        <f t="shared" si="21"/>
        <v>0</v>
      </c>
      <c r="BI9" s="70">
        <f t="shared" si="21"/>
        <v>0</v>
      </c>
      <c r="BJ9" s="70">
        <f t="shared" si="21"/>
        <v>0</v>
      </c>
      <c r="BK9" s="70">
        <f t="shared" si="21"/>
        <v>0</v>
      </c>
      <c r="BL9" s="70">
        <f t="shared" si="21"/>
        <v>0</v>
      </c>
      <c r="BM9" s="70">
        <f t="shared" si="21"/>
        <v>0</v>
      </c>
    </row>
    <row r="10" spans="1:65" ht="18" customHeight="1" x14ac:dyDescent="0.2">
      <c r="A10" s="372"/>
      <c r="B10" s="68">
        <v>20</v>
      </c>
      <c r="C10" s="69">
        <f t="shared" si="9"/>
        <v>0</v>
      </c>
      <c r="D10" s="70">
        <f>SUBTOTAL(9,D28:D30)</f>
        <v>0</v>
      </c>
      <c r="E10" s="70">
        <f t="shared" ref="E10:AH10" si="22">SUBTOTAL(9,E28:E30)</f>
        <v>0</v>
      </c>
      <c r="F10" s="70">
        <f t="shared" si="22"/>
        <v>0</v>
      </c>
      <c r="G10" s="70">
        <f t="shared" si="22"/>
        <v>0</v>
      </c>
      <c r="H10" s="70">
        <f t="shared" si="22"/>
        <v>0</v>
      </c>
      <c r="I10" s="70">
        <f t="shared" si="22"/>
        <v>0</v>
      </c>
      <c r="J10" s="70">
        <f t="shared" si="22"/>
        <v>0</v>
      </c>
      <c r="K10" s="70">
        <f t="shared" si="22"/>
        <v>0</v>
      </c>
      <c r="L10" s="70">
        <f t="shared" si="22"/>
        <v>0</v>
      </c>
      <c r="M10" s="70">
        <f t="shared" si="22"/>
        <v>0</v>
      </c>
      <c r="N10" s="70">
        <f t="shared" si="22"/>
        <v>0</v>
      </c>
      <c r="O10" s="70">
        <f t="shared" si="22"/>
        <v>0</v>
      </c>
      <c r="P10" s="70">
        <f t="shared" si="22"/>
        <v>0</v>
      </c>
      <c r="Q10" s="70">
        <f t="shared" si="22"/>
        <v>0</v>
      </c>
      <c r="R10" s="70">
        <f t="shared" si="22"/>
        <v>0</v>
      </c>
      <c r="S10" s="70">
        <f t="shared" si="22"/>
        <v>0</v>
      </c>
      <c r="T10" s="70">
        <f t="shared" si="22"/>
        <v>0</v>
      </c>
      <c r="U10" s="70">
        <f t="shared" si="22"/>
        <v>0</v>
      </c>
      <c r="V10" s="70">
        <f t="shared" si="22"/>
        <v>0</v>
      </c>
      <c r="W10" s="70">
        <f t="shared" si="22"/>
        <v>0</v>
      </c>
      <c r="X10" s="70">
        <f t="shared" si="22"/>
        <v>0</v>
      </c>
      <c r="Y10" s="70">
        <f t="shared" si="22"/>
        <v>0</v>
      </c>
      <c r="Z10" s="70">
        <f t="shared" si="22"/>
        <v>0</v>
      </c>
      <c r="AA10" s="70">
        <f t="shared" si="22"/>
        <v>0</v>
      </c>
      <c r="AB10" s="70">
        <f t="shared" si="22"/>
        <v>0</v>
      </c>
      <c r="AC10" s="70">
        <f t="shared" si="22"/>
        <v>0</v>
      </c>
      <c r="AD10" s="70">
        <f t="shared" si="22"/>
        <v>0</v>
      </c>
      <c r="AE10" s="70">
        <f t="shared" si="22"/>
        <v>0</v>
      </c>
      <c r="AF10" s="70">
        <f t="shared" si="22"/>
        <v>0</v>
      </c>
      <c r="AG10" s="70">
        <f t="shared" si="22"/>
        <v>0</v>
      </c>
      <c r="AH10" s="70">
        <f t="shared" si="22"/>
        <v>0</v>
      </c>
      <c r="AI10" s="70">
        <f t="shared" ref="AI10:AX10" si="23">SUBTOTAL(9,AI28:AI30)</f>
        <v>0</v>
      </c>
      <c r="AJ10" s="70">
        <f t="shared" si="23"/>
        <v>0</v>
      </c>
      <c r="AK10" s="70">
        <f t="shared" si="23"/>
        <v>0</v>
      </c>
      <c r="AL10" s="70">
        <f t="shared" si="23"/>
        <v>0</v>
      </c>
      <c r="AM10" s="70">
        <f t="shared" si="23"/>
        <v>0</v>
      </c>
      <c r="AN10" s="70">
        <f t="shared" si="23"/>
        <v>0</v>
      </c>
      <c r="AO10" s="70">
        <f t="shared" si="23"/>
        <v>0</v>
      </c>
      <c r="AP10" s="70">
        <f t="shared" si="23"/>
        <v>0</v>
      </c>
      <c r="AQ10" s="70">
        <f t="shared" si="23"/>
        <v>0</v>
      </c>
      <c r="AR10" s="70">
        <f t="shared" si="23"/>
        <v>0</v>
      </c>
      <c r="AS10" s="70">
        <f t="shared" si="23"/>
        <v>0</v>
      </c>
      <c r="AT10" s="70">
        <f t="shared" si="23"/>
        <v>0</v>
      </c>
      <c r="AU10" s="70">
        <f t="shared" si="23"/>
        <v>0</v>
      </c>
      <c r="AV10" s="70">
        <f t="shared" si="23"/>
        <v>0</v>
      </c>
      <c r="AW10" s="70">
        <f t="shared" si="23"/>
        <v>0</v>
      </c>
      <c r="AX10" s="70">
        <f t="shared" si="23"/>
        <v>0</v>
      </c>
      <c r="AY10" s="70">
        <f t="shared" ref="AY10:BM10" si="24">SUBTOTAL(9,AY28:AY30)</f>
        <v>0</v>
      </c>
      <c r="AZ10" s="70">
        <f t="shared" si="24"/>
        <v>0</v>
      </c>
      <c r="BA10" s="70">
        <f t="shared" si="24"/>
        <v>0</v>
      </c>
      <c r="BB10" s="70">
        <f t="shared" si="24"/>
        <v>0</v>
      </c>
      <c r="BC10" s="70">
        <f t="shared" si="24"/>
        <v>0</v>
      </c>
      <c r="BD10" s="70">
        <f t="shared" si="24"/>
        <v>0</v>
      </c>
      <c r="BE10" s="70">
        <f t="shared" si="24"/>
        <v>0</v>
      </c>
      <c r="BF10" s="70">
        <f t="shared" si="24"/>
        <v>0</v>
      </c>
      <c r="BG10" s="70">
        <f t="shared" si="24"/>
        <v>0</v>
      </c>
      <c r="BH10" s="70">
        <f t="shared" si="24"/>
        <v>0</v>
      </c>
      <c r="BI10" s="70">
        <f t="shared" si="24"/>
        <v>0</v>
      </c>
      <c r="BJ10" s="70">
        <f t="shared" si="24"/>
        <v>0</v>
      </c>
      <c r="BK10" s="70">
        <f t="shared" si="24"/>
        <v>0</v>
      </c>
      <c r="BL10" s="70">
        <f t="shared" si="24"/>
        <v>0</v>
      </c>
      <c r="BM10" s="70">
        <f t="shared" si="24"/>
        <v>0</v>
      </c>
    </row>
    <row r="11" spans="1:65" ht="18" customHeight="1" x14ac:dyDescent="0.2">
      <c r="A11" s="372"/>
      <c r="B11" s="68">
        <v>25</v>
      </c>
      <c r="C11" s="69">
        <f t="shared" si="9"/>
        <v>0</v>
      </c>
      <c r="D11" s="70">
        <f>D31</f>
        <v>0</v>
      </c>
      <c r="E11" s="70">
        <f t="shared" ref="E11:AH11" si="25">E31</f>
        <v>0</v>
      </c>
      <c r="F11" s="70">
        <f t="shared" si="25"/>
        <v>0</v>
      </c>
      <c r="G11" s="70">
        <f t="shared" si="25"/>
        <v>0</v>
      </c>
      <c r="H11" s="70">
        <f t="shared" si="25"/>
        <v>0</v>
      </c>
      <c r="I11" s="70">
        <f t="shared" si="25"/>
        <v>0</v>
      </c>
      <c r="J11" s="70">
        <f t="shared" si="25"/>
        <v>0</v>
      </c>
      <c r="K11" s="70">
        <f t="shared" si="25"/>
        <v>0</v>
      </c>
      <c r="L11" s="70">
        <f t="shared" si="25"/>
        <v>0</v>
      </c>
      <c r="M11" s="70">
        <f t="shared" si="25"/>
        <v>0</v>
      </c>
      <c r="N11" s="70">
        <f t="shared" si="25"/>
        <v>0</v>
      </c>
      <c r="O11" s="70">
        <f t="shared" si="25"/>
        <v>0</v>
      </c>
      <c r="P11" s="70">
        <f t="shared" si="25"/>
        <v>0</v>
      </c>
      <c r="Q11" s="70">
        <f t="shared" si="25"/>
        <v>0</v>
      </c>
      <c r="R11" s="70">
        <f t="shared" si="25"/>
        <v>0</v>
      </c>
      <c r="S11" s="70">
        <f t="shared" si="25"/>
        <v>0</v>
      </c>
      <c r="T11" s="70">
        <f t="shared" si="25"/>
        <v>0</v>
      </c>
      <c r="U11" s="70">
        <f t="shared" si="25"/>
        <v>0</v>
      </c>
      <c r="V11" s="70">
        <f t="shared" si="25"/>
        <v>0</v>
      </c>
      <c r="W11" s="70">
        <f t="shared" si="25"/>
        <v>0</v>
      </c>
      <c r="X11" s="70">
        <f t="shared" si="25"/>
        <v>0</v>
      </c>
      <c r="Y11" s="70">
        <f t="shared" si="25"/>
        <v>0</v>
      </c>
      <c r="Z11" s="70">
        <f t="shared" si="25"/>
        <v>0</v>
      </c>
      <c r="AA11" s="70">
        <f t="shared" si="25"/>
        <v>0</v>
      </c>
      <c r="AB11" s="70">
        <f t="shared" si="25"/>
        <v>0</v>
      </c>
      <c r="AC11" s="70">
        <f t="shared" si="25"/>
        <v>0</v>
      </c>
      <c r="AD11" s="70">
        <f t="shared" si="25"/>
        <v>0</v>
      </c>
      <c r="AE11" s="70">
        <f t="shared" si="25"/>
        <v>0</v>
      </c>
      <c r="AF11" s="70">
        <f t="shared" si="25"/>
        <v>0</v>
      </c>
      <c r="AG11" s="70">
        <f t="shared" si="25"/>
        <v>0</v>
      </c>
      <c r="AH11" s="70">
        <f t="shared" si="25"/>
        <v>0</v>
      </c>
      <c r="AI11" s="70">
        <f t="shared" ref="AI11:AX11" si="26">AI31</f>
        <v>0</v>
      </c>
      <c r="AJ11" s="70">
        <f t="shared" si="26"/>
        <v>0</v>
      </c>
      <c r="AK11" s="70">
        <f t="shared" si="26"/>
        <v>0</v>
      </c>
      <c r="AL11" s="70">
        <f t="shared" si="26"/>
        <v>0</v>
      </c>
      <c r="AM11" s="70">
        <f t="shared" si="26"/>
        <v>0</v>
      </c>
      <c r="AN11" s="70">
        <f t="shared" si="26"/>
        <v>0</v>
      </c>
      <c r="AO11" s="70">
        <f t="shared" si="26"/>
        <v>0</v>
      </c>
      <c r="AP11" s="70">
        <f t="shared" si="26"/>
        <v>0</v>
      </c>
      <c r="AQ11" s="70">
        <f t="shared" si="26"/>
        <v>0</v>
      </c>
      <c r="AR11" s="70">
        <f t="shared" si="26"/>
        <v>0</v>
      </c>
      <c r="AS11" s="70">
        <f t="shared" si="26"/>
        <v>0</v>
      </c>
      <c r="AT11" s="70">
        <f t="shared" si="26"/>
        <v>0</v>
      </c>
      <c r="AU11" s="70">
        <f t="shared" si="26"/>
        <v>0</v>
      </c>
      <c r="AV11" s="70">
        <f t="shared" si="26"/>
        <v>0</v>
      </c>
      <c r="AW11" s="70">
        <f t="shared" si="26"/>
        <v>0</v>
      </c>
      <c r="AX11" s="70">
        <f t="shared" si="26"/>
        <v>0</v>
      </c>
      <c r="AY11" s="70">
        <f t="shared" ref="AY11:BM11" si="27">AY31</f>
        <v>0</v>
      </c>
      <c r="AZ11" s="70">
        <f t="shared" si="27"/>
        <v>0</v>
      </c>
      <c r="BA11" s="70">
        <f t="shared" si="27"/>
        <v>0</v>
      </c>
      <c r="BB11" s="70">
        <f t="shared" si="27"/>
        <v>0</v>
      </c>
      <c r="BC11" s="70">
        <f t="shared" si="27"/>
        <v>0</v>
      </c>
      <c r="BD11" s="70">
        <f t="shared" si="27"/>
        <v>0</v>
      </c>
      <c r="BE11" s="70">
        <f t="shared" si="27"/>
        <v>0</v>
      </c>
      <c r="BF11" s="70">
        <f t="shared" si="27"/>
        <v>0</v>
      </c>
      <c r="BG11" s="70">
        <f t="shared" si="27"/>
        <v>0</v>
      </c>
      <c r="BH11" s="70">
        <f t="shared" si="27"/>
        <v>0</v>
      </c>
      <c r="BI11" s="70">
        <f t="shared" si="27"/>
        <v>0</v>
      </c>
      <c r="BJ11" s="70">
        <f t="shared" si="27"/>
        <v>0</v>
      </c>
      <c r="BK11" s="70">
        <f t="shared" si="27"/>
        <v>0</v>
      </c>
      <c r="BL11" s="70">
        <f t="shared" si="27"/>
        <v>0</v>
      </c>
      <c r="BM11" s="70">
        <f t="shared" si="27"/>
        <v>0</v>
      </c>
    </row>
    <row r="12" spans="1:65" ht="18" customHeight="1" x14ac:dyDescent="0.2">
      <c r="A12" s="373"/>
      <c r="B12" s="71">
        <v>8</v>
      </c>
      <c r="C12" s="72">
        <f t="shared" si="9"/>
        <v>11</v>
      </c>
      <c r="D12" s="73">
        <f>D32</f>
        <v>0</v>
      </c>
      <c r="E12" s="73">
        <f t="shared" ref="E12:AH12" si="28">E32</f>
        <v>11</v>
      </c>
      <c r="F12" s="73">
        <f t="shared" si="28"/>
        <v>0</v>
      </c>
      <c r="G12" s="73">
        <f t="shared" si="28"/>
        <v>0</v>
      </c>
      <c r="H12" s="73">
        <f t="shared" si="28"/>
        <v>0</v>
      </c>
      <c r="I12" s="73">
        <f t="shared" si="28"/>
        <v>0</v>
      </c>
      <c r="J12" s="73">
        <f t="shared" si="28"/>
        <v>0</v>
      </c>
      <c r="K12" s="73">
        <f t="shared" si="28"/>
        <v>0</v>
      </c>
      <c r="L12" s="73">
        <f t="shared" si="28"/>
        <v>0</v>
      </c>
      <c r="M12" s="73">
        <f t="shared" si="28"/>
        <v>0</v>
      </c>
      <c r="N12" s="73">
        <f t="shared" si="28"/>
        <v>0</v>
      </c>
      <c r="O12" s="73">
        <f t="shared" si="28"/>
        <v>0</v>
      </c>
      <c r="P12" s="73">
        <f t="shared" si="28"/>
        <v>0</v>
      </c>
      <c r="Q12" s="73">
        <f t="shared" si="28"/>
        <v>0</v>
      </c>
      <c r="R12" s="73">
        <f t="shared" si="28"/>
        <v>0</v>
      </c>
      <c r="S12" s="73">
        <f t="shared" si="28"/>
        <v>0</v>
      </c>
      <c r="T12" s="73">
        <f t="shared" si="28"/>
        <v>0</v>
      </c>
      <c r="U12" s="73">
        <f t="shared" si="28"/>
        <v>0</v>
      </c>
      <c r="V12" s="73">
        <f t="shared" si="28"/>
        <v>0</v>
      </c>
      <c r="W12" s="73">
        <f t="shared" si="28"/>
        <v>0</v>
      </c>
      <c r="X12" s="73">
        <f t="shared" si="28"/>
        <v>0</v>
      </c>
      <c r="Y12" s="73">
        <f t="shared" si="28"/>
        <v>0</v>
      </c>
      <c r="Z12" s="73">
        <f t="shared" si="28"/>
        <v>0</v>
      </c>
      <c r="AA12" s="73">
        <f t="shared" si="28"/>
        <v>0</v>
      </c>
      <c r="AB12" s="73">
        <f t="shared" si="28"/>
        <v>0</v>
      </c>
      <c r="AC12" s="73">
        <f t="shared" si="28"/>
        <v>0</v>
      </c>
      <c r="AD12" s="73">
        <f t="shared" si="28"/>
        <v>0</v>
      </c>
      <c r="AE12" s="73">
        <f t="shared" si="28"/>
        <v>0</v>
      </c>
      <c r="AF12" s="73">
        <f t="shared" si="28"/>
        <v>0</v>
      </c>
      <c r="AG12" s="73">
        <f t="shared" si="28"/>
        <v>0</v>
      </c>
      <c r="AH12" s="73">
        <f t="shared" si="28"/>
        <v>0</v>
      </c>
      <c r="AI12" s="73">
        <f t="shared" ref="AI12:AX12" si="29">AI32</f>
        <v>0</v>
      </c>
      <c r="AJ12" s="73">
        <f t="shared" si="29"/>
        <v>0</v>
      </c>
      <c r="AK12" s="73">
        <f t="shared" si="29"/>
        <v>0</v>
      </c>
      <c r="AL12" s="73">
        <f t="shared" si="29"/>
        <v>0</v>
      </c>
      <c r="AM12" s="73">
        <f t="shared" si="29"/>
        <v>0</v>
      </c>
      <c r="AN12" s="73">
        <f t="shared" si="29"/>
        <v>0</v>
      </c>
      <c r="AO12" s="73">
        <f t="shared" si="29"/>
        <v>0</v>
      </c>
      <c r="AP12" s="73">
        <f t="shared" si="29"/>
        <v>0</v>
      </c>
      <c r="AQ12" s="73">
        <f t="shared" si="29"/>
        <v>0</v>
      </c>
      <c r="AR12" s="73">
        <f t="shared" si="29"/>
        <v>0</v>
      </c>
      <c r="AS12" s="73">
        <f t="shared" si="29"/>
        <v>0</v>
      </c>
      <c r="AT12" s="73">
        <f t="shared" si="29"/>
        <v>0</v>
      </c>
      <c r="AU12" s="73">
        <f t="shared" si="29"/>
        <v>0</v>
      </c>
      <c r="AV12" s="73">
        <f t="shared" si="29"/>
        <v>0</v>
      </c>
      <c r="AW12" s="73">
        <f t="shared" si="29"/>
        <v>0</v>
      </c>
      <c r="AX12" s="73">
        <f t="shared" si="29"/>
        <v>0</v>
      </c>
      <c r="AY12" s="73">
        <f t="shared" ref="AY12:BM12" si="30">AY32</f>
        <v>0</v>
      </c>
      <c r="AZ12" s="73">
        <f t="shared" si="30"/>
        <v>0</v>
      </c>
      <c r="BA12" s="73">
        <f t="shared" si="30"/>
        <v>0</v>
      </c>
      <c r="BB12" s="73">
        <f t="shared" si="30"/>
        <v>0</v>
      </c>
      <c r="BC12" s="73">
        <f t="shared" si="30"/>
        <v>0</v>
      </c>
      <c r="BD12" s="73">
        <f t="shared" si="30"/>
        <v>0</v>
      </c>
      <c r="BE12" s="73">
        <f t="shared" si="30"/>
        <v>0</v>
      </c>
      <c r="BF12" s="73">
        <f t="shared" si="30"/>
        <v>0</v>
      </c>
      <c r="BG12" s="73">
        <f t="shared" si="30"/>
        <v>0</v>
      </c>
      <c r="BH12" s="73">
        <f t="shared" si="30"/>
        <v>0</v>
      </c>
      <c r="BI12" s="73">
        <f t="shared" si="30"/>
        <v>0</v>
      </c>
      <c r="BJ12" s="73">
        <f t="shared" si="30"/>
        <v>0</v>
      </c>
      <c r="BK12" s="73">
        <f t="shared" si="30"/>
        <v>0</v>
      </c>
      <c r="BL12" s="73">
        <f t="shared" si="30"/>
        <v>0</v>
      </c>
      <c r="BM12" s="73">
        <f t="shared" si="30"/>
        <v>0</v>
      </c>
    </row>
    <row r="13" spans="1:65" ht="15" hidden="1" customHeight="1" x14ac:dyDescent="0.2">
      <c r="A13" s="374" t="s">
        <v>13</v>
      </c>
      <c r="B13" s="377">
        <v>8</v>
      </c>
      <c r="C13" s="74" t="s">
        <v>20</v>
      </c>
      <c r="D13" s="75"/>
      <c r="E13" s="75"/>
      <c r="F13" s="75"/>
      <c r="G13" s="75"/>
      <c r="H13" s="75"/>
      <c r="I13" s="75"/>
      <c r="J13" s="75"/>
      <c r="K13" s="75"/>
      <c r="L13" s="75"/>
      <c r="M13" s="75"/>
      <c r="N13" s="75"/>
      <c r="O13" s="75"/>
      <c r="P13" s="75"/>
      <c r="Q13" s="75"/>
      <c r="R13" s="75"/>
      <c r="S13" s="75"/>
      <c r="T13" s="75"/>
      <c r="U13" s="75"/>
      <c r="V13" s="75"/>
      <c r="W13" s="75"/>
      <c r="X13" s="75"/>
      <c r="Y13" s="75"/>
      <c r="Z13" s="75"/>
      <c r="AA13" s="75"/>
      <c r="AB13" s="75"/>
      <c r="AC13" s="75"/>
      <c r="AD13" s="75"/>
      <c r="AE13" s="75"/>
      <c r="AF13" s="75"/>
      <c r="AG13" s="75"/>
      <c r="AH13" s="75"/>
      <c r="AI13" s="75"/>
      <c r="AJ13" s="75"/>
      <c r="AK13" s="75"/>
      <c r="AL13" s="75"/>
      <c r="AM13" s="75"/>
      <c r="AN13" s="75"/>
      <c r="AO13" s="75"/>
      <c r="AP13" s="75"/>
      <c r="AQ13" s="75"/>
      <c r="AR13" s="75"/>
      <c r="AS13" s="75"/>
      <c r="AT13" s="75"/>
      <c r="AU13" s="75"/>
      <c r="AV13" s="75"/>
      <c r="AW13" s="75"/>
      <c r="AX13" s="75"/>
      <c r="AY13" s="75"/>
      <c r="AZ13" s="75"/>
      <c r="BA13" s="75"/>
      <c r="BB13" s="75"/>
      <c r="BC13" s="75"/>
      <c r="BD13" s="75"/>
      <c r="BE13" s="75"/>
      <c r="BF13" s="75"/>
      <c r="BG13" s="75"/>
      <c r="BH13" s="75"/>
      <c r="BI13" s="75"/>
      <c r="BJ13" s="75"/>
      <c r="BK13" s="75"/>
      <c r="BL13" s="75"/>
      <c r="BM13" s="75"/>
    </row>
    <row r="14" spans="1:65" ht="15" hidden="1" customHeight="1" x14ac:dyDescent="0.2">
      <c r="A14" s="375"/>
      <c r="B14" s="378"/>
      <c r="C14" s="76" t="s">
        <v>0</v>
      </c>
      <c r="D14" s="77"/>
      <c r="E14" s="77"/>
      <c r="F14" s="77"/>
      <c r="G14" s="77"/>
      <c r="H14" s="77"/>
      <c r="I14" s="77"/>
      <c r="J14" s="77"/>
      <c r="K14" s="77"/>
      <c r="L14" s="77"/>
      <c r="M14" s="77"/>
      <c r="N14" s="77"/>
      <c r="O14" s="77"/>
      <c r="P14" s="77"/>
      <c r="Q14" s="77"/>
      <c r="R14" s="77"/>
      <c r="S14" s="77"/>
      <c r="T14" s="77"/>
      <c r="U14" s="77"/>
      <c r="V14" s="77"/>
      <c r="W14" s="77"/>
      <c r="X14" s="77"/>
      <c r="Y14" s="77"/>
      <c r="Z14" s="77"/>
      <c r="AA14" s="77"/>
      <c r="AB14" s="77"/>
      <c r="AC14" s="77"/>
      <c r="AD14" s="77"/>
      <c r="AE14" s="77"/>
      <c r="AF14" s="77"/>
      <c r="AG14" s="77"/>
      <c r="AH14" s="77"/>
      <c r="AI14" s="77"/>
      <c r="AJ14" s="77"/>
      <c r="AK14" s="77"/>
      <c r="AL14" s="77"/>
      <c r="AM14" s="77"/>
      <c r="AN14" s="77"/>
      <c r="AO14" s="77"/>
      <c r="AP14" s="77"/>
      <c r="AQ14" s="77"/>
      <c r="AR14" s="77"/>
      <c r="AS14" s="77"/>
      <c r="AT14" s="77"/>
      <c r="AU14" s="77"/>
      <c r="AV14" s="77"/>
      <c r="AW14" s="77"/>
      <c r="AX14" s="77"/>
      <c r="AY14" s="77"/>
      <c r="AZ14" s="77"/>
      <c r="BA14" s="77"/>
      <c r="BB14" s="77"/>
      <c r="BC14" s="77"/>
      <c r="BD14" s="77"/>
      <c r="BE14" s="77"/>
      <c r="BF14" s="77"/>
      <c r="BG14" s="77"/>
      <c r="BH14" s="77"/>
      <c r="BI14" s="77"/>
      <c r="BJ14" s="77"/>
      <c r="BK14" s="77"/>
      <c r="BL14" s="77"/>
      <c r="BM14" s="77"/>
    </row>
    <row r="15" spans="1:65" ht="15" hidden="1" customHeight="1" x14ac:dyDescent="0.2">
      <c r="A15" s="375"/>
      <c r="B15" s="379"/>
      <c r="C15" s="78" t="s">
        <v>1</v>
      </c>
      <c r="D15" s="79"/>
      <c r="E15" s="79"/>
      <c r="F15" s="79"/>
      <c r="G15" s="79"/>
      <c r="H15" s="79"/>
      <c r="I15" s="79"/>
      <c r="J15" s="79"/>
      <c r="K15" s="79"/>
      <c r="L15" s="79"/>
      <c r="M15" s="79"/>
      <c r="N15" s="79"/>
      <c r="O15" s="79"/>
      <c r="P15" s="79"/>
      <c r="Q15" s="79"/>
      <c r="R15" s="79"/>
      <c r="S15" s="79"/>
      <c r="T15" s="79"/>
      <c r="U15" s="7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9"/>
      <c r="AL15" s="79"/>
      <c r="AM15" s="79"/>
      <c r="AN15" s="79"/>
      <c r="AO15" s="79"/>
      <c r="AP15" s="79"/>
      <c r="AQ15" s="79"/>
      <c r="AR15" s="79"/>
      <c r="AS15" s="79"/>
      <c r="AT15" s="79"/>
      <c r="AU15" s="79"/>
      <c r="AV15" s="79"/>
      <c r="AW15" s="79"/>
      <c r="AX15" s="79"/>
      <c r="AY15" s="79"/>
      <c r="AZ15" s="79"/>
      <c r="BA15" s="79"/>
      <c r="BB15" s="79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</row>
    <row r="16" spans="1:65" ht="14.1" customHeight="1" x14ac:dyDescent="0.2">
      <c r="A16" s="375"/>
      <c r="B16" s="380">
        <v>10</v>
      </c>
      <c r="C16" s="74" t="s">
        <v>20</v>
      </c>
      <c r="D16" s="84"/>
      <c r="E16" s="84"/>
      <c r="F16" s="84"/>
      <c r="G16" s="84"/>
      <c r="H16" s="84"/>
      <c r="I16" s="84"/>
      <c r="J16" s="84"/>
      <c r="K16" s="84">
        <v>11</v>
      </c>
      <c r="L16" s="84"/>
      <c r="M16" s="84"/>
      <c r="N16" s="84"/>
      <c r="O16" s="84"/>
      <c r="P16" s="84"/>
      <c r="Q16" s="84"/>
      <c r="R16" s="84"/>
      <c r="S16" s="84"/>
      <c r="T16" s="84"/>
      <c r="U16" s="84"/>
      <c r="V16" s="84"/>
      <c r="W16" s="84"/>
      <c r="X16" s="84"/>
      <c r="Y16" s="84"/>
      <c r="Z16" s="84"/>
      <c r="AA16" s="84"/>
      <c r="AB16" s="84"/>
      <c r="AC16" s="84"/>
      <c r="AD16" s="84"/>
      <c r="AE16" s="84"/>
      <c r="AF16" s="84"/>
      <c r="AG16" s="84"/>
      <c r="AH16" s="84"/>
      <c r="AI16" s="84"/>
      <c r="AJ16" s="84"/>
      <c r="AK16" s="84"/>
      <c r="AL16" s="84"/>
      <c r="AM16" s="84"/>
      <c r="AN16" s="84"/>
      <c r="AO16" s="84"/>
      <c r="AP16" s="84"/>
      <c r="AQ16" s="84"/>
      <c r="AR16" s="84"/>
      <c r="AS16" s="84"/>
      <c r="AT16" s="84"/>
      <c r="AU16" s="84"/>
      <c r="AV16" s="84"/>
      <c r="AW16" s="84"/>
      <c r="AX16" s="84"/>
      <c r="AY16" s="84"/>
      <c r="AZ16" s="84"/>
      <c r="BA16" s="84"/>
      <c r="BB16" s="84"/>
      <c r="BC16" s="84"/>
      <c r="BD16" s="84"/>
      <c r="BE16" s="84"/>
      <c r="BF16" s="84"/>
      <c r="BG16" s="84"/>
      <c r="BH16" s="84"/>
      <c r="BI16" s="84"/>
      <c r="BJ16" s="84"/>
      <c r="BK16" s="84"/>
      <c r="BL16" s="84"/>
      <c r="BM16" s="84"/>
    </row>
    <row r="17" spans="1:65" ht="14.1" customHeight="1" x14ac:dyDescent="0.2">
      <c r="A17" s="375"/>
      <c r="B17" s="378"/>
      <c r="C17" s="76" t="s">
        <v>0</v>
      </c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  <c r="S17" s="85"/>
      <c r="T17" s="85"/>
      <c r="U17" s="85"/>
      <c r="V17" s="85"/>
      <c r="W17" s="85"/>
      <c r="X17" s="85"/>
      <c r="Y17" s="85"/>
      <c r="Z17" s="85"/>
      <c r="AA17" s="85"/>
      <c r="AB17" s="85"/>
      <c r="AC17" s="85"/>
      <c r="AD17" s="85"/>
      <c r="AE17" s="85"/>
      <c r="AF17" s="85"/>
      <c r="AG17" s="85"/>
      <c r="AH17" s="85"/>
      <c r="AI17" s="85"/>
      <c r="AJ17" s="85"/>
      <c r="AK17" s="85"/>
      <c r="AL17" s="85"/>
      <c r="AM17" s="85"/>
      <c r="AN17" s="85"/>
      <c r="AO17" s="85"/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</row>
    <row r="18" spans="1:65" ht="14.1" customHeight="1" x14ac:dyDescent="0.2">
      <c r="A18" s="375"/>
      <c r="B18" s="381"/>
      <c r="C18" s="78" t="s">
        <v>1</v>
      </c>
      <c r="D18" s="86"/>
      <c r="E18" s="86"/>
      <c r="F18" s="86"/>
      <c r="G18" s="86"/>
      <c r="H18" s="86"/>
      <c r="I18" s="86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6"/>
      <c r="X18" s="86"/>
      <c r="Y18" s="86"/>
      <c r="Z18" s="86"/>
      <c r="AA18" s="86"/>
      <c r="AB18" s="86"/>
      <c r="AC18" s="86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6"/>
      <c r="AP18" s="86"/>
      <c r="AQ18" s="86"/>
      <c r="AR18" s="86"/>
      <c r="AS18" s="86"/>
      <c r="AT18" s="86"/>
      <c r="AU18" s="86"/>
      <c r="AV18" s="86"/>
      <c r="AW18" s="86"/>
      <c r="AX18" s="86"/>
      <c r="AY18" s="86"/>
      <c r="AZ18" s="86"/>
      <c r="BA18" s="86"/>
      <c r="BB18" s="86"/>
      <c r="BC18" s="86"/>
      <c r="BD18" s="86"/>
      <c r="BE18" s="86"/>
      <c r="BF18" s="86"/>
      <c r="BG18" s="86"/>
      <c r="BH18" s="86"/>
      <c r="BI18" s="86"/>
      <c r="BJ18" s="86"/>
      <c r="BK18" s="86"/>
      <c r="BL18" s="86"/>
      <c r="BM18" s="86"/>
    </row>
    <row r="19" spans="1:65" ht="14.1" customHeight="1" x14ac:dyDescent="0.2">
      <c r="A19" s="375"/>
      <c r="B19" s="377">
        <v>12</v>
      </c>
      <c r="C19" s="74" t="s">
        <v>20</v>
      </c>
      <c r="D19" s="84"/>
      <c r="E19" s="84"/>
      <c r="F19" s="84"/>
      <c r="G19" s="84"/>
      <c r="H19" s="84"/>
      <c r="I19" s="84"/>
      <c r="J19" s="84"/>
      <c r="K19" s="90"/>
      <c r="L19" s="84"/>
      <c r="M19" s="84"/>
      <c r="N19" s="84"/>
      <c r="O19" s="84"/>
      <c r="P19" s="84"/>
      <c r="Q19" s="84"/>
      <c r="R19" s="84"/>
      <c r="S19" s="84"/>
      <c r="T19" s="84"/>
      <c r="U19" s="84"/>
      <c r="V19" s="84"/>
      <c r="W19" s="84"/>
      <c r="X19" s="84"/>
      <c r="Y19" s="84"/>
      <c r="Z19" s="84"/>
      <c r="AA19" s="84"/>
      <c r="AB19" s="84"/>
      <c r="AC19" s="84"/>
      <c r="AD19" s="84"/>
      <c r="AE19" s="84"/>
      <c r="AF19" s="84"/>
      <c r="AG19" s="84"/>
      <c r="AH19" s="84"/>
      <c r="AI19" s="84"/>
      <c r="AJ19" s="84"/>
      <c r="AK19" s="84"/>
      <c r="AL19" s="84"/>
      <c r="AM19" s="84"/>
      <c r="AN19" s="84"/>
      <c r="AO19" s="84"/>
      <c r="AP19" s="84"/>
      <c r="AQ19" s="84"/>
      <c r="AR19" s="84"/>
      <c r="AS19" s="84"/>
      <c r="AT19" s="84"/>
      <c r="AU19" s="84"/>
      <c r="AV19" s="84"/>
      <c r="AW19" s="84"/>
      <c r="AX19" s="84"/>
      <c r="AY19" s="84"/>
      <c r="AZ19" s="84"/>
      <c r="BA19" s="84"/>
      <c r="BB19" s="84"/>
      <c r="BC19" s="84"/>
      <c r="BD19" s="84"/>
      <c r="BE19" s="84"/>
      <c r="BF19" s="84"/>
      <c r="BG19" s="84"/>
      <c r="BH19" s="84"/>
      <c r="BI19" s="84"/>
      <c r="BJ19" s="84"/>
      <c r="BK19" s="84"/>
      <c r="BL19" s="84"/>
      <c r="BM19" s="84"/>
    </row>
    <row r="20" spans="1:65" ht="14.1" customHeight="1" x14ac:dyDescent="0.2">
      <c r="A20" s="375"/>
      <c r="B20" s="378"/>
      <c r="C20" s="76" t="s">
        <v>0</v>
      </c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5"/>
      <c r="V20" s="85"/>
      <c r="W20" s="85"/>
      <c r="X20" s="85"/>
      <c r="Y20" s="85"/>
      <c r="Z20" s="85"/>
      <c r="AA20" s="85"/>
      <c r="AB20" s="85"/>
      <c r="AC20" s="85"/>
      <c r="AD20" s="85"/>
      <c r="AE20" s="85"/>
      <c r="AF20" s="85"/>
      <c r="AG20" s="85"/>
      <c r="AH20" s="85"/>
      <c r="AI20" s="85"/>
      <c r="AJ20" s="85"/>
      <c r="AK20" s="85"/>
      <c r="AL20" s="85"/>
      <c r="AM20" s="85"/>
      <c r="AN20" s="85"/>
      <c r="AO20" s="85"/>
      <c r="AP20" s="85"/>
      <c r="AQ20" s="85"/>
      <c r="AR20" s="85"/>
      <c r="AS20" s="85"/>
      <c r="AT20" s="85"/>
      <c r="AU20" s="85"/>
      <c r="AV20" s="85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G20" s="85"/>
      <c r="BH20" s="85"/>
      <c r="BI20" s="85"/>
      <c r="BJ20" s="85"/>
      <c r="BK20" s="85"/>
      <c r="BL20" s="85"/>
      <c r="BM20" s="85"/>
    </row>
    <row r="21" spans="1:65" ht="14.1" customHeight="1" x14ac:dyDescent="0.2">
      <c r="A21" s="375"/>
      <c r="B21" s="381"/>
      <c r="C21" s="78" t="s">
        <v>1</v>
      </c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X21" s="86"/>
      <c r="Y21" s="86"/>
      <c r="Z21" s="86"/>
      <c r="AA21" s="86"/>
      <c r="AB21" s="86"/>
      <c r="AC21" s="86"/>
      <c r="AD21" s="86"/>
      <c r="AE21" s="86"/>
      <c r="AF21" s="86"/>
      <c r="AG21" s="86"/>
      <c r="AH21" s="86"/>
      <c r="AI21" s="86"/>
      <c r="AJ21" s="86"/>
      <c r="AK21" s="86"/>
      <c r="AL21" s="86"/>
      <c r="AM21" s="86"/>
      <c r="AN21" s="86"/>
      <c r="AO21" s="86"/>
      <c r="AP21" s="86"/>
      <c r="AQ21" s="86"/>
      <c r="AR21" s="86"/>
      <c r="AS21" s="86"/>
      <c r="AT21" s="86"/>
      <c r="AU21" s="86"/>
      <c r="AV21" s="86"/>
      <c r="AW21" s="86"/>
      <c r="AX21" s="86"/>
      <c r="AY21" s="86"/>
      <c r="AZ21" s="86"/>
      <c r="BA21" s="86"/>
      <c r="BB21" s="86"/>
      <c r="BC21" s="86"/>
      <c r="BD21" s="86"/>
      <c r="BE21" s="86"/>
      <c r="BF21" s="86"/>
      <c r="BG21" s="86"/>
      <c r="BH21" s="86"/>
      <c r="BI21" s="86"/>
      <c r="BJ21" s="86"/>
      <c r="BK21" s="86"/>
      <c r="BL21" s="86"/>
      <c r="BM21" s="86"/>
    </row>
    <row r="22" spans="1:65" ht="14.1" customHeight="1" x14ac:dyDescent="0.2">
      <c r="A22" s="375"/>
      <c r="B22" s="377">
        <v>15</v>
      </c>
      <c r="C22" s="74" t="s">
        <v>20</v>
      </c>
      <c r="D22" s="84"/>
      <c r="E22" s="84"/>
      <c r="F22" s="84"/>
      <c r="G22" s="84"/>
      <c r="H22" s="84"/>
      <c r="I22" s="84"/>
      <c r="J22" s="84"/>
      <c r="K22" s="84"/>
      <c r="L22" s="84"/>
      <c r="M22" s="84"/>
      <c r="N22" s="84"/>
      <c r="O22" s="84"/>
      <c r="P22" s="84"/>
      <c r="Q22" s="84"/>
      <c r="R22" s="84"/>
      <c r="S22" s="84"/>
      <c r="T22" s="84"/>
      <c r="U22" s="84"/>
      <c r="V22" s="84"/>
      <c r="W22" s="84"/>
      <c r="X22" s="84"/>
      <c r="Y22" s="84"/>
      <c r="Z22" s="84"/>
      <c r="AA22" s="84"/>
      <c r="AB22" s="84"/>
      <c r="AC22" s="84"/>
      <c r="AD22" s="84"/>
      <c r="AE22" s="84"/>
      <c r="AF22" s="84"/>
      <c r="AG22" s="84"/>
      <c r="AH22" s="84"/>
      <c r="AI22" s="84"/>
      <c r="AJ22" s="84"/>
      <c r="AK22" s="84"/>
      <c r="AL22" s="84"/>
      <c r="AM22" s="84"/>
      <c r="AN22" s="84"/>
      <c r="AO22" s="84"/>
      <c r="AP22" s="84"/>
      <c r="AQ22" s="84"/>
      <c r="AR22" s="84"/>
      <c r="AS22" s="84"/>
      <c r="AT22" s="84"/>
      <c r="AU22" s="84"/>
      <c r="AV22" s="84"/>
      <c r="AW22" s="84"/>
      <c r="AX22" s="84"/>
      <c r="AY22" s="84"/>
      <c r="AZ22" s="84"/>
      <c r="BA22" s="84"/>
      <c r="BB22" s="84"/>
      <c r="BC22" s="84"/>
      <c r="BD22" s="84"/>
      <c r="BE22" s="84"/>
      <c r="BF22" s="84"/>
      <c r="BG22" s="84"/>
      <c r="BH22" s="84"/>
      <c r="BI22" s="84"/>
      <c r="BJ22" s="84"/>
      <c r="BK22" s="84"/>
      <c r="BL22" s="84"/>
      <c r="BM22" s="84"/>
    </row>
    <row r="23" spans="1:65" ht="14.1" customHeight="1" x14ac:dyDescent="0.2">
      <c r="A23" s="375"/>
      <c r="B23" s="378"/>
      <c r="C23" s="76" t="s">
        <v>0</v>
      </c>
      <c r="D23" s="85"/>
      <c r="E23" s="85">
        <v>52</v>
      </c>
      <c r="F23" s="85">
        <v>52</v>
      </c>
      <c r="G23" s="85">
        <v>52</v>
      </c>
      <c r="H23" s="85">
        <v>52</v>
      </c>
      <c r="I23" s="85">
        <v>52</v>
      </c>
      <c r="J23" s="85">
        <v>52</v>
      </c>
      <c r="K23" s="85">
        <v>42</v>
      </c>
      <c r="L23" s="85">
        <v>52</v>
      </c>
      <c r="M23" s="85">
        <v>52</v>
      </c>
      <c r="N23" s="85">
        <v>52</v>
      </c>
      <c r="O23" s="85">
        <v>52</v>
      </c>
      <c r="P23" s="85">
        <v>52</v>
      </c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</row>
    <row r="24" spans="1:65" ht="14.1" customHeight="1" x14ac:dyDescent="0.2">
      <c r="A24" s="375"/>
      <c r="B24" s="381"/>
      <c r="C24" s="78" t="s">
        <v>1</v>
      </c>
      <c r="D24" s="86"/>
      <c r="E24" s="86"/>
      <c r="F24" s="86"/>
      <c r="G24" s="86"/>
      <c r="H24" s="86"/>
      <c r="I24" s="86"/>
      <c r="J24" s="86"/>
      <c r="K24" s="86"/>
      <c r="L24" s="86"/>
      <c r="M24" s="86"/>
      <c r="N24" s="86"/>
      <c r="O24" s="86"/>
      <c r="P24" s="86"/>
      <c r="Q24" s="86"/>
      <c r="R24" s="86"/>
      <c r="S24" s="86"/>
      <c r="T24" s="86"/>
      <c r="U24" s="86"/>
      <c r="V24" s="86"/>
      <c r="W24" s="86"/>
      <c r="X24" s="86"/>
      <c r="Y24" s="86"/>
      <c r="Z24" s="86"/>
      <c r="AA24" s="86"/>
      <c r="AB24" s="86"/>
      <c r="AC24" s="86"/>
      <c r="AD24" s="86"/>
      <c r="AE24" s="86"/>
      <c r="AF24" s="86"/>
      <c r="AG24" s="86"/>
      <c r="AH24" s="86"/>
      <c r="AI24" s="86"/>
      <c r="AJ24" s="86"/>
      <c r="AK24" s="86"/>
      <c r="AL24" s="86"/>
      <c r="AM24" s="86"/>
      <c r="AN24" s="86"/>
      <c r="AO24" s="86"/>
      <c r="AP24" s="86"/>
      <c r="AQ24" s="86"/>
      <c r="AR24" s="86"/>
      <c r="AS24" s="86"/>
      <c r="AT24" s="86"/>
      <c r="AU24" s="86"/>
      <c r="AV24" s="86"/>
      <c r="AW24" s="86"/>
      <c r="AX24" s="86"/>
      <c r="AY24" s="86"/>
      <c r="AZ24" s="86"/>
      <c r="BA24" s="86"/>
      <c r="BB24" s="86"/>
      <c r="BC24" s="86"/>
      <c r="BD24" s="86"/>
      <c r="BE24" s="86"/>
      <c r="BF24" s="86"/>
      <c r="BG24" s="86"/>
      <c r="BH24" s="86"/>
      <c r="BI24" s="86"/>
      <c r="BJ24" s="86"/>
      <c r="BK24" s="86"/>
      <c r="BL24" s="86"/>
      <c r="BM24" s="86"/>
    </row>
    <row r="25" spans="1:65" ht="14.1" customHeight="1" x14ac:dyDescent="0.2">
      <c r="A25" s="375"/>
      <c r="B25" s="377">
        <v>17</v>
      </c>
      <c r="C25" s="74" t="s">
        <v>20</v>
      </c>
      <c r="D25" s="84"/>
      <c r="E25" s="84"/>
      <c r="F25" s="84"/>
      <c r="G25" s="84"/>
      <c r="H25" s="84"/>
      <c r="I25" s="84"/>
      <c r="J25" s="84"/>
      <c r="K25" s="84"/>
      <c r="L25" s="84"/>
      <c r="M25" s="84"/>
      <c r="N25" s="84"/>
      <c r="O25" s="84"/>
      <c r="P25" s="84"/>
      <c r="Q25" s="84"/>
      <c r="R25" s="84"/>
      <c r="S25" s="84"/>
      <c r="T25" s="84"/>
      <c r="U25" s="84"/>
      <c r="V25" s="84"/>
      <c r="W25" s="84"/>
      <c r="X25" s="84"/>
      <c r="Y25" s="84"/>
      <c r="Z25" s="84"/>
      <c r="AA25" s="84"/>
      <c r="AB25" s="84"/>
      <c r="AC25" s="84"/>
      <c r="AD25" s="84"/>
      <c r="AE25" s="84"/>
      <c r="AF25" s="84"/>
      <c r="AG25" s="84"/>
      <c r="AH25" s="84"/>
      <c r="AI25" s="84"/>
      <c r="AJ25" s="84"/>
      <c r="AK25" s="84"/>
      <c r="AL25" s="84"/>
      <c r="AM25" s="84"/>
      <c r="AN25" s="84"/>
      <c r="AO25" s="84"/>
      <c r="AP25" s="84"/>
      <c r="AQ25" s="84"/>
      <c r="AR25" s="84"/>
      <c r="AS25" s="84"/>
      <c r="AT25" s="84"/>
      <c r="AU25" s="84"/>
      <c r="AV25" s="84"/>
      <c r="AW25" s="84"/>
      <c r="AX25" s="84"/>
      <c r="AY25" s="84"/>
      <c r="AZ25" s="84"/>
      <c r="BA25" s="84"/>
      <c r="BB25" s="84"/>
      <c r="BC25" s="84"/>
      <c r="BD25" s="84"/>
      <c r="BE25" s="84"/>
      <c r="BF25" s="84"/>
      <c r="BG25" s="84"/>
      <c r="BH25" s="84"/>
      <c r="BI25" s="84"/>
      <c r="BJ25" s="84"/>
      <c r="BK25" s="84"/>
      <c r="BL25" s="84"/>
      <c r="BM25" s="84"/>
    </row>
    <row r="26" spans="1:65" ht="14.1" customHeight="1" x14ac:dyDescent="0.2">
      <c r="A26" s="375"/>
      <c r="B26" s="378"/>
      <c r="C26" s="76" t="s">
        <v>0</v>
      </c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</row>
    <row r="27" spans="1:65" ht="14.1" customHeight="1" x14ac:dyDescent="0.2">
      <c r="A27" s="375"/>
      <c r="B27" s="381"/>
      <c r="C27" s="78" t="s">
        <v>1</v>
      </c>
      <c r="D27" s="86"/>
      <c r="E27" s="86"/>
      <c r="F27" s="86"/>
      <c r="G27" s="86"/>
      <c r="H27" s="86"/>
      <c r="I27" s="86"/>
      <c r="J27" s="86"/>
      <c r="K27" s="86"/>
      <c r="L27" s="86"/>
      <c r="M27" s="86"/>
      <c r="N27" s="86"/>
      <c r="O27" s="86"/>
      <c r="P27" s="86"/>
      <c r="Q27" s="86"/>
      <c r="R27" s="86"/>
      <c r="S27" s="86"/>
      <c r="T27" s="86"/>
      <c r="U27" s="86"/>
      <c r="V27" s="86"/>
      <c r="W27" s="86"/>
      <c r="X27" s="86"/>
      <c r="Y27" s="86"/>
      <c r="Z27" s="86"/>
      <c r="AA27" s="86"/>
      <c r="AB27" s="86"/>
      <c r="AC27" s="86"/>
      <c r="AD27" s="86"/>
      <c r="AE27" s="86"/>
      <c r="AF27" s="86"/>
      <c r="AG27" s="86"/>
      <c r="AH27" s="86"/>
      <c r="AI27" s="86"/>
      <c r="AJ27" s="86"/>
      <c r="AK27" s="86"/>
      <c r="AL27" s="86"/>
      <c r="AM27" s="86"/>
      <c r="AN27" s="86"/>
      <c r="AO27" s="86"/>
      <c r="AP27" s="86"/>
      <c r="AQ27" s="86"/>
      <c r="AR27" s="86"/>
      <c r="AS27" s="86"/>
      <c r="AT27" s="86"/>
      <c r="AU27" s="86"/>
      <c r="AV27" s="86"/>
      <c r="AW27" s="86"/>
      <c r="AX27" s="86"/>
      <c r="AY27" s="86"/>
      <c r="AZ27" s="86"/>
      <c r="BA27" s="86"/>
      <c r="BB27" s="86"/>
      <c r="BC27" s="86"/>
      <c r="BD27" s="86"/>
      <c r="BE27" s="86"/>
      <c r="BF27" s="86"/>
      <c r="BG27" s="86"/>
      <c r="BH27" s="86"/>
      <c r="BI27" s="86"/>
      <c r="BJ27" s="86"/>
      <c r="BK27" s="86"/>
      <c r="BL27" s="86"/>
      <c r="BM27" s="86"/>
    </row>
    <row r="28" spans="1:65" ht="14.1" customHeight="1" x14ac:dyDescent="0.2">
      <c r="A28" s="375"/>
      <c r="B28" s="377">
        <v>20</v>
      </c>
      <c r="C28" s="74" t="s">
        <v>20</v>
      </c>
      <c r="D28" s="84"/>
      <c r="E28" s="84"/>
      <c r="F28" s="84"/>
      <c r="G28" s="84"/>
      <c r="H28" s="84"/>
      <c r="I28" s="84"/>
      <c r="J28" s="84"/>
      <c r="K28" s="84"/>
      <c r="L28" s="84"/>
      <c r="M28" s="84"/>
      <c r="N28" s="84"/>
      <c r="O28" s="84"/>
      <c r="P28" s="84"/>
      <c r="Q28" s="84"/>
      <c r="R28" s="84"/>
      <c r="S28" s="84"/>
      <c r="T28" s="84"/>
      <c r="U28" s="84"/>
      <c r="V28" s="84"/>
      <c r="W28" s="84"/>
      <c r="X28" s="84"/>
      <c r="Y28" s="84"/>
      <c r="Z28" s="84"/>
      <c r="AA28" s="84"/>
      <c r="AB28" s="84"/>
      <c r="AC28" s="84"/>
      <c r="AD28" s="84"/>
      <c r="AE28" s="84"/>
      <c r="AF28" s="84"/>
      <c r="AG28" s="84"/>
      <c r="AH28" s="84"/>
      <c r="AI28" s="84"/>
      <c r="AJ28" s="84"/>
      <c r="AK28" s="84"/>
      <c r="AL28" s="84"/>
      <c r="AM28" s="84"/>
      <c r="AN28" s="84"/>
      <c r="AO28" s="84"/>
      <c r="AP28" s="84"/>
      <c r="AQ28" s="84"/>
      <c r="AR28" s="84"/>
      <c r="AS28" s="84"/>
      <c r="AT28" s="84"/>
      <c r="AU28" s="84"/>
      <c r="AV28" s="84"/>
      <c r="AW28" s="84"/>
      <c r="AX28" s="84"/>
      <c r="AY28" s="84"/>
      <c r="AZ28" s="84"/>
      <c r="BA28" s="84"/>
      <c r="BB28" s="84"/>
      <c r="BC28" s="84"/>
      <c r="BD28" s="84"/>
      <c r="BE28" s="84"/>
      <c r="BF28" s="84"/>
      <c r="BG28" s="84"/>
      <c r="BH28" s="84"/>
      <c r="BI28" s="84"/>
      <c r="BJ28" s="84"/>
      <c r="BK28" s="84"/>
      <c r="BL28" s="84"/>
      <c r="BM28" s="84"/>
    </row>
    <row r="29" spans="1:65" ht="14.1" customHeight="1" x14ac:dyDescent="0.2">
      <c r="A29" s="375"/>
      <c r="B29" s="378"/>
      <c r="C29" s="76" t="s">
        <v>0</v>
      </c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85"/>
      <c r="AM29" s="85"/>
      <c r="AN29" s="85"/>
      <c r="AO29" s="85"/>
      <c r="AP29" s="85"/>
      <c r="AQ29" s="85"/>
      <c r="AR29" s="85"/>
      <c r="AS29" s="85"/>
      <c r="AT29" s="85"/>
      <c r="AU29" s="85"/>
      <c r="AV29" s="85"/>
      <c r="AW29" s="85"/>
      <c r="AX29" s="85"/>
      <c r="AY29" s="85"/>
      <c r="AZ29" s="85"/>
      <c r="BA29" s="85"/>
      <c r="BB29" s="85"/>
      <c r="BC29" s="85"/>
      <c r="BD29" s="85"/>
      <c r="BE29" s="85"/>
      <c r="BF29" s="85"/>
      <c r="BG29" s="85"/>
      <c r="BH29" s="85"/>
      <c r="BI29" s="85"/>
      <c r="BJ29" s="85"/>
      <c r="BK29" s="85"/>
      <c r="BL29" s="85"/>
      <c r="BM29" s="85"/>
    </row>
    <row r="30" spans="1:65" ht="14.1" customHeight="1" x14ac:dyDescent="0.2">
      <c r="A30" s="375"/>
      <c r="B30" s="381"/>
      <c r="C30" s="78" t="s">
        <v>1</v>
      </c>
      <c r="D30" s="86"/>
      <c r="E30" s="86"/>
      <c r="F30" s="86"/>
      <c r="G30" s="86"/>
      <c r="H30" s="86"/>
      <c r="I30" s="86"/>
      <c r="J30" s="86"/>
      <c r="K30" s="86"/>
      <c r="L30" s="86"/>
      <c r="M30" s="86"/>
      <c r="N30" s="86"/>
      <c r="O30" s="86"/>
      <c r="P30" s="86"/>
      <c r="Q30" s="86"/>
      <c r="R30" s="86"/>
      <c r="S30" s="86"/>
      <c r="T30" s="86"/>
      <c r="U30" s="86"/>
      <c r="V30" s="86"/>
      <c r="W30" s="86"/>
      <c r="X30" s="86"/>
      <c r="Y30" s="86"/>
      <c r="Z30" s="86"/>
      <c r="AA30" s="86"/>
      <c r="AB30" s="86"/>
      <c r="AC30" s="86"/>
      <c r="AD30" s="86"/>
      <c r="AE30" s="86"/>
      <c r="AF30" s="86"/>
      <c r="AG30" s="86"/>
      <c r="AH30" s="86"/>
      <c r="AI30" s="86"/>
      <c r="AJ30" s="86"/>
      <c r="AK30" s="86"/>
      <c r="AL30" s="86"/>
      <c r="AM30" s="86"/>
      <c r="AN30" s="86"/>
      <c r="AO30" s="86"/>
      <c r="AP30" s="86"/>
      <c r="AQ30" s="86"/>
      <c r="AR30" s="86"/>
      <c r="AS30" s="86"/>
      <c r="AT30" s="86"/>
      <c r="AU30" s="86"/>
      <c r="AV30" s="86"/>
      <c r="AW30" s="86"/>
      <c r="AX30" s="86"/>
      <c r="AY30" s="86"/>
      <c r="AZ30" s="86"/>
      <c r="BA30" s="86"/>
      <c r="BB30" s="86"/>
      <c r="BC30" s="86"/>
      <c r="BD30" s="86"/>
      <c r="BE30" s="86"/>
      <c r="BF30" s="86"/>
      <c r="BG30" s="86"/>
      <c r="BH30" s="86"/>
      <c r="BI30" s="86"/>
      <c r="BJ30" s="86"/>
      <c r="BK30" s="86"/>
      <c r="BL30" s="86"/>
      <c r="BM30" s="86"/>
    </row>
    <row r="31" spans="1:65" ht="14.1" customHeight="1" x14ac:dyDescent="0.2">
      <c r="A31" s="375"/>
      <c r="B31" s="49">
        <v>25</v>
      </c>
      <c r="C31" s="50">
        <f>SUM(D31:AH31)</f>
        <v>0</v>
      </c>
      <c r="D31" s="87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7"/>
      <c r="S31" s="87"/>
      <c r="T31" s="87"/>
      <c r="U31" s="87"/>
      <c r="V31" s="87"/>
      <c r="W31" s="87"/>
      <c r="X31" s="87"/>
      <c r="Y31" s="87"/>
      <c r="Z31" s="87"/>
      <c r="AA31" s="87"/>
      <c r="AB31" s="87"/>
      <c r="AC31" s="87"/>
      <c r="AD31" s="87"/>
      <c r="AE31" s="87"/>
      <c r="AF31" s="87"/>
      <c r="AG31" s="87"/>
      <c r="AH31" s="87"/>
      <c r="AI31" s="87"/>
      <c r="AJ31" s="87"/>
      <c r="AK31" s="87"/>
      <c r="AL31" s="87"/>
      <c r="AM31" s="87"/>
      <c r="AN31" s="87"/>
      <c r="AO31" s="87"/>
      <c r="AP31" s="87"/>
      <c r="AQ31" s="87"/>
      <c r="AR31" s="87"/>
      <c r="AS31" s="87"/>
      <c r="AT31" s="87"/>
      <c r="AU31" s="87"/>
      <c r="AV31" s="87"/>
      <c r="AW31" s="87"/>
      <c r="AX31" s="87"/>
      <c r="AY31" s="87"/>
      <c r="AZ31" s="87"/>
      <c r="BA31" s="87"/>
      <c r="BB31" s="87"/>
      <c r="BC31" s="87"/>
      <c r="BD31" s="87"/>
      <c r="BE31" s="87"/>
      <c r="BF31" s="87"/>
      <c r="BG31" s="87"/>
      <c r="BH31" s="87"/>
      <c r="BI31" s="87"/>
      <c r="BJ31" s="87"/>
      <c r="BK31" s="87"/>
      <c r="BL31" s="87"/>
      <c r="BM31" s="87"/>
    </row>
    <row r="32" spans="1:65" ht="14.1" customHeight="1" x14ac:dyDescent="0.2">
      <c r="A32" s="376"/>
      <c r="B32" s="52">
        <v>8</v>
      </c>
      <c r="C32" s="53">
        <f>SUM(D32:AH32)</f>
        <v>11</v>
      </c>
      <c r="D32" s="88"/>
      <c r="E32" s="88">
        <v>11</v>
      </c>
      <c r="F32" s="88"/>
      <c r="G32" s="88"/>
      <c r="H32" s="88"/>
      <c r="I32" s="88"/>
      <c r="J32" s="88"/>
      <c r="K32" s="88"/>
      <c r="L32" s="88"/>
      <c r="M32" s="88"/>
      <c r="N32" s="88"/>
      <c r="O32" s="88"/>
      <c r="P32" s="88"/>
      <c r="Q32" s="88"/>
      <c r="R32" s="88"/>
      <c r="S32" s="88"/>
      <c r="T32" s="88"/>
      <c r="U32" s="88"/>
      <c r="V32" s="88"/>
      <c r="W32" s="88"/>
      <c r="X32" s="88"/>
      <c r="Y32" s="88"/>
      <c r="Z32" s="88"/>
      <c r="AA32" s="88"/>
      <c r="AB32" s="88"/>
      <c r="AC32" s="88"/>
      <c r="AD32" s="88"/>
      <c r="AE32" s="88"/>
      <c r="AF32" s="88"/>
      <c r="AG32" s="88"/>
      <c r="AH32" s="88"/>
      <c r="AI32" s="88"/>
      <c r="AJ32" s="88"/>
      <c r="AK32" s="88"/>
      <c r="AL32" s="88"/>
      <c r="AM32" s="88"/>
      <c r="AN32" s="88"/>
      <c r="AO32" s="88"/>
      <c r="AP32" s="88"/>
      <c r="AQ32" s="88"/>
      <c r="AR32" s="88"/>
      <c r="AS32" s="88"/>
      <c r="AT32" s="88"/>
      <c r="AU32" s="88"/>
      <c r="AV32" s="88"/>
      <c r="AW32" s="88"/>
      <c r="AX32" s="88"/>
      <c r="AY32" s="88"/>
      <c r="AZ32" s="88"/>
      <c r="BA32" s="88"/>
      <c r="BB32" s="88"/>
      <c r="BC32" s="88"/>
      <c r="BD32" s="88"/>
      <c r="BE32" s="88"/>
      <c r="BF32" s="88"/>
      <c r="BG32" s="88"/>
      <c r="BH32" s="88"/>
      <c r="BI32" s="88"/>
      <c r="BJ32" s="88"/>
      <c r="BK32" s="88"/>
      <c r="BL32" s="88"/>
      <c r="BM32" s="88"/>
    </row>
  </sheetData>
  <mergeCells count="8">
    <mergeCell ref="A5:A12"/>
    <mergeCell ref="A13:A32"/>
    <mergeCell ref="B13:B15"/>
    <mergeCell ref="B16:B18"/>
    <mergeCell ref="B19:B21"/>
    <mergeCell ref="B22:B24"/>
    <mergeCell ref="B25:B27"/>
    <mergeCell ref="B28:B30"/>
  </mergeCells>
  <conditionalFormatting sqref="B5:AH12">
    <cfRule type="expression" dxfId="563" priority="142">
      <formula>AND(ROW()=CELL("row"),COLUMN()=CELL("col"))</formula>
    </cfRule>
    <cfRule type="expression" dxfId="562" priority="143">
      <formula>ROW()=CELL("row")</formula>
    </cfRule>
    <cfRule type="expression" dxfId="561" priority="144">
      <formula>COLUMN()=CELL("col")</formula>
    </cfRule>
  </conditionalFormatting>
  <conditionalFormatting sqref="D5:AH12">
    <cfRule type="expression" dxfId="560" priority="141">
      <formula>WEEKDAY(D$2,2)&gt;6</formula>
    </cfRule>
  </conditionalFormatting>
  <conditionalFormatting sqref="AI5:AI12">
    <cfRule type="expression" dxfId="559" priority="122">
      <formula>AND(ROW()=CELL("row"),COLUMN()=CELL("col"))</formula>
    </cfRule>
    <cfRule type="expression" dxfId="558" priority="123">
      <formula>ROW()=CELL("row")</formula>
    </cfRule>
    <cfRule type="expression" dxfId="557" priority="124">
      <formula>COLUMN()=CELL("col")</formula>
    </cfRule>
  </conditionalFormatting>
  <conditionalFormatting sqref="AI5:AI12">
    <cfRule type="expression" dxfId="556" priority="121">
      <formula>WEEKDAY(AI$2,2)&gt;6</formula>
    </cfRule>
  </conditionalFormatting>
  <conditionalFormatting sqref="AJ5:AJ12">
    <cfRule type="expression" dxfId="555" priority="118">
      <formula>AND(ROW()=CELL("row"),COLUMN()=CELL("col"))</formula>
    </cfRule>
    <cfRule type="expression" dxfId="554" priority="119">
      <formula>ROW()=CELL("row")</formula>
    </cfRule>
    <cfRule type="expression" dxfId="553" priority="120">
      <formula>COLUMN()=CELL("col")</formula>
    </cfRule>
  </conditionalFormatting>
  <conditionalFormatting sqref="AJ5:AJ12">
    <cfRule type="expression" dxfId="552" priority="117">
      <formula>WEEKDAY(AJ$2,2)&gt;6</formula>
    </cfRule>
  </conditionalFormatting>
  <conditionalFormatting sqref="AK5:AK12">
    <cfRule type="expression" dxfId="551" priority="114">
      <formula>AND(ROW()=CELL("row"),COLUMN()=CELL("col"))</formula>
    </cfRule>
    <cfRule type="expression" dxfId="550" priority="115">
      <formula>ROW()=CELL("row")</formula>
    </cfRule>
    <cfRule type="expression" dxfId="549" priority="116">
      <formula>COLUMN()=CELL("col")</formula>
    </cfRule>
  </conditionalFormatting>
  <conditionalFormatting sqref="AK5:AK12">
    <cfRule type="expression" dxfId="548" priority="113">
      <formula>WEEKDAY(AK$2,2)&gt;6</formula>
    </cfRule>
  </conditionalFormatting>
  <conditionalFormatting sqref="AL5:AL12">
    <cfRule type="expression" dxfId="547" priority="110">
      <formula>AND(ROW()=CELL("row"),COLUMN()=CELL("col"))</formula>
    </cfRule>
    <cfRule type="expression" dxfId="546" priority="111">
      <formula>ROW()=CELL("row")</formula>
    </cfRule>
    <cfRule type="expression" dxfId="545" priority="112">
      <formula>COLUMN()=CELL("col")</formula>
    </cfRule>
  </conditionalFormatting>
  <conditionalFormatting sqref="AL5:AL12">
    <cfRule type="expression" dxfId="544" priority="109">
      <formula>WEEKDAY(AL$2,2)&gt;6</formula>
    </cfRule>
  </conditionalFormatting>
  <conditionalFormatting sqref="AM5:AM12">
    <cfRule type="expression" dxfId="543" priority="106">
      <formula>AND(ROW()=CELL("row"),COLUMN()=CELL("col"))</formula>
    </cfRule>
    <cfRule type="expression" dxfId="542" priority="107">
      <formula>ROW()=CELL("row")</formula>
    </cfRule>
    <cfRule type="expression" dxfId="541" priority="108">
      <formula>COLUMN()=CELL("col")</formula>
    </cfRule>
  </conditionalFormatting>
  <conditionalFormatting sqref="AM5:AM12">
    <cfRule type="expression" dxfId="540" priority="105">
      <formula>WEEKDAY(AM$2,2)&gt;6</formula>
    </cfRule>
  </conditionalFormatting>
  <conditionalFormatting sqref="AN5:AN12">
    <cfRule type="expression" dxfId="539" priority="102">
      <formula>AND(ROW()=CELL("row"),COLUMN()=CELL("col"))</formula>
    </cfRule>
    <cfRule type="expression" dxfId="538" priority="103">
      <formula>ROW()=CELL("row")</formula>
    </cfRule>
    <cfRule type="expression" dxfId="537" priority="104">
      <formula>COLUMN()=CELL("col")</formula>
    </cfRule>
  </conditionalFormatting>
  <conditionalFormatting sqref="AN5:AN12">
    <cfRule type="expression" dxfId="536" priority="101">
      <formula>WEEKDAY(AN$2,2)&gt;6</formula>
    </cfRule>
  </conditionalFormatting>
  <conditionalFormatting sqref="AO5:AO12">
    <cfRule type="expression" dxfId="535" priority="98">
      <formula>AND(ROW()=CELL("row"),COLUMN()=CELL("col"))</formula>
    </cfRule>
    <cfRule type="expression" dxfId="534" priority="99">
      <formula>ROW()=CELL("row")</formula>
    </cfRule>
    <cfRule type="expression" dxfId="533" priority="100">
      <formula>COLUMN()=CELL("col")</formula>
    </cfRule>
  </conditionalFormatting>
  <conditionalFormatting sqref="AO5:AO12">
    <cfRule type="expression" dxfId="532" priority="97">
      <formula>WEEKDAY(AO$2,2)&gt;6</formula>
    </cfRule>
  </conditionalFormatting>
  <conditionalFormatting sqref="AP5:AP12">
    <cfRule type="expression" dxfId="531" priority="94">
      <formula>AND(ROW()=CELL("row"),COLUMN()=CELL("col"))</formula>
    </cfRule>
    <cfRule type="expression" dxfId="530" priority="95">
      <formula>ROW()=CELL("row")</formula>
    </cfRule>
    <cfRule type="expression" dxfId="529" priority="96">
      <formula>COLUMN()=CELL("col")</formula>
    </cfRule>
  </conditionalFormatting>
  <conditionalFormatting sqref="AP5:AP12">
    <cfRule type="expression" dxfId="528" priority="93">
      <formula>WEEKDAY(AP$2,2)&gt;6</formula>
    </cfRule>
  </conditionalFormatting>
  <conditionalFormatting sqref="AQ5:AQ12">
    <cfRule type="expression" dxfId="527" priority="90">
      <formula>AND(ROW()=CELL("row"),COLUMN()=CELL("col"))</formula>
    </cfRule>
    <cfRule type="expression" dxfId="526" priority="91">
      <formula>ROW()=CELL("row")</formula>
    </cfRule>
    <cfRule type="expression" dxfId="525" priority="92">
      <formula>COLUMN()=CELL("col")</formula>
    </cfRule>
  </conditionalFormatting>
  <conditionalFormatting sqref="AQ5:AQ12">
    <cfRule type="expression" dxfId="524" priority="89">
      <formula>WEEKDAY(AQ$2,2)&gt;6</formula>
    </cfRule>
  </conditionalFormatting>
  <conditionalFormatting sqref="AR5:AR12">
    <cfRule type="expression" dxfId="523" priority="86">
      <formula>AND(ROW()=CELL("row"),COLUMN()=CELL("col"))</formula>
    </cfRule>
    <cfRule type="expression" dxfId="522" priority="87">
      <formula>ROW()=CELL("row")</formula>
    </cfRule>
    <cfRule type="expression" dxfId="521" priority="88">
      <formula>COLUMN()=CELL("col")</formula>
    </cfRule>
  </conditionalFormatting>
  <conditionalFormatting sqref="AR5:AR12">
    <cfRule type="expression" dxfId="520" priority="85">
      <formula>WEEKDAY(AR$2,2)&gt;6</formula>
    </cfRule>
  </conditionalFormatting>
  <conditionalFormatting sqref="AS5:AS12">
    <cfRule type="expression" dxfId="519" priority="82">
      <formula>AND(ROW()=CELL("row"),COLUMN()=CELL("col"))</formula>
    </cfRule>
    <cfRule type="expression" dxfId="518" priority="83">
      <formula>ROW()=CELL("row")</formula>
    </cfRule>
    <cfRule type="expression" dxfId="517" priority="84">
      <formula>COLUMN()=CELL("col")</formula>
    </cfRule>
  </conditionalFormatting>
  <conditionalFormatting sqref="AS5:AS12">
    <cfRule type="expression" dxfId="516" priority="81">
      <formula>WEEKDAY(AS$2,2)&gt;6</formula>
    </cfRule>
  </conditionalFormatting>
  <conditionalFormatting sqref="AT5:AT12">
    <cfRule type="expression" dxfId="515" priority="78">
      <formula>AND(ROW()=CELL("row"),COLUMN()=CELL("col"))</formula>
    </cfRule>
    <cfRule type="expression" dxfId="514" priority="79">
      <formula>ROW()=CELL("row")</formula>
    </cfRule>
    <cfRule type="expression" dxfId="513" priority="80">
      <formula>COLUMN()=CELL("col")</formula>
    </cfRule>
  </conditionalFormatting>
  <conditionalFormatting sqref="AT5:AT12">
    <cfRule type="expression" dxfId="512" priority="77">
      <formula>WEEKDAY(AT$2,2)&gt;6</formula>
    </cfRule>
  </conditionalFormatting>
  <conditionalFormatting sqref="AU5:AU12">
    <cfRule type="expression" dxfId="511" priority="74">
      <formula>AND(ROW()=CELL("row"),COLUMN()=CELL("col"))</formula>
    </cfRule>
    <cfRule type="expression" dxfId="510" priority="75">
      <formula>ROW()=CELL("row")</formula>
    </cfRule>
    <cfRule type="expression" dxfId="509" priority="76">
      <formula>COLUMN()=CELL("col")</formula>
    </cfRule>
  </conditionalFormatting>
  <conditionalFormatting sqref="AU5:AU12">
    <cfRule type="expression" dxfId="508" priority="73">
      <formula>WEEKDAY(AU$2,2)&gt;6</formula>
    </cfRule>
  </conditionalFormatting>
  <conditionalFormatting sqref="AV5:AV12">
    <cfRule type="expression" dxfId="507" priority="70">
      <formula>AND(ROW()=CELL("row"),COLUMN()=CELL("col"))</formula>
    </cfRule>
    <cfRule type="expression" dxfId="506" priority="71">
      <formula>ROW()=CELL("row")</formula>
    </cfRule>
    <cfRule type="expression" dxfId="505" priority="72">
      <formula>COLUMN()=CELL("col")</formula>
    </cfRule>
  </conditionalFormatting>
  <conditionalFormatting sqref="AV5:AV12">
    <cfRule type="expression" dxfId="504" priority="69">
      <formula>WEEKDAY(AV$2,2)&gt;6</formula>
    </cfRule>
  </conditionalFormatting>
  <conditionalFormatting sqref="AW5:AW12">
    <cfRule type="expression" dxfId="503" priority="66">
      <formula>AND(ROW()=CELL("row"),COLUMN()=CELL("col"))</formula>
    </cfRule>
    <cfRule type="expression" dxfId="502" priority="67">
      <formula>ROW()=CELL("row")</formula>
    </cfRule>
    <cfRule type="expression" dxfId="501" priority="68">
      <formula>COLUMN()=CELL("col")</formula>
    </cfRule>
  </conditionalFormatting>
  <conditionalFormatting sqref="AW5:AW12">
    <cfRule type="expression" dxfId="500" priority="65">
      <formula>WEEKDAY(AW$2,2)&gt;6</formula>
    </cfRule>
  </conditionalFormatting>
  <conditionalFormatting sqref="AX5:AX12">
    <cfRule type="expression" dxfId="499" priority="62">
      <formula>AND(ROW()=CELL("row"),COLUMN()=CELL("col"))</formula>
    </cfRule>
    <cfRule type="expression" dxfId="498" priority="63">
      <formula>ROW()=CELL("row")</formula>
    </cfRule>
    <cfRule type="expression" dxfId="497" priority="64">
      <formula>COLUMN()=CELL("col")</formula>
    </cfRule>
  </conditionalFormatting>
  <conditionalFormatting sqref="AX5:AX12">
    <cfRule type="expression" dxfId="496" priority="61">
      <formula>WEEKDAY(AX$2,2)&gt;6</formula>
    </cfRule>
  </conditionalFormatting>
  <conditionalFormatting sqref="AY5:AY12">
    <cfRule type="expression" dxfId="495" priority="58">
      <formula>AND(ROW()=CELL("row"),COLUMN()=CELL("col"))</formula>
    </cfRule>
    <cfRule type="expression" dxfId="494" priority="59">
      <formula>ROW()=CELL("row")</formula>
    </cfRule>
    <cfRule type="expression" dxfId="493" priority="60">
      <formula>COLUMN()=CELL("col")</formula>
    </cfRule>
  </conditionalFormatting>
  <conditionalFormatting sqref="AY5:AY12">
    <cfRule type="expression" dxfId="492" priority="57">
      <formula>WEEKDAY(AY$2,2)&gt;6</formula>
    </cfRule>
  </conditionalFormatting>
  <conditionalFormatting sqref="AZ5:AZ12">
    <cfRule type="expression" dxfId="491" priority="54">
      <formula>AND(ROW()=CELL("row"),COLUMN()=CELL("col"))</formula>
    </cfRule>
    <cfRule type="expression" dxfId="490" priority="55">
      <formula>ROW()=CELL("row")</formula>
    </cfRule>
    <cfRule type="expression" dxfId="489" priority="56">
      <formula>COLUMN()=CELL("col")</formula>
    </cfRule>
  </conditionalFormatting>
  <conditionalFormatting sqref="AZ5:AZ12">
    <cfRule type="expression" dxfId="488" priority="53">
      <formula>WEEKDAY(AZ$2,2)&gt;6</formula>
    </cfRule>
  </conditionalFormatting>
  <conditionalFormatting sqref="BA5:BA12">
    <cfRule type="expression" dxfId="487" priority="50">
      <formula>AND(ROW()=CELL("row"),COLUMN()=CELL("col"))</formula>
    </cfRule>
    <cfRule type="expression" dxfId="486" priority="51">
      <formula>ROW()=CELL("row")</formula>
    </cfRule>
    <cfRule type="expression" dxfId="485" priority="52">
      <formula>COLUMN()=CELL("col")</formula>
    </cfRule>
  </conditionalFormatting>
  <conditionalFormatting sqref="BA5:BA12">
    <cfRule type="expression" dxfId="484" priority="49">
      <formula>WEEKDAY(BA$2,2)&gt;6</formula>
    </cfRule>
  </conditionalFormatting>
  <conditionalFormatting sqref="BB5:BB12">
    <cfRule type="expression" dxfId="483" priority="46">
      <formula>AND(ROW()=CELL("row"),COLUMN()=CELL("col"))</formula>
    </cfRule>
    <cfRule type="expression" dxfId="482" priority="47">
      <formula>ROW()=CELL("row")</formula>
    </cfRule>
    <cfRule type="expression" dxfId="481" priority="48">
      <formula>COLUMN()=CELL("col")</formula>
    </cfRule>
  </conditionalFormatting>
  <conditionalFormatting sqref="BB5:BB12">
    <cfRule type="expression" dxfId="480" priority="45">
      <formula>WEEKDAY(BB$2,2)&gt;6</formula>
    </cfRule>
  </conditionalFormatting>
  <conditionalFormatting sqref="BC5:BC12">
    <cfRule type="expression" dxfId="479" priority="42">
      <formula>AND(ROW()=CELL("row"),COLUMN()=CELL("col"))</formula>
    </cfRule>
    <cfRule type="expression" dxfId="478" priority="43">
      <formula>ROW()=CELL("row")</formula>
    </cfRule>
    <cfRule type="expression" dxfId="477" priority="44">
      <formula>COLUMN()=CELL("col")</formula>
    </cfRule>
  </conditionalFormatting>
  <conditionalFormatting sqref="BC5:BC12">
    <cfRule type="expression" dxfId="476" priority="41">
      <formula>WEEKDAY(BC$2,2)&gt;6</formula>
    </cfRule>
  </conditionalFormatting>
  <conditionalFormatting sqref="BD5:BD12">
    <cfRule type="expression" dxfId="475" priority="38">
      <formula>AND(ROW()=CELL("row"),COLUMN()=CELL("col"))</formula>
    </cfRule>
    <cfRule type="expression" dxfId="474" priority="39">
      <formula>ROW()=CELL("row")</formula>
    </cfRule>
    <cfRule type="expression" dxfId="473" priority="40">
      <formula>COLUMN()=CELL("col")</formula>
    </cfRule>
  </conditionalFormatting>
  <conditionalFormatting sqref="BD5:BD12">
    <cfRule type="expression" dxfId="472" priority="37">
      <formula>WEEKDAY(BD$2,2)&gt;6</formula>
    </cfRule>
  </conditionalFormatting>
  <conditionalFormatting sqref="BE5:BE12">
    <cfRule type="expression" dxfId="471" priority="34">
      <formula>AND(ROW()=CELL("row"),COLUMN()=CELL("col"))</formula>
    </cfRule>
    <cfRule type="expression" dxfId="470" priority="35">
      <formula>ROW()=CELL("row")</formula>
    </cfRule>
    <cfRule type="expression" dxfId="469" priority="36">
      <formula>COLUMN()=CELL("col")</formula>
    </cfRule>
  </conditionalFormatting>
  <conditionalFormatting sqref="BE5:BE12">
    <cfRule type="expression" dxfId="468" priority="33">
      <formula>WEEKDAY(BE$2,2)&gt;6</formula>
    </cfRule>
  </conditionalFormatting>
  <conditionalFormatting sqref="BF5:BF12">
    <cfRule type="expression" dxfId="467" priority="30">
      <formula>AND(ROW()=CELL("row"),COLUMN()=CELL("col"))</formula>
    </cfRule>
    <cfRule type="expression" dxfId="466" priority="31">
      <formula>ROW()=CELL("row")</formula>
    </cfRule>
    <cfRule type="expression" dxfId="465" priority="32">
      <formula>COLUMN()=CELL("col")</formula>
    </cfRule>
  </conditionalFormatting>
  <conditionalFormatting sqref="BF5:BF12">
    <cfRule type="expression" dxfId="464" priority="29">
      <formula>WEEKDAY(BF$2,2)&gt;6</formula>
    </cfRule>
  </conditionalFormatting>
  <conditionalFormatting sqref="BG5:BG12">
    <cfRule type="expression" dxfId="463" priority="26">
      <formula>AND(ROW()=CELL("row"),COLUMN()=CELL("col"))</formula>
    </cfRule>
    <cfRule type="expression" dxfId="462" priority="27">
      <formula>ROW()=CELL("row")</formula>
    </cfRule>
    <cfRule type="expression" dxfId="461" priority="28">
      <formula>COLUMN()=CELL("col")</formula>
    </cfRule>
  </conditionalFormatting>
  <conditionalFormatting sqref="BG5:BG12">
    <cfRule type="expression" dxfId="460" priority="25">
      <formula>WEEKDAY(BG$2,2)&gt;6</formula>
    </cfRule>
  </conditionalFormatting>
  <conditionalFormatting sqref="BH5:BH12">
    <cfRule type="expression" dxfId="459" priority="22">
      <formula>AND(ROW()=CELL("row"),COLUMN()=CELL("col"))</formula>
    </cfRule>
    <cfRule type="expression" dxfId="458" priority="23">
      <formula>ROW()=CELL("row")</formula>
    </cfRule>
    <cfRule type="expression" dxfId="457" priority="24">
      <formula>COLUMN()=CELL("col")</formula>
    </cfRule>
  </conditionalFormatting>
  <conditionalFormatting sqref="BH5:BH12">
    <cfRule type="expression" dxfId="456" priority="21">
      <formula>WEEKDAY(BH$2,2)&gt;6</formula>
    </cfRule>
  </conditionalFormatting>
  <conditionalFormatting sqref="BI5:BI12">
    <cfRule type="expression" dxfId="455" priority="18">
      <formula>AND(ROW()=CELL("row"),COLUMN()=CELL("col"))</formula>
    </cfRule>
    <cfRule type="expression" dxfId="454" priority="19">
      <formula>ROW()=CELL("row")</formula>
    </cfRule>
    <cfRule type="expression" dxfId="453" priority="20">
      <formula>COLUMN()=CELL("col")</formula>
    </cfRule>
  </conditionalFormatting>
  <conditionalFormatting sqref="BI5:BI12">
    <cfRule type="expression" dxfId="452" priority="17">
      <formula>WEEKDAY(BI$2,2)&gt;6</formula>
    </cfRule>
  </conditionalFormatting>
  <conditionalFormatting sqref="BJ5:BJ12">
    <cfRule type="expression" dxfId="451" priority="14">
      <formula>AND(ROW()=CELL("row"),COLUMN()=CELL("col"))</formula>
    </cfRule>
    <cfRule type="expression" dxfId="450" priority="15">
      <formula>ROW()=CELL("row")</formula>
    </cfRule>
    <cfRule type="expression" dxfId="449" priority="16">
      <formula>COLUMN()=CELL("col")</formula>
    </cfRule>
  </conditionalFormatting>
  <conditionalFormatting sqref="BJ5:BJ12">
    <cfRule type="expression" dxfId="448" priority="13">
      <formula>WEEKDAY(BJ$2,2)&gt;6</formula>
    </cfRule>
  </conditionalFormatting>
  <conditionalFormatting sqref="BK5:BK12">
    <cfRule type="expression" dxfId="447" priority="10">
      <formula>AND(ROW()=CELL("row"),COLUMN()=CELL("col"))</formula>
    </cfRule>
    <cfRule type="expression" dxfId="446" priority="11">
      <formula>ROW()=CELL("row")</formula>
    </cfRule>
    <cfRule type="expression" dxfId="445" priority="12">
      <formula>COLUMN()=CELL("col")</formula>
    </cfRule>
  </conditionalFormatting>
  <conditionalFormatting sqref="BK5:BK12">
    <cfRule type="expression" dxfId="444" priority="9">
      <formula>WEEKDAY(BK$2,2)&gt;6</formula>
    </cfRule>
  </conditionalFormatting>
  <conditionalFormatting sqref="BL5:BL12">
    <cfRule type="expression" dxfId="443" priority="6">
      <formula>AND(ROW()=CELL("row"),COLUMN()=CELL("col"))</formula>
    </cfRule>
    <cfRule type="expression" dxfId="442" priority="7">
      <formula>ROW()=CELL("row")</formula>
    </cfRule>
    <cfRule type="expression" dxfId="441" priority="8">
      <formula>COLUMN()=CELL("col")</formula>
    </cfRule>
  </conditionalFormatting>
  <conditionalFormatting sqref="BL5:BL12">
    <cfRule type="expression" dxfId="440" priority="5">
      <formula>WEEKDAY(BL$2,2)&gt;6</formula>
    </cfRule>
  </conditionalFormatting>
  <conditionalFormatting sqref="BM5:BM12">
    <cfRule type="expression" dxfId="439" priority="2">
      <formula>AND(ROW()=CELL("row"),COLUMN()=CELL("col"))</formula>
    </cfRule>
    <cfRule type="expression" dxfId="438" priority="3">
      <formula>ROW()=CELL("row")</formula>
    </cfRule>
    <cfRule type="expression" dxfId="437" priority="4">
      <formula>COLUMN()=CELL("col")</formula>
    </cfRule>
  </conditionalFormatting>
  <conditionalFormatting sqref="BM5:BM12">
    <cfRule type="expression" dxfId="436" priority="1">
      <formula>WEEKDAY(BM$2,2)&gt;6</formula>
    </cfRule>
  </conditionalFormatting>
  <pageMargins left="0.7" right="0.7" top="0.75" bottom="0.75" header="0.3" footer="0.3"/>
  <pageSetup paperSize="9" scale="60" orientation="portrait" r:id="rId1"/>
  <colBreaks count="1" manualBreakCount="1">
    <brk id="34" max="1048575" man="1"/>
  </colBreaks>
  <ignoredErrors>
    <ignoredError sqref="I7:T7 H10 R9:T9 X9 D7" formulaRange="1"/>
  </ignoredErrors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BDFFDB"/>
  </sheetPr>
  <dimension ref="A1:BL41"/>
  <sheetViews>
    <sheetView workbookViewId="0">
      <selection activeCell="A2" sqref="A2:Q14"/>
    </sheetView>
  </sheetViews>
  <sheetFormatPr defaultColWidth="9.140625" defaultRowHeight="15.75" x14ac:dyDescent="0.2"/>
  <cols>
    <col min="1" max="1" width="6.85546875" style="35" customWidth="1"/>
    <col min="2" max="2" width="6.140625" style="35" customWidth="1"/>
    <col min="3" max="3" width="9" style="35" bestFit="1" customWidth="1"/>
    <col min="4" max="10" width="7.5703125" style="35" hidden="1" customWidth="1"/>
    <col min="11" max="53" width="7.5703125" style="35" customWidth="1"/>
    <col min="54" max="64" width="7.5703125" style="35" bestFit="1" customWidth="1"/>
    <col min="65" max="16384" width="9.140625" style="35"/>
  </cols>
  <sheetData>
    <row r="1" spans="1:64" ht="3.75" customHeight="1" x14ac:dyDescent="0.2"/>
    <row r="2" spans="1:64" ht="30" customHeight="1" x14ac:dyDescent="0.2">
      <c r="A2" s="55">
        <v>5</v>
      </c>
      <c r="B2" s="55">
        <v>2023</v>
      </c>
      <c r="C2" s="36" t="s">
        <v>7</v>
      </c>
      <c r="D2" s="37">
        <f>DATE(B2,A2,1)</f>
        <v>45047</v>
      </c>
      <c r="E2" s="37">
        <f>D2+1</f>
        <v>45048</v>
      </c>
      <c r="F2" s="37">
        <f t="shared" ref="F2:BL2" si="0">E2+1</f>
        <v>45049</v>
      </c>
      <c r="G2" s="37">
        <f t="shared" si="0"/>
        <v>45050</v>
      </c>
      <c r="H2" s="37">
        <f t="shared" si="0"/>
        <v>45051</v>
      </c>
      <c r="I2" s="37">
        <f t="shared" si="0"/>
        <v>45052</v>
      </c>
      <c r="J2" s="37">
        <f t="shared" si="0"/>
        <v>45053</v>
      </c>
      <c r="K2" s="37">
        <f t="shared" si="0"/>
        <v>45054</v>
      </c>
      <c r="L2" s="37">
        <f t="shared" si="0"/>
        <v>45055</v>
      </c>
      <c r="M2" s="37">
        <f t="shared" si="0"/>
        <v>45056</v>
      </c>
      <c r="N2" s="37">
        <f t="shared" si="0"/>
        <v>45057</v>
      </c>
      <c r="O2" s="37">
        <f t="shared" si="0"/>
        <v>45058</v>
      </c>
      <c r="P2" s="37">
        <f t="shared" si="0"/>
        <v>45059</v>
      </c>
      <c r="Q2" s="37">
        <f t="shared" si="0"/>
        <v>45060</v>
      </c>
      <c r="R2" s="37">
        <f t="shared" si="0"/>
        <v>45061</v>
      </c>
      <c r="S2" s="37">
        <f t="shared" si="0"/>
        <v>45062</v>
      </c>
      <c r="T2" s="37">
        <f t="shared" si="0"/>
        <v>45063</v>
      </c>
      <c r="U2" s="37">
        <f t="shared" si="0"/>
        <v>45064</v>
      </c>
      <c r="V2" s="37">
        <f t="shared" si="0"/>
        <v>45065</v>
      </c>
      <c r="W2" s="37">
        <f t="shared" si="0"/>
        <v>45066</v>
      </c>
      <c r="X2" s="37">
        <f t="shared" si="0"/>
        <v>45067</v>
      </c>
      <c r="Y2" s="37">
        <f t="shared" si="0"/>
        <v>45068</v>
      </c>
      <c r="Z2" s="37">
        <f t="shared" si="0"/>
        <v>45069</v>
      </c>
      <c r="AA2" s="37">
        <f t="shared" si="0"/>
        <v>45070</v>
      </c>
      <c r="AB2" s="37">
        <f t="shared" si="0"/>
        <v>45071</v>
      </c>
      <c r="AC2" s="37">
        <f t="shared" si="0"/>
        <v>45072</v>
      </c>
      <c r="AD2" s="37">
        <f t="shared" si="0"/>
        <v>45073</v>
      </c>
      <c r="AE2" s="37">
        <f t="shared" si="0"/>
        <v>45074</v>
      </c>
      <c r="AF2" s="37">
        <f t="shared" si="0"/>
        <v>45075</v>
      </c>
      <c r="AG2" s="37">
        <f t="shared" si="0"/>
        <v>45076</v>
      </c>
      <c r="AH2" s="37">
        <f t="shared" si="0"/>
        <v>45077</v>
      </c>
      <c r="AI2" s="37">
        <f t="shared" si="0"/>
        <v>45078</v>
      </c>
      <c r="AJ2" s="37">
        <f t="shared" si="0"/>
        <v>45079</v>
      </c>
      <c r="AK2" s="37">
        <f t="shared" si="0"/>
        <v>45080</v>
      </c>
      <c r="AL2" s="37">
        <f t="shared" si="0"/>
        <v>45081</v>
      </c>
      <c r="AM2" s="37">
        <f t="shared" si="0"/>
        <v>45082</v>
      </c>
      <c r="AN2" s="37">
        <f t="shared" si="0"/>
        <v>45083</v>
      </c>
      <c r="AO2" s="37">
        <f t="shared" si="0"/>
        <v>45084</v>
      </c>
      <c r="AP2" s="37">
        <f t="shared" si="0"/>
        <v>45085</v>
      </c>
      <c r="AQ2" s="37">
        <f t="shared" si="0"/>
        <v>45086</v>
      </c>
      <c r="AR2" s="37">
        <f t="shared" si="0"/>
        <v>45087</v>
      </c>
      <c r="AS2" s="37">
        <f t="shared" si="0"/>
        <v>45088</v>
      </c>
      <c r="AT2" s="37">
        <f t="shared" si="0"/>
        <v>45089</v>
      </c>
      <c r="AU2" s="37">
        <f t="shared" si="0"/>
        <v>45090</v>
      </c>
      <c r="AV2" s="37">
        <f t="shared" si="0"/>
        <v>45091</v>
      </c>
      <c r="AW2" s="37">
        <f t="shared" si="0"/>
        <v>45092</v>
      </c>
      <c r="AX2" s="37">
        <f t="shared" si="0"/>
        <v>45093</v>
      </c>
      <c r="AY2" s="37">
        <f t="shared" si="0"/>
        <v>45094</v>
      </c>
      <c r="AZ2" s="37">
        <f t="shared" si="0"/>
        <v>45095</v>
      </c>
      <c r="BA2" s="37">
        <f t="shared" si="0"/>
        <v>45096</v>
      </c>
      <c r="BB2" s="37">
        <f t="shared" si="0"/>
        <v>45097</v>
      </c>
      <c r="BC2" s="37">
        <f t="shared" si="0"/>
        <v>45098</v>
      </c>
      <c r="BD2" s="37">
        <f t="shared" si="0"/>
        <v>45099</v>
      </c>
      <c r="BE2" s="37">
        <f t="shared" si="0"/>
        <v>45100</v>
      </c>
      <c r="BF2" s="37">
        <f t="shared" si="0"/>
        <v>45101</v>
      </c>
      <c r="BG2" s="37">
        <f t="shared" si="0"/>
        <v>45102</v>
      </c>
      <c r="BH2" s="37">
        <f t="shared" si="0"/>
        <v>45103</v>
      </c>
      <c r="BI2" s="37">
        <f t="shared" si="0"/>
        <v>45104</v>
      </c>
      <c r="BJ2" s="37">
        <f t="shared" si="0"/>
        <v>45105</v>
      </c>
      <c r="BK2" s="37">
        <f t="shared" si="0"/>
        <v>45106</v>
      </c>
      <c r="BL2" s="37">
        <f t="shared" si="0"/>
        <v>45107</v>
      </c>
    </row>
    <row r="3" spans="1:64" ht="24.95" customHeight="1" x14ac:dyDescent="0.2">
      <c r="A3" s="38" t="s">
        <v>15</v>
      </c>
      <c r="B3" s="39"/>
      <c r="C3" s="40"/>
      <c r="D3" s="41" t="str">
        <f>IF(WEEKDAY(D2)=1,"CN","T"&amp;WEEKDAY(D2))</f>
        <v>T2</v>
      </c>
      <c r="E3" s="41" t="str">
        <f t="shared" ref="E3:AH3" si="1">IF(WEEKDAY(E2)=1,"CN","T"&amp;WEEKDAY(E2))</f>
        <v>T3</v>
      </c>
      <c r="F3" s="41" t="str">
        <f t="shared" si="1"/>
        <v>T4</v>
      </c>
      <c r="G3" s="41" t="str">
        <f t="shared" si="1"/>
        <v>T5</v>
      </c>
      <c r="H3" s="41" t="str">
        <f t="shared" si="1"/>
        <v>T6</v>
      </c>
      <c r="I3" s="41" t="str">
        <f t="shared" si="1"/>
        <v>T7</v>
      </c>
      <c r="J3" s="41" t="str">
        <f t="shared" si="1"/>
        <v>CN</v>
      </c>
      <c r="K3" s="41" t="str">
        <f t="shared" si="1"/>
        <v>T2</v>
      </c>
      <c r="L3" s="41" t="str">
        <f t="shared" si="1"/>
        <v>T3</v>
      </c>
      <c r="M3" s="41" t="str">
        <f t="shared" si="1"/>
        <v>T4</v>
      </c>
      <c r="N3" s="41" t="str">
        <f t="shared" si="1"/>
        <v>T5</v>
      </c>
      <c r="O3" s="41" t="str">
        <f t="shared" si="1"/>
        <v>T6</v>
      </c>
      <c r="P3" s="41" t="str">
        <f t="shared" si="1"/>
        <v>T7</v>
      </c>
      <c r="Q3" s="41" t="str">
        <f t="shared" si="1"/>
        <v>CN</v>
      </c>
      <c r="R3" s="41" t="str">
        <f t="shared" si="1"/>
        <v>T2</v>
      </c>
      <c r="S3" s="41" t="str">
        <f t="shared" si="1"/>
        <v>T3</v>
      </c>
      <c r="T3" s="41" t="str">
        <f t="shared" si="1"/>
        <v>T4</v>
      </c>
      <c r="U3" s="41" t="str">
        <f t="shared" si="1"/>
        <v>T5</v>
      </c>
      <c r="V3" s="41" t="str">
        <f t="shared" si="1"/>
        <v>T6</v>
      </c>
      <c r="W3" s="41" t="str">
        <f t="shared" si="1"/>
        <v>T7</v>
      </c>
      <c r="X3" s="41" t="str">
        <f t="shared" si="1"/>
        <v>CN</v>
      </c>
      <c r="Y3" s="41" t="str">
        <f t="shared" si="1"/>
        <v>T2</v>
      </c>
      <c r="Z3" s="41" t="str">
        <f t="shared" si="1"/>
        <v>T3</v>
      </c>
      <c r="AA3" s="41" t="str">
        <f t="shared" si="1"/>
        <v>T4</v>
      </c>
      <c r="AB3" s="41" t="str">
        <f t="shared" si="1"/>
        <v>T5</v>
      </c>
      <c r="AC3" s="41" t="str">
        <f t="shared" si="1"/>
        <v>T6</v>
      </c>
      <c r="AD3" s="41" t="str">
        <f t="shared" si="1"/>
        <v>T7</v>
      </c>
      <c r="AE3" s="41" t="str">
        <f t="shared" si="1"/>
        <v>CN</v>
      </c>
      <c r="AF3" s="41" t="str">
        <f t="shared" si="1"/>
        <v>T2</v>
      </c>
      <c r="AG3" s="41" t="str">
        <f t="shared" si="1"/>
        <v>T3</v>
      </c>
      <c r="AH3" s="41" t="str">
        <f t="shared" si="1"/>
        <v>T4</v>
      </c>
      <c r="AI3" s="134" t="str">
        <f t="shared" ref="AI3:BL3" si="2">IF(WEEKDAY(AI2)=1,"CN","T"&amp;WEEKDAY(AI2))</f>
        <v>T5</v>
      </c>
      <c r="AJ3" s="134" t="str">
        <f t="shared" si="2"/>
        <v>T6</v>
      </c>
      <c r="AK3" s="134" t="str">
        <f t="shared" si="2"/>
        <v>T7</v>
      </c>
      <c r="AL3" s="134" t="str">
        <f t="shared" si="2"/>
        <v>CN</v>
      </c>
      <c r="AM3" s="134" t="str">
        <f t="shared" si="2"/>
        <v>T2</v>
      </c>
      <c r="AN3" s="134" t="str">
        <f t="shared" si="2"/>
        <v>T3</v>
      </c>
      <c r="AO3" s="134" t="str">
        <f t="shared" si="2"/>
        <v>T4</v>
      </c>
      <c r="AP3" s="134" t="str">
        <f t="shared" si="2"/>
        <v>T5</v>
      </c>
      <c r="AQ3" s="134" t="str">
        <f t="shared" si="2"/>
        <v>T6</v>
      </c>
      <c r="AR3" s="134" t="str">
        <f t="shared" si="2"/>
        <v>T7</v>
      </c>
      <c r="AS3" s="134" t="str">
        <f t="shared" si="2"/>
        <v>CN</v>
      </c>
      <c r="AT3" s="134" t="str">
        <f t="shared" si="2"/>
        <v>T2</v>
      </c>
      <c r="AU3" s="134" t="str">
        <f t="shared" si="2"/>
        <v>T3</v>
      </c>
      <c r="AV3" s="134" t="str">
        <f t="shared" si="2"/>
        <v>T4</v>
      </c>
      <c r="AW3" s="134" t="str">
        <f t="shared" si="2"/>
        <v>T5</v>
      </c>
      <c r="AX3" s="134" t="str">
        <f t="shared" si="2"/>
        <v>T6</v>
      </c>
      <c r="AY3" s="134" t="str">
        <f t="shared" si="2"/>
        <v>T7</v>
      </c>
      <c r="AZ3" s="134" t="str">
        <f t="shared" si="2"/>
        <v>CN</v>
      </c>
      <c r="BA3" s="134" t="str">
        <f t="shared" si="2"/>
        <v>T2</v>
      </c>
      <c r="BB3" s="134" t="str">
        <f t="shared" si="2"/>
        <v>T3</v>
      </c>
      <c r="BC3" s="134" t="str">
        <f t="shared" si="2"/>
        <v>T4</v>
      </c>
      <c r="BD3" s="134" t="str">
        <f t="shared" si="2"/>
        <v>T5</v>
      </c>
      <c r="BE3" s="134" t="str">
        <f t="shared" si="2"/>
        <v>T6</v>
      </c>
      <c r="BF3" s="134" t="str">
        <f t="shared" si="2"/>
        <v>T7</v>
      </c>
      <c r="BG3" s="134" t="str">
        <f t="shared" si="2"/>
        <v>CN</v>
      </c>
      <c r="BH3" s="134" t="str">
        <f t="shared" si="2"/>
        <v>T2</v>
      </c>
      <c r="BI3" s="134" t="str">
        <f t="shared" si="2"/>
        <v>T3</v>
      </c>
      <c r="BJ3" s="134" t="str">
        <f t="shared" si="2"/>
        <v>T4</v>
      </c>
      <c r="BK3" s="134" t="str">
        <f t="shared" si="2"/>
        <v>T5</v>
      </c>
      <c r="BL3" s="134" t="str">
        <f t="shared" si="2"/>
        <v>T6</v>
      </c>
    </row>
    <row r="4" spans="1:64" ht="20.100000000000001" customHeight="1" x14ac:dyDescent="0.2">
      <c r="A4" s="42">
        <f>SUM(D4:AH4)</f>
        <v>777</v>
      </c>
      <c r="B4" s="43"/>
      <c r="C4" s="44"/>
      <c r="D4" s="45">
        <f t="shared" ref="D4:AH4" si="3">SUBTOTAL(9,D5:D14)</f>
        <v>0</v>
      </c>
      <c r="E4" s="45">
        <f t="shared" si="3"/>
        <v>62</v>
      </c>
      <c r="F4" s="45">
        <f t="shared" si="3"/>
        <v>34</v>
      </c>
      <c r="G4" s="45">
        <f t="shared" si="3"/>
        <v>34</v>
      </c>
      <c r="H4" s="45">
        <f t="shared" si="3"/>
        <v>34</v>
      </c>
      <c r="I4" s="45">
        <f t="shared" si="3"/>
        <v>68</v>
      </c>
      <c r="J4" s="45">
        <f t="shared" si="3"/>
        <v>34</v>
      </c>
      <c r="K4" s="45">
        <f t="shared" si="3"/>
        <v>102</v>
      </c>
      <c r="L4" s="45">
        <f t="shared" si="3"/>
        <v>103</v>
      </c>
      <c r="M4" s="45">
        <f t="shared" si="3"/>
        <v>68</v>
      </c>
      <c r="N4" s="45">
        <f t="shared" si="3"/>
        <v>68</v>
      </c>
      <c r="O4" s="45">
        <f t="shared" si="3"/>
        <v>68</v>
      </c>
      <c r="P4" s="45">
        <f t="shared" si="3"/>
        <v>68</v>
      </c>
      <c r="Q4" s="45">
        <f t="shared" si="3"/>
        <v>34</v>
      </c>
      <c r="R4" s="45">
        <f t="shared" si="3"/>
        <v>0</v>
      </c>
      <c r="S4" s="45">
        <f t="shared" si="3"/>
        <v>0</v>
      </c>
      <c r="T4" s="45">
        <f t="shared" si="3"/>
        <v>0</v>
      </c>
      <c r="U4" s="45">
        <f t="shared" si="3"/>
        <v>0</v>
      </c>
      <c r="V4" s="45">
        <f t="shared" si="3"/>
        <v>0</v>
      </c>
      <c r="W4" s="45">
        <f t="shared" si="3"/>
        <v>0</v>
      </c>
      <c r="X4" s="45">
        <f t="shared" si="3"/>
        <v>0</v>
      </c>
      <c r="Y4" s="45">
        <f t="shared" si="3"/>
        <v>0</v>
      </c>
      <c r="Z4" s="45">
        <f t="shared" si="3"/>
        <v>0</v>
      </c>
      <c r="AA4" s="45">
        <f t="shared" si="3"/>
        <v>0</v>
      </c>
      <c r="AB4" s="45">
        <f t="shared" si="3"/>
        <v>0</v>
      </c>
      <c r="AC4" s="45">
        <f t="shared" si="3"/>
        <v>0</v>
      </c>
      <c r="AD4" s="45">
        <f t="shared" si="3"/>
        <v>0</v>
      </c>
      <c r="AE4" s="45">
        <f t="shared" si="3"/>
        <v>0</v>
      </c>
      <c r="AF4" s="45">
        <f t="shared" si="3"/>
        <v>0</v>
      </c>
      <c r="AG4" s="45">
        <f t="shared" si="3"/>
        <v>0</v>
      </c>
      <c r="AH4" s="45">
        <f t="shared" si="3"/>
        <v>0</v>
      </c>
      <c r="AI4" s="45">
        <f t="shared" ref="AI4:BL4" si="4">SUBTOTAL(9,AI5:AI14)</f>
        <v>0</v>
      </c>
      <c r="AJ4" s="45">
        <f t="shared" si="4"/>
        <v>0</v>
      </c>
      <c r="AK4" s="45">
        <f t="shared" si="4"/>
        <v>0</v>
      </c>
      <c r="AL4" s="45">
        <f t="shared" si="4"/>
        <v>0</v>
      </c>
      <c r="AM4" s="45">
        <f t="shared" si="4"/>
        <v>0</v>
      </c>
      <c r="AN4" s="45">
        <f t="shared" si="4"/>
        <v>0</v>
      </c>
      <c r="AO4" s="45">
        <f t="shared" si="4"/>
        <v>0</v>
      </c>
      <c r="AP4" s="45">
        <f t="shared" si="4"/>
        <v>0</v>
      </c>
      <c r="AQ4" s="45">
        <f t="shared" si="4"/>
        <v>0</v>
      </c>
      <c r="AR4" s="45">
        <f t="shared" si="4"/>
        <v>0</v>
      </c>
      <c r="AS4" s="45">
        <f t="shared" si="4"/>
        <v>0</v>
      </c>
      <c r="AT4" s="45">
        <f t="shared" si="4"/>
        <v>0</v>
      </c>
      <c r="AU4" s="45">
        <f t="shared" si="4"/>
        <v>0</v>
      </c>
      <c r="AV4" s="45">
        <f t="shared" si="4"/>
        <v>0</v>
      </c>
      <c r="AW4" s="45">
        <f t="shared" si="4"/>
        <v>0</v>
      </c>
      <c r="AX4" s="45">
        <f t="shared" si="4"/>
        <v>0</v>
      </c>
      <c r="AY4" s="45">
        <f t="shared" si="4"/>
        <v>0</v>
      </c>
      <c r="AZ4" s="45">
        <f t="shared" si="4"/>
        <v>0</v>
      </c>
      <c r="BA4" s="45">
        <f t="shared" si="4"/>
        <v>0</v>
      </c>
      <c r="BB4" s="45">
        <f t="shared" si="4"/>
        <v>0</v>
      </c>
      <c r="BC4" s="45">
        <f t="shared" si="4"/>
        <v>0</v>
      </c>
      <c r="BD4" s="45">
        <f t="shared" si="4"/>
        <v>0</v>
      </c>
      <c r="BE4" s="45">
        <f t="shared" si="4"/>
        <v>0</v>
      </c>
      <c r="BF4" s="45">
        <f t="shared" si="4"/>
        <v>0</v>
      </c>
      <c r="BG4" s="45">
        <f t="shared" si="4"/>
        <v>0</v>
      </c>
      <c r="BH4" s="45">
        <f t="shared" si="4"/>
        <v>0</v>
      </c>
      <c r="BI4" s="45">
        <f t="shared" si="4"/>
        <v>0</v>
      </c>
      <c r="BJ4" s="45">
        <f t="shared" si="4"/>
        <v>0</v>
      </c>
      <c r="BK4" s="45">
        <f t="shared" si="4"/>
        <v>0</v>
      </c>
      <c r="BL4" s="45">
        <f t="shared" si="4"/>
        <v>0</v>
      </c>
    </row>
    <row r="5" spans="1:64" s="82" customFormat="1" ht="18" customHeight="1" x14ac:dyDescent="0.2">
      <c r="A5" s="382" t="s">
        <v>12</v>
      </c>
      <c r="B5" s="56">
        <v>8</v>
      </c>
      <c r="C5" s="57">
        <f>SUM(D5:CA5)</f>
        <v>20</v>
      </c>
      <c r="D5" s="83">
        <f>SUM(D15:D17)</f>
        <v>0</v>
      </c>
      <c r="E5" s="83">
        <f t="shared" ref="E5:AH5" si="5">SUM(E15:E17)</f>
        <v>0</v>
      </c>
      <c r="F5" s="83">
        <f t="shared" si="5"/>
        <v>0</v>
      </c>
      <c r="G5" s="83">
        <f t="shared" si="5"/>
        <v>0</v>
      </c>
      <c r="H5" s="83">
        <f t="shared" si="5"/>
        <v>0</v>
      </c>
      <c r="I5" s="83">
        <f t="shared" si="5"/>
        <v>0</v>
      </c>
      <c r="J5" s="83">
        <f t="shared" si="5"/>
        <v>0</v>
      </c>
      <c r="K5" s="83">
        <f t="shared" si="5"/>
        <v>0</v>
      </c>
      <c r="L5" s="83">
        <f t="shared" si="5"/>
        <v>20</v>
      </c>
      <c r="M5" s="83">
        <f t="shared" si="5"/>
        <v>0</v>
      </c>
      <c r="N5" s="83">
        <f t="shared" si="5"/>
        <v>0</v>
      </c>
      <c r="O5" s="83">
        <f t="shared" si="5"/>
        <v>0</v>
      </c>
      <c r="P5" s="83">
        <f t="shared" si="5"/>
        <v>0</v>
      </c>
      <c r="Q5" s="83">
        <f t="shared" si="5"/>
        <v>0</v>
      </c>
      <c r="R5" s="83">
        <f t="shared" si="5"/>
        <v>0</v>
      </c>
      <c r="S5" s="83">
        <f t="shared" si="5"/>
        <v>0</v>
      </c>
      <c r="T5" s="83">
        <f t="shared" si="5"/>
        <v>0</v>
      </c>
      <c r="U5" s="83">
        <f t="shared" si="5"/>
        <v>0</v>
      </c>
      <c r="V5" s="83">
        <f t="shared" si="5"/>
        <v>0</v>
      </c>
      <c r="W5" s="83">
        <f t="shared" si="5"/>
        <v>0</v>
      </c>
      <c r="X5" s="83">
        <f t="shared" si="5"/>
        <v>0</v>
      </c>
      <c r="Y5" s="83">
        <f t="shared" si="5"/>
        <v>0</v>
      </c>
      <c r="Z5" s="83">
        <f t="shared" si="5"/>
        <v>0</v>
      </c>
      <c r="AA5" s="83">
        <f t="shared" si="5"/>
        <v>0</v>
      </c>
      <c r="AB5" s="83">
        <f t="shared" si="5"/>
        <v>0</v>
      </c>
      <c r="AC5" s="83">
        <f t="shared" si="5"/>
        <v>0</v>
      </c>
      <c r="AD5" s="83">
        <f t="shared" si="5"/>
        <v>0</v>
      </c>
      <c r="AE5" s="83">
        <f t="shared" si="5"/>
        <v>0</v>
      </c>
      <c r="AF5" s="83">
        <f t="shared" si="5"/>
        <v>0</v>
      </c>
      <c r="AG5" s="83">
        <f t="shared" si="5"/>
        <v>0</v>
      </c>
      <c r="AH5" s="83">
        <f t="shared" si="5"/>
        <v>0</v>
      </c>
      <c r="AI5" s="83">
        <f t="shared" ref="AI5:BL5" si="6">SUM(AI15:AI17)</f>
        <v>0</v>
      </c>
      <c r="AJ5" s="83">
        <f t="shared" si="6"/>
        <v>0</v>
      </c>
      <c r="AK5" s="83">
        <f t="shared" si="6"/>
        <v>0</v>
      </c>
      <c r="AL5" s="83">
        <f t="shared" si="6"/>
        <v>0</v>
      </c>
      <c r="AM5" s="83">
        <f t="shared" si="6"/>
        <v>0</v>
      </c>
      <c r="AN5" s="83">
        <f t="shared" si="6"/>
        <v>0</v>
      </c>
      <c r="AO5" s="83">
        <f t="shared" si="6"/>
        <v>0</v>
      </c>
      <c r="AP5" s="83">
        <f t="shared" si="6"/>
        <v>0</v>
      </c>
      <c r="AQ5" s="83">
        <f t="shared" si="6"/>
        <v>0</v>
      </c>
      <c r="AR5" s="83">
        <f t="shared" si="6"/>
        <v>0</v>
      </c>
      <c r="AS5" s="83">
        <f t="shared" si="6"/>
        <v>0</v>
      </c>
      <c r="AT5" s="83">
        <f t="shared" si="6"/>
        <v>0</v>
      </c>
      <c r="AU5" s="83">
        <f t="shared" si="6"/>
        <v>0</v>
      </c>
      <c r="AV5" s="83">
        <f t="shared" si="6"/>
        <v>0</v>
      </c>
      <c r="AW5" s="83">
        <f t="shared" si="6"/>
        <v>0</v>
      </c>
      <c r="AX5" s="83">
        <f t="shared" si="6"/>
        <v>0</v>
      </c>
      <c r="AY5" s="83">
        <f t="shared" si="6"/>
        <v>0</v>
      </c>
      <c r="AZ5" s="83">
        <f t="shared" si="6"/>
        <v>0</v>
      </c>
      <c r="BA5" s="83">
        <f t="shared" si="6"/>
        <v>0</v>
      </c>
      <c r="BB5" s="83">
        <f t="shared" si="6"/>
        <v>0</v>
      </c>
      <c r="BC5" s="83">
        <f t="shared" si="6"/>
        <v>0</v>
      </c>
      <c r="BD5" s="83">
        <f t="shared" si="6"/>
        <v>0</v>
      </c>
      <c r="BE5" s="83">
        <f t="shared" si="6"/>
        <v>0</v>
      </c>
      <c r="BF5" s="83">
        <f t="shared" si="6"/>
        <v>0</v>
      </c>
      <c r="BG5" s="83">
        <f t="shared" si="6"/>
        <v>0</v>
      </c>
      <c r="BH5" s="83">
        <f t="shared" si="6"/>
        <v>0</v>
      </c>
      <c r="BI5" s="83">
        <f t="shared" si="6"/>
        <v>0</v>
      </c>
      <c r="BJ5" s="83">
        <f t="shared" si="6"/>
        <v>0</v>
      </c>
      <c r="BK5" s="83">
        <f t="shared" si="6"/>
        <v>0</v>
      </c>
      <c r="BL5" s="83">
        <f t="shared" si="6"/>
        <v>0</v>
      </c>
    </row>
    <row r="6" spans="1:64" s="82" customFormat="1" ht="18" hidden="1" customHeight="1" x14ac:dyDescent="0.2">
      <c r="A6" s="383"/>
      <c r="B6" s="46">
        <v>10</v>
      </c>
      <c r="C6" s="47">
        <f>SUM(D6:AH6)</f>
        <v>0</v>
      </c>
      <c r="D6" s="62">
        <f>SUM(D18:D20)</f>
        <v>0</v>
      </c>
      <c r="E6" s="62">
        <f t="shared" ref="E6:AH6" si="7">SUM(E18:E20)</f>
        <v>0</v>
      </c>
      <c r="F6" s="62">
        <f t="shared" si="7"/>
        <v>0</v>
      </c>
      <c r="G6" s="62">
        <f t="shared" si="7"/>
        <v>0</v>
      </c>
      <c r="H6" s="62">
        <f t="shared" si="7"/>
        <v>0</v>
      </c>
      <c r="I6" s="62">
        <f t="shared" si="7"/>
        <v>0</v>
      </c>
      <c r="J6" s="62">
        <f t="shared" si="7"/>
        <v>0</v>
      </c>
      <c r="K6" s="62">
        <f t="shared" si="7"/>
        <v>0</v>
      </c>
      <c r="L6" s="62">
        <f t="shared" si="7"/>
        <v>0</v>
      </c>
      <c r="M6" s="62">
        <f t="shared" si="7"/>
        <v>0</v>
      </c>
      <c r="N6" s="62">
        <f t="shared" si="7"/>
        <v>0</v>
      </c>
      <c r="O6" s="62">
        <f t="shared" si="7"/>
        <v>0</v>
      </c>
      <c r="P6" s="62">
        <f t="shared" si="7"/>
        <v>0</v>
      </c>
      <c r="Q6" s="62">
        <f t="shared" si="7"/>
        <v>0</v>
      </c>
      <c r="R6" s="62">
        <f t="shared" si="7"/>
        <v>0</v>
      </c>
      <c r="S6" s="62">
        <f t="shared" si="7"/>
        <v>0</v>
      </c>
      <c r="T6" s="62">
        <f t="shared" si="7"/>
        <v>0</v>
      </c>
      <c r="U6" s="62">
        <f t="shared" si="7"/>
        <v>0</v>
      </c>
      <c r="V6" s="62">
        <f t="shared" si="7"/>
        <v>0</v>
      </c>
      <c r="W6" s="62">
        <f t="shared" si="7"/>
        <v>0</v>
      </c>
      <c r="X6" s="62">
        <f t="shared" si="7"/>
        <v>0</v>
      </c>
      <c r="Y6" s="62">
        <f t="shared" si="7"/>
        <v>0</v>
      </c>
      <c r="Z6" s="62">
        <f t="shared" si="7"/>
        <v>0</v>
      </c>
      <c r="AA6" s="62">
        <f t="shared" si="7"/>
        <v>0</v>
      </c>
      <c r="AB6" s="62">
        <f t="shared" si="7"/>
        <v>0</v>
      </c>
      <c r="AC6" s="62">
        <f t="shared" si="7"/>
        <v>0</v>
      </c>
      <c r="AD6" s="62">
        <f t="shared" si="7"/>
        <v>0</v>
      </c>
      <c r="AE6" s="62">
        <f t="shared" si="7"/>
        <v>0</v>
      </c>
      <c r="AF6" s="62">
        <f t="shared" si="7"/>
        <v>0</v>
      </c>
      <c r="AG6" s="62">
        <f t="shared" si="7"/>
        <v>0</v>
      </c>
      <c r="AH6" s="62">
        <f t="shared" si="7"/>
        <v>0</v>
      </c>
      <c r="AI6" s="62">
        <f t="shared" ref="AI6:BL6" si="8">SUM(AI18:AI20)</f>
        <v>0</v>
      </c>
      <c r="AJ6" s="62">
        <f t="shared" si="8"/>
        <v>0</v>
      </c>
      <c r="AK6" s="62">
        <f t="shared" si="8"/>
        <v>0</v>
      </c>
      <c r="AL6" s="62">
        <f t="shared" si="8"/>
        <v>0</v>
      </c>
      <c r="AM6" s="62">
        <f t="shared" si="8"/>
        <v>0</v>
      </c>
      <c r="AN6" s="62">
        <f t="shared" si="8"/>
        <v>0</v>
      </c>
      <c r="AO6" s="62">
        <f t="shared" si="8"/>
        <v>0</v>
      </c>
      <c r="AP6" s="62">
        <f t="shared" si="8"/>
        <v>0</v>
      </c>
      <c r="AQ6" s="62">
        <f t="shared" si="8"/>
        <v>0</v>
      </c>
      <c r="AR6" s="62">
        <f t="shared" si="8"/>
        <v>0</v>
      </c>
      <c r="AS6" s="62">
        <f t="shared" si="8"/>
        <v>0</v>
      </c>
      <c r="AT6" s="62">
        <f t="shared" si="8"/>
        <v>0</v>
      </c>
      <c r="AU6" s="62">
        <f t="shared" si="8"/>
        <v>0</v>
      </c>
      <c r="AV6" s="62">
        <f t="shared" si="8"/>
        <v>0</v>
      </c>
      <c r="AW6" s="62">
        <f t="shared" si="8"/>
        <v>0</v>
      </c>
      <c r="AX6" s="62">
        <f t="shared" si="8"/>
        <v>0</v>
      </c>
      <c r="AY6" s="62">
        <f t="shared" si="8"/>
        <v>0</v>
      </c>
      <c r="AZ6" s="62">
        <f t="shared" si="8"/>
        <v>0</v>
      </c>
      <c r="BA6" s="62">
        <f t="shared" si="8"/>
        <v>0</v>
      </c>
      <c r="BB6" s="62">
        <f t="shared" si="8"/>
        <v>0</v>
      </c>
      <c r="BC6" s="62">
        <f t="shared" si="8"/>
        <v>0</v>
      </c>
      <c r="BD6" s="62">
        <f t="shared" si="8"/>
        <v>0</v>
      </c>
      <c r="BE6" s="62">
        <f t="shared" si="8"/>
        <v>0</v>
      </c>
      <c r="BF6" s="62">
        <f t="shared" si="8"/>
        <v>0</v>
      </c>
      <c r="BG6" s="62">
        <f t="shared" si="8"/>
        <v>0</v>
      </c>
      <c r="BH6" s="62">
        <f t="shared" si="8"/>
        <v>0</v>
      </c>
      <c r="BI6" s="62">
        <f t="shared" si="8"/>
        <v>0</v>
      </c>
      <c r="BJ6" s="62">
        <f t="shared" si="8"/>
        <v>0</v>
      </c>
      <c r="BK6" s="62">
        <f t="shared" si="8"/>
        <v>0</v>
      </c>
      <c r="BL6" s="62">
        <f t="shared" si="8"/>
        <v>0</v>
      </c>
    </row>
    <row r="7" spans="1:64" s="82" customFormat="1" ht="18" hidden="1" customHeight="1" x14ac:dyDescent="0.2">
      <c r="A7" s="383"/>
      <c r="B7" s="46">
        <v>12</v>
      </c>
      <c r="C7" s="47">
        <f>SUM(D7:AH7)</f>
        <v>0</v>
      </c>
      <c r="D7" s="62">
        <f>SUM(D21:D23)</f>
        <v>0</v>
      </c>
      <c r="E7" s="62">
        <f t="shared" ref="E7:AH7" si="9">SUM(E21:E23)</f>
        <v>0</v>
      </c>
      <c r="F7" s="62">
        <f t="shared" si="9"/>
        <v>0</v>
      </c>
      <c r="G7" s="62">
        <f t="shared" si="9"/>
        <v>0</v>
      </c>
      <c r="H7" s="62">
        <f t="shared" si="9"/>
        <v>0</v>
      </c>
      <c r="I7" s="62">
        <f t="shared" si="9"/>
        <v>0</v>
      </c>
      <c r="J7" s="62">
        <f t="shared" si="9"/>
        <v>0</v>
      </c>
      <c r="K7" s="62">
        <f t="shared" si="9"/>
        <v>0</v>
      </c>
      <c r="L7" s="62">
        <f t="shared" si="9"/>
        <v>0</v>
      </c>
      <c r="M7" s="62">
        <f t="shared" si="9"/>
        <v>0</v>
      </c>
      <c r="N7" s="62">
        <f t="shared" si="9"/>
        <v>0</v>
      </c>
      <c r="O7" s="62">
        <f t="shared" si="9"/>
        <v>0</v>
      </c>
      <c r="P7" s="62">
        <f t="shared" si="9"/>
        <v>0</v>
      </c>
      <c r="Q7" s="62">
        <f t="shared" si="9"/>
        <v>0</v>
      </c>
      <c r="R7" s="62">
        <f t="shared" si="9"/>
        <v>0</v>
      </c>
      <c r="S7" s="62">
        <f t="shared" si="9"/>
        <v>0</v>
      </c>
      <c r="T7" s="62">
        <f t="shared" si="9"/>
        <v>0</v>
      </c>
      <c r="U7" s="62">
        <f t="shared" si="9"/>
        <v>0</v>
      </c>
      <c r="V7" s="62">
        <f t="shared" si="9"/>
        <v>0</v>
      </c>
      <c r="W7" s="62">
        <f t="shared" si="9"/>
        <v>0</v>
      </c>
      <c r="X7" s="62">
        <f t="shared" si="9"/>
        <v>0</v>
      </c>
      <c r="Y7" s="62">
        <f t="shared" si="9"/>
        <v>0</v>
      </c>
      <c r="Z7" s="62">
        <f t="shared" si="9"/>
        <v>0</v>
      </c>
      <c r="AA7" s="62">
        <f t="shared" si="9"/>
        <v>0</v>
      </c>
      <c r="AB7" s="62">
        <f t="shared" si="9"/>
        <v>0</v>
      </c>
      <c r="AC7" s="62">
        <f t="shared" si="9"/>
        <v>0</v>
      </c>
      <c r="AD7" s="62">
        <f t="shared" si="9"/>
        <v>0</v>
      </c>
      <c r="AE7" s="62">
        <f t="shared" si="9"/>
        <v>0</v>
      </c>
      <c r="AF7" s="62">
        <f t="shared" si="9"/>
        <v>0</v>
      </c>
      <c r="AG7" s="62">
        <f t="shared" si="9"/>
        <v>0</v>
      </c>
      <c r="AH7" s="62">
        <f t="shared" si="9"/>
        <v>0</v>
      </c>
      <c r="AI7" s="62">
        <f t="shared" ref="AI7:BL7" si="10">SUM(AI21:AI23)</f>
        <v>0</v>
      </c>
      <c r="AJ7" s="62">
        <f t="shared" si="10"/>
        <v>0</v>
      </c>
      <c r="AK7" s="62">
        <f t="shared" si="10"/>
        <v>0</v>
      </c>
      <c r="AL7" s="62">
        <f t="shared" si="10"/>
        <v>0</v>
      </c>
      <c r="AM7" s="62">
        <f t="shared" si="10"/>
        <v>0</v>
      </c>
      <c r="AN7" s="62">
        <f t="shared" si="10"/>
        <v>0</v>
      </c>
      <c r="AO7" s="62">
        <f t="shared" si="10"/>
        <v>0</v>
      </c>
      <c r="AP7" s="62">
        <f t="shared" si="10"/>
        <v>0</v>
      </c>
      <c r="AQ7" s="62">
        <f t="shared" si="10"/>
        <v>0</v>
      </c>
      <c r="AR7" s="62">
        <f t="shared" si="10"/>
        <v>0</v>
      </c>
      <c r="AS7" s="62">
        <f t="shared" si="10"/>
        <v>0</v>
      </c>
      <c r="AT7" s="62">
        <f t="shared" si="10"/>
        <v>0</v>
      </c>
      <c r="AU7" s="62">
        <f t="shared" si="10"/>
        <v>0</v>
      </c>
      <c r="AV7" s="62">
        <f t="shared" si="10"/>
        <v>0</v>
      </c>
      <c r="AW7" s="62">
        <f t="shared" si="10"/>
        <v>0</v>
      </c>
      <c r="AX7" s="62">
        <f t="shared" si="10"/>
        <v>0</v>
      </c>
      <c r="AY7" s="62">
        <f t="shared" si="10"/>
        <v>0</v>
      </c>
      <c r="AZ7" s="62">
        <f t="shared" si="10"/>
        <v>0</v>
      </c>
      <c r="BA7" s="62">
        <f t="shared" si="10"/>
        <v>0</v>
      </c>
      <c r="BB7" s="62">
        <f t="shared" si="10"/>
        <v>0</v>
      </c>
      <c r="BC7" s="62">
        <f t="shared" si="10"/>
        <v>0</v>
      </c>
      <c r="BD7" s="62">
        <f t="shared" si="10"/>
        <v>0</v>
      </c>
      <c r="BE7" s="62">
        <f t="shared" si="10"/>
        <v>0</v>
      </c>
      <c r="BF7" s="62">
        <f t="shared" si="10"/>
        <v>0</v>
      </c>
      <c r="BG7" s="62">
        <f t="shared" si="10"/>
        <v>0</v>
      </c>
      <c r="BH7" s="62">
        <f t="shared" si="10"/>
        <v>0</v>
      </c>
      <c r="BI7" s="62">
        <f t="shared" si="10"/>
        <v>0</v>
      </c>
      <c r="BJ7" s="62">
        <f t="shared" si="10"/>
        <v>0</v>
      </c>
      <c r="BK7" s="62">
        <f t="shared" si="10"/>
        <v>0</v>
      </c>
      <c r="BL7" s="62">
        <f t="shared" si="10"/>
        <v>0</v>
      </c>
    </row>
    <row r="8" spans="1:64" s="82" customFormat="1" ht="18" customHeight="1" x14ac:dyDescent="0.2">
      <c r="A8" s="383"/>
      <c r="B8" s="46">
        <v>15</v>
      </c>
      <c r="C8" s="47">
        <f>SUM(D8:CA8)</f>
        <v>680</v>
      </c>
      <c r="D8" s="62">
        <f>SUM(D24:D26)</f>
        <v>0</v>
      </c>
      <c r="E8" s="62">
        <f t="shared" ref="E8:AH8" si="11">SUM(E24:E26)</f>
        <v>34</v>
      </c>
      <c r="F8" s="62">
        <f t="shared" si="11"/>
        <v>34</v>
      </c>
      <c r="G8" s="62">
        <f t="shared" si="11"/>
        <v>34</v>
      </c>
      <c r="H8" s="62">
        <f t="shared" si="11"/>
        <v>34</v>
      </c>
      <c r="I8" s="62">
        <f t="shared" si="11"/>
        <v>68</v>
      </c>
      <c r="J8" s="62">
        <f t="shared" si="11"/>
        <v>34</v>
      </c>
      <c r="K8" s="62">
        <f t="shared" si="11"/>
        <v>68</v>
      </c>
      <c r="L8" s="62">
        <f t="shared" si="11"/>
        <v>68</v>
      </c>
      <c r="M8" s="62">
        <f t="shared" si="11"/>
        <v>68</v>
      </c>
      <c r="N8" s="62">
        <f t="shared" si="11"/>
        <v>68</v>
      </c>
      <c r="O8" s="62">
        <f t="shared" si="11"/>
        <v>68</v>
      </c>
      <c r="P8" s="62">
        <f t="shared" si="11"/>
        <v>68</v>
      </c>
      <c r="Q8" s="62">
        <f t="shared" si="11"/>
        <v>34</v>
      </c>
      <c r="R8" s="62">
        <f t="shared" si="11"/>
        <v>0</v>
      </c>
      <c r="S8" s="62">
        <f t="shared" si="11"/>
        <v>0</v>
      </c>
      <c r="T8" s="62">
        <f t="shared" si="11"/>
        <v>0</v>
      </c>
      <c r="U8" s="62">
        <f t="shared" si="11"/>
        <v>0</v>
      </c>
      <c r="V8" s="62">
        <f t="shared" si="11"/>
        <v>0</v>
      </c>
      <c r="W8" s="62">
        <f t="shared" si="11"/>
        <v>0</v>
      </c>
      <c r="X8" s="62">
        <f t="shared" si="11"/>
        <v>0</v>
      </c>
      <c r="Y8" s="62">
        <f t="shared" si="11"/>
        <v>0</v>
      </c>
      <c r="Z8" s="62">
        <f t="shared" si="11"/>
        <v>0</v>
      </c>
      <c r="AA8" s="62">
        <f t="shared" si="11"/>
        <v>0</v>
      </c>
      <c r="AB8" s="62">
        <f t="shared" si="11"/>
        <v>0</v>
      </c>
      <c r="AC8" s="62">
        <f t="shared" si="11"/>
        <v>0</v>
      </c>
      <c r="AD8" s="62">
        <f t="shared" si="11"/>
        <v>0</v>
      </c>
      <c r="AE8" s="62">
        <f t="shared" si="11"/>
        <v>0</v>
      </c>
      <c r="AF8" s="62">
        <f t="shared" si="11"/>
        <v>0</v>
      </c>
      <c r="AG8" s="62">
        <f t="shared" si="11"/>
        <v>0</v>
      </c>
      <c r="AH8" s="62">
        <f t="shared" si="11"/>
        <v>0</v>
      </c>
      <c r="AI8" s="62">
        <f t="shared" ref="AI8:BL8" si="12">SUM(AI24:AI26)</f>
        <v>0</v>
      </c>
      <c r="AJ8" s="62">
        <f t="shared" si="12"/>
        <v>0</v>
      </c>
      <c r="AK8" s="62">
        <f t="shared" si="12"/>
        <v>0</v>
      </c>
      <c r="AL8" s="62">
        <f t="shared" si="12"/>
        <v>0</v>
      </c>
      <c r="AM8" s="62">
        <f t="shared" si="12"/>
        <v>0</v>
      </c>
      <c r="AN8" s="62">
        <f t="shared" si="12"/>
        <v>0</v>
      </c>
      <c r="AO8" s="62">
        <f t="shared" si="12"/>
        <v>0</v>
      </c>
      <c r="AP8" s="62">
        <f t="shared" si="12"/>
        <v>0</v>
      </c>
      <c r="AQ8" s="62">
        <f t="shared" si="12"/>
        <v>0</v>
      </c>
      <c r="AR8" s="62">
        <f t="shared" si="12"/>
        <v>0</v>
      </c>
      <c r="AS8" s="62">
        <f t="shared" si="12"/>
        <v>0</v>
      </c>
      <c r="AT8" s="62">
        <f t="shared" si="12"/>
        <v>0</v>
      </c>
      <c r="AU8" s="62">
        <f t="shared" si="12"/>
        <v>0</v>
      </c>
      <c r="AV8" s="62">
        <f t="shared" si="12"/>
        <v>0</v>
      </c>
      <c r="AW8" s="62">
        <f t="shared" si="12"/>
        <v>0</v>
      </c>
      <c r="AX8" s="62">
        <f t="shared" si="12"/>
        <v>0</v>
      </c>
      <c r="AY8" s="62">
        <f t="shared" si="12"/>
        <v>0</v>
      </c>
      <c r="AZ8" s="62">
        <f t="shared" si="12"/>
        <v>0</v>
      </c>
      <c r="BA8" s="62">
        <f t="shared" si="12"/>
        <v>0</v>
      </c>
      <c r="BB8" s="62">
        <f t="shared" si="12"/>
        <v>0</v>
      </c>
      <c r="BC8" s="62">
        <f t="shared" si="12"/>
        <v>0</v>
      </c>
      <c r="BD8" s="62">
        <f t="shared" si="12"/>
        <v>0</v>
      </c>
      <c r="BE8" s="62">
        <f t="shared" si="12"/>
        <v>0</v>
      </c>
      <c r="BF8" s="62">
        <f t="shared" si="12"/>
        <v>0</v>
      </c>
      <c r="BG8" s="62">
        <f t="shared" si="12"/>
        <v>0</v>
      </c>
      <c r="BH8" s="62">
        <f t="shared" si="12"/>
        <v>0</v>
      </c>
      <c r="BI8" s="62">
        <f t="shared" si="12"/>
        <v>0</v>
      </c>
      <c r="BJ8" s="62">
        <f t="shared" si="12"/>
        <v>0</v>
      </c>
      <c r="BK8" s="62">
        <f t="shared" si="12"/>
        <v>0</v>
      </c>
      <c r="BL8" s="62">
        <f t="shared" si="12"/>
        <v>0</v>
      </c>
    </row>
    <row r="9" spans="1:64" s="82" customFormat="1" ht="18" customHeight="1" x14ac:dyDescent="0.2">
      <c r="A9" s="383"/>
      <c r="B9" s="46" t="s">
        <v>18</v>
      </c>
      <c r="C9" s="47">
        <f>SUM(D9:CA9)</f>
        <v>0</v>
      </c>
      <c r="D9" s="62">
        <f>SUM(D27:D29)</f>
        <v>0</v>
      </c>
      <c r="E9" s="62">
        <f t="shared" ref="E9:AH9" si="13">SUM(E27:E29)</f>
        <v>0</v>
      </c>
      <c r="F9" s="62">
        <f t="shared" si="13"/>
        <v>0</v>
      </c>
      <c r="G9" s="62">
        <f t="shared" si="13"/>
        <v>0</v>
      </c>
      <c r="H9" s="62">
        <f t="shared" si="13"/>
        <v>0</v>
      </c>
      <c r="I9" s="62">
        <f t="shared" si="13"/>
        <v>0</v>
      </c>
      <c r="J9" s="62">
        <f t="shared" si="13"/>
        <v>0</v>
      </c>
      <c r="K9" s="62">
        <f t="shared" si="13"/>
        <v>0</v>
      </c>
      <c r="L9" s="62">
        <f t="shared" si="13"/>
        <v>0</v>
      </c>
      <c r="M9" s="62">
        <f t="shared" si="13"/>
        <v>0</v>
      </c>
      <c r="N9" s="62">
        <f t="shared" si="13"/>
        <v>0</v>
      </c>
      <c r="O9" s="62">
        <f t="shared" si="13"/>
        <v>0</v>
      </c>
      <c r="P9" s="62">
        <f t="shared" si="13"/>
        <v>0</v>
      </c>
      <c r="Q9" s="62">
        <f t="shared" si="13"/>
        <v>0</v>
      </c>
      <c r="R9" s="62">
        <f t="shared" si="13"/>
        <v>0</v>
      </c>
      <c r="S9" s="62">
        <f t="shared" si="13"/>
        <v>0</v>
      </c>
      <c r="T9" s="62">
        <f t="shared" si="13"/>
        <v>0</v>
      </c>
      <c r="U9" s="62">
        <f t="shared" si="13"/>
        <v>0</v>
      </c>
      <c r="V9" s="62">
        <f t="shared" si="13"/>
        <v>0</v>
      </c>
      <c r="W9" s="62">
        <f t="shared" si="13"/>
        <v>0</v>
      </c>
      <c r="X9" s="62">
        <f t="shared" si="13"/>
        <v>0</v>
      </c>
      <c r="Y9" s="62">
        <f t="shared" si="13"/>
        <v>0</v>
      </c>
      <c r="Z9" s="62">
        <f t="shared" si="13"/>
        <v>0</v>
      </c>
      <c r="AA9" s="62">
        <f t="shared" si="13"/>
        <v>0</v>
      </c>
      <c r="AB9" s="62">
        <f t="shared" si="13"/>
        <v>0</v>
      </c>
      <c r="AC9" s="62">
        <f t="shared" si="13"/>
        <v>0</v>
      </c>
      <c r="AD9" s="62">
        <f t="shared" si="13"/>
        <v>0</v>
      </c>
      <c r="AE9" s="62">
        <f t="shared" si="13"/>
        <v>0</v>
      </c>
      <c r="AF9" s="62">
        <f t="shared" si="13"/>
        <v>0</v>
      </c>
      <c r="AG9" s="62">
        <f t="shared" si="13"/>
        <v>0</v>
      </c>
      <c r="AH9" s="62">
        <f t="shared" si="13"/>
        <v>0</v>
      </c>
      <c r="AI9" s="62">
        <f t="shared" ref="AI9:BL9" si="14">SUM(AI27:AI29)</f>
        <v>0</v>
      </c>
      <c r="AJ9" s="62">
        <f t="shared" si="14"/>
        <v>0</v>
      </c>
      <c r="AK9" s="62">
        <f t="shared" si="14"/>
        <v>0</v>
      </c>
      <c r="AL9" s="62">
        <f t="shared" si="14"/>
        <v>0</v>
      </c>
      <c r="AM9" s="62">
        <f t="shared" si="14"/>
        <v>0</v>
      </c>
      <c r="AN9" s="62">
        <f t="shared" si="14"/>
        <v>0</v>
      </c>
      <c r="AO9" s="62">
        <f t="shared" si="14"/>
        <v>0</v>
      </c>
      <c r="AP9" s="62">
        <f t="shared" si="14"/>
        <v>0</v>
      </c>
      <c r="AQ9" s="62">
        <f t="shared" si="14"/>
        <v>0</v>
      </c>
      <c r="AR9" s="62">
        <f t="shared" si="14"/>
        <v>0</v>
      </c>
      <c r="AS9" s="62">
        <f t="shared" si="14"/>
        <v>0</v>
      </c>
      <c r="AT9" s="62">
        <f t="shared" si="14"/>
        <v>0</v>
      </c>
      <c r="AU9" s="62">
        <f t="shared" si="14"/>
        <v>0</v>
      </c>
      <c r="AV9" s="62">
        <f t="shared" si="14"/>
        <v>0</v>
      </c>
      <c r="AW9" s="62">
        <f t="shared" si="14"/>
        <v>0</v>
      </c>
      <c r="AX9" s="62">
        <f t="shared" si="14"/>
        <v>0</v>
      </c>
      <c r="AY9" s="62">
        <f t="shared" si="14"/>
        <v>0</v>
      </c>
      <c r="AZ9" s="62">
        <f t="shared" si="14"/>
        <v>0</v>
      </c>
      <c r="BA9" s="62">
        <f t="shared" si="14"/>
        <v>0</v>
      </c>
      <c r="BB9" s="62">
        <f t="shared" si="14"/>
        <v>0</v>
      </c>
      <c r="BC9" s="62">
        <f t="shared" si="14"/>
        <v>0</v>
      </c>
      <c r="BD9" s="62">
        <f t="shared" si="14"/>
        <v>0</v>
      </c>
      <c r="BE9" s="62">
        <f t="shared" si="14"/>
        <v>0</v>
      </c>
      <c r="BF9" s="62">
        <f t="shared" si="14"/>
        <v>0</v>
      </c>
      <c r="BG9" s="62">
        <f t="shared" si="14"/>
        <v>0</v>
      </c>
      <c r="BH9" s="62">
        <f t="shared" si="14"/>
        <v>0</v>
      </c>
      <c r="BI9" s="62">
        <f t="shared" si="14"/>
        <v>0</v>
      </c>
      <c r="BJ9" s="62">
        <f t="shared" si="14"/>
        <v>0</v>
      </c>
      <c r="BK9" s="62">
        <f t="shared" si="14"/>
        <v>0</v>
      </c>
      <c r="BL9" s="62">
        <f t="shared" si="14"/>
        <v>0</v>
      </c>
    </row>
    <row r="10" spans="1:64" s="82" customFormat="1" ht="18" hidden="1" customHeight="1" x14ac:dyDescent="0.2">
      <c r="A10" s="383"/>
      <c r="B10" s="46">
        <v>17</v>
      </c>
      <c r="C10" s="47">
        <f>SUM(D10:AH10)</f>
        <v>0</v>
      </c>
      <c r="D10" s="62"/>
      <c r="E10" s="62"/>
      <c r="F10" s="62"/>
      <c r="G10" s="62"/>
      <c r="H10" s="62"/>
      <c r="I10" s="62"/>
      <c r="J10" s="62"/>
      <c r="K10" s="62"/>
      <c r="L10" s="62"/>
      <c r="M10" s="62"/>
      <c r="N10" s="62"/>
      <c r="O10" s="62"/>
      <c r="P10" s="62"/>
      <c r="Q10" s="62"/>
      <c r="R10" s="62"/>
      <c r="S10" s="62"/>
      <c r="T10" s="62"/>
      <c r="U10" s="62"/>
      <c r="V10" s="62"/>
      <c r="W10" s="62"/>
      <c r="X10" s="62"/>
      <c r="Y10" s="62"/>
      <c r="Z10" s="62"/>
      <c r="AA10" s="62"/>
      <c r="AB10" s="62"/>
      <c r="AC10" s="62"/>
      <c r="AD10" s="62"/>
      <c r="AE10" s="62"/>
      <c r="AF10" s="62"/>
      <c r="AG10" s="62"/>
      <c r="AH10" s="62"/>
      <c r="AI10" s="62"/>
      <c r="AJ10" s="62"/>
      <c r="AK10" s="62"/>
      <c r="AL10" s="62"/>
      <c r="AM10" s="62"/>
      <c r="AN10" s="62"/>
      <c r="AO10" s="62"/>
      <c r="AP10" s="62"/>
      <c r="AQ10" s="62"/>
      <c r="AR10" s="62"/>
      <c r="AS10" s="62"/>
      <c r="AT10" s="62"/>
      <c r="AU10" s="62"/>
      <c r="AV10" s="62"/>
      <c r="AW10" s="62"/>
      <c r="AX10" s="62"/>
      <c r="AY10" s="62"/>
      <c r="AZ10" s="62"/>
      <c r="BA10" s="62"/>
      <c r="BB10" s="62"/>
      <c r="BC10" s="62"/>
      <c r="BD10" s="62"/>
      <c r="BE10" s="62"/>
      <c r="BF10" s="62"/>
      <c r="BG10" s="62"/>
      <c r="BH10" s="62"/>
      <c r="BI10" s="62"/>
      <c r="BJ10" s="62"/>
      <c r="BK10" s="62"/>
      <c r="BL10" s="62"/>
    </row>
    <row r="11" spans="1:64" s="82" customFormat="1" ht="18" customHeight="1" x14ac:dyDescent="0.2">
      <c r="A11" s="383"/>
      <c r="B11" s="46">
        <v>20</v>
      </c>
      <c r="C11" s="47">
        <f>SUM(D11:CA11)</f>
        <v>28</v>
      </c>
      <c r="D11" s="62">
        <f>SUM(D30:D32)</f>
        <v>0</v>
      </c>
      <c r="E11" s="62">
        <f t="shared" ref="E11:AH11" si="15">SUM(E30:E32)</f>
        <v>28</v>
      </c>
      <c r="F11" s="62">
        <f t="shared" si="15"/>
        <v>0</v>
      </c>
      <c r="G11" s="62">
        <f t="shared" si="15"/>
        <v>0</v>
      </c>
      <c r="H11" s="62">
        <f t="shared" si="15"/>
        <v>0</v>
      </c>
      <c r="I11" s="62">
        <f t="shared" si="15"/>
        <v>0</v>
      </c>
      <c r="J11" s="62">
        <f t="shared" si="15"/>
        <v>0</v>
      </c>
      <c r="K11" s="62">
        <f t="shared" si="15"/>
        <v>0</v>
      </c>
      <c r="L11" s="62">
        <f t="shared" si="15"/>
        <v>0</v>
      </c>
      <c r="M11" s="62">
        <f t="shared" si="15"/>
        <v>0</v>
      </c>
      <c r="N11" s="62">
        <f t="shared" si="15"/>
        <v>0</v>
      </c>
      <c r="O11" s="62">
        <f t="shared" si="15"/>
        <v>0</v>
      </c>
      <c r="P11" s="62">
        <f t="shared" si="15"/>
        <v>0</v>
      </c>
      <c r="Q11" s="62">
        <f t="shared" si="15"/>
        <v>0</v>
      </c>
      <c r="R11" s="62">
        <f t="shared" si="15"/>
        <v>0</v>
      </c>
      <c r="S11" s="62">
        <f t="shared" si="15"/>
        <v>0</v>
      </c>
      <c r="T11" s="62">
        <f t="shared" si="15"/>
        <v>0</v>
      </c>
      <c r="U11" s="62">
        <f t="shared" si="15"/>
        <v>0</v>
      </c>
      <c r="V11" s="62">
        <f t="shared" si="15"/>
        <v>0</v>
      </c>
      <c r="W11" s="62">
        <f t="shared" si="15"/>
        <v>0</v>
      </c>
      <c r="X11" s="62">
        <f t="shared" si="15"/>
        <v>0</v>
      </c>
      <c r="Y11" s="62">
        <f t="shared" si="15"/>
        <v>0</v>
      </c>
      <c r="Z11" s="62">
        <f t="shared" si="15"/>
        <v>0</v>
      </c>
      <c r="AA11" s="62">
        <f t="shared" si="15"/>
        <v>0</v>
      </c>
      <c r="AB11" s="62">
        <f t="shared" si="15"/>
        <v>0</v>
      </c>
      <c r="AC11" s="62">
        <f t="shared" si="15"/>
        <v>0</v>
      </c>
      <c r="AD11" s="62">
        <f t="shared" si="15"/>
        <v>0</v>
      </c>
      <c r="AE11" s="62">
        <f t="shared" si="15"/>
        <v>0</v>
      </c>
      <c r="AF11" s="62">
        <f t="shared" si="15"/>
        <v>0</v>
      </c>
      <c r="AG11" s="62">
        <f t="shared" si="15"/>
        <v>0</v>
      </c>
      <c r="AH11" s="62">
        <f t="shared" si="15"/>
        <v>0</v>
      </c>
      <c r="AI11" s="62">
        <f t="shared" ref="AI11:BL11" si="16">SUM(AI30:AI32)</f>
        <v>0</v>
      </c>
      <c r="AJ11" s="62">
        <f t="shared" si="16"/>
        <v>0</v>
      </c>
      <c r="AK11" s="62">
        <f t="shared" si="16"/>
        <v>0</v>
      </c>
      <c r="AL11" s="62">
        <f t="shared" si="16"/>
        <v>0</v>
      </c>
      <c r="AM11" s="62">
        <f t="shared" si="16"/>
        <v>0</v>
      </c>
      <c r="AN11" s="62">
        <f t="shared" si="16"/>
        <v>0</v>
      </c>
      <c r="AO11" s="62">
        <f t="shared" si="16"/>
        <v>0</v>
      </c>
      <c r="AP11" s="62">
        <f t="shared" si="16"/>
        <v>0</v>
      </c>
      <c r="AQ11" s="62">
        <f t="shared" si="16"/>
        <v>0</v>
      </c>
      <c r="AR11" s="62">
        <f t="shared" si="16"/>
        <v>0</v>
      </c>
      <c r="AS11" s="62">
        <f t="shared" si="16"/>
        <v>0</v>
      </c>
      <c r="AT11" s="62">
        <f t="shared" si="16"/>
        <v>0</v>
      </c>
      <c r="AU11" s="62">
        <f t="shared" si="16"/>
        <v>0</v>
      </c>
      <c r="AV11" s="62">
        <f t="shared" si="16"/>
        <v>0</v>
      </c>
      <c r="AW11" s="62">
        <f t="shared" si="16"/>
        <v>0</v>
      </c>
      <c r="AX11" s="62">
        <f t="shared" si="16"/>
        <v>0</v>
      </c>
      <c r="AY11" s="62">
        <f t="shared" si="16"/>
        <v>0</v>
      </c>
      <c r="AZ11" s="62">
        <f t="shared" si="16"/>
        <v>0</v>
      </c>
      <c r="BA11" s="62">
        <f t="shared" si="16"/>
        <v>0</v>
      </c>
      <c r="BB11" s="62">
        <f t="shared" si="16"/>
        <v>0</v>
      </c>
      <c r="BC11" s="62">
        <f t="shared" si="16"/>
        <v>0</v>
      </c>
      <c r="BD11" s="62">
        <f t="shared" si="16"/>
        <v>0</v>
      </c>
      <c r="BE11" s="62">
        <f t="shared" si="16"/>
        <v>0</v>
      </c>
      <c r="BF11" s="62">
        <f t="shared" si="16"/>
        <v>0</v>
      </c>
      <c r="BG11" s="62">
        <f t="shared" si="16"/>
        <v>0</v>
      </c>
      <c r="BH11" s="62">
        <f t="shared" si="16"/>
        <v>0</v>
      </c>
      <c r="BI11" s="62">
        <f t="shared" si="16"/>
        <v>0</v>
      </c>
      <c r="BJ11" s="62">
        <f t="shared" si="16"/>
        <v>0</v>
      </c>
      <c r="BK11" s="62">
        <f t="shared" si="16"/>
        <v>0</v>
      </c>
      <c r="BL11" s="62">
        <f t="shared" si="16"/>
        <v>0</v>
      </c>
    </row>
    <row r="12" spans="1:64" s="82" customFormat="1" ht="18" customHeight="1" x14ac:dyDescent="0.2">
      <c r="A12" s="383"/>
      <c r="B12" s="46" t="s">
        <v>19</v>
      </c>
      <c r="C12" s="47">
        <f>SUM(D12:CA12)</f>
        <v>0</v>
      </c>
      <c r="D12" s="62">
        <f>SUM(D33:D35)</f>
        <v>0</v>
      </c>
      <c r="E12" s="62">
        <f t="shared" ref="E12:AH12" si="17">SUM(E33:E35)</f>
        <v>0</v>
      </c>
      <c r="F12" s="62">
        <f t="shared" si="17"/>
        <v>0</v>
      </c>
      <c r="G12" s="62">
        <f t="shared" si="17"/>
        <v>0</v>
      </c>
      <c r="H12" s="62">
        <f t="shared" si="17"/>
        <v>0</v>
      </c>
      <c r="I12" s="62">
        <f t="shared" si="17"/>
        <v>0</v>
      </c>
      <c r="J12" s="62">
        <f t="shared" si="17"/>
        <v>0</v>
      </c>
      <c r="K12" s="62">
        <f t="shared" si="17"/>
        <v>0</v>
      </c>
      <c r="L12" s="62">
        <f t="shared" si="17"/>
        <v>0</v>
      </c>
      <c r="M12" s="62">
        <f t="shared" si="17"/>
        <v>0</v>
      </c>
      <c r="N12" s="62">
        <f t="shared" si="17"/>
        <v>0</v>
      </c>
      <c r="O12" s="62">
        <f t="shared" si="17"/>
        <v>0</v>
      </c>
      <c r="P12" s="62">
        <f t="shared" si="17"/>
        <v>0</v>
      </c>
      <c r="Q12" s="62">
        <f t="shared" si="17"/>
        <v>0</v>
      </c>
      <c r="R12" s="62">
        <f t="shared" si="17"/>
        <v>0</v>
      </c>
      <c r="S12" s="62">
        <f t="shared" si="17"/>
        <v>0</v>
      </c>
      <c r="T12" s="62">
        <f t="shared" si="17"/>
        <v>0</v>
      </c>
      <c r="U12" s="62">
        <f t="shared" si="17"/>
        <v>0</v>
      </c>
      <c r="V12" s="62">
        <f t="shared" si="17"/>
        <v>0</v>
      </c>
      <c r="W12" s="62">
        <f t="shared" si="17"/>
        <v>0</v>
      </c>
      <c r="X12" s="62">
        <f t="shared" si="17"/>
        <v>0</v>
      </c>
      <c r="Y12" s="62">
        <f t="shared" si="17"/>
        <v>0</v>
      </c>
      <c r="Z12" s="62">
        <f t="shared" si="17"/>
        <v>0</v>
      </c>
      <c r="AA12" s="62">
        <f t="shared" si="17"/>
        <v>0</v>
      </c>
      <c r="AB12" s="62">
        <f t="shared" si="17"/>
        <v>0</v>
      </c>
      <c r="AC12" s="62">
        <f t="shared" si="17"/>
        <v>0</v>
      </c>
      <c r="AD12" s="62">
        <f t="shared" si="17"/>
        <v>0</v>
      </c>
      <c r="AE12" s="62">
        <f t="shared" si="17"/>
        <v>0</v>
      </c>
      <c r="AF12" s="62">
        <f t="shared" si="17"/>
        <v>0</v>
      </c>
      <c r="AG12" s="62">
        <f t="shared" si="17"/>
        <v>0</v>
      </c>
      <c r="AH12" s="62">
        <f t="shared" si="17"/>
        <v>0</v>
      </c>
      <c r="AI12" s="62">
        <f t="shared" ref="AI12:BL12" si="18">SUM(AI33:AI35)</f>
        <v>0</v>
      </c>
      <c r="AJ12" s="62">
        <f t="shared" si="18"/>
        <v>0</v>
      </c>
      <c r="AK12" s="62">
        <f t="shared" si="18"/>
        <v>0</v>
      </c>
      <c r="AL12" s="62">
        <f t="shared" si="18"/>
        <v>0</v>
      </c>
      <c r="AM12" s="62">
        <f t="shared" si="18"/>
        <v>0</v>
      </c>
      <c r="AN12" s="62">
        <f t="shared" si="18"/>
        <v>0</v>
      </c>
      <c r="AO12" s="62">
        <f t="shared" si="18"/>
        <v>0</v>
      </c>
      <c r="AP12" s="62">
        <f t="shared" si="18"/>
        <v>0</v>
      </c>
      <c r="AQ12" s="62">
        <f t="shared" si="18"/>
        <v>0</v>
      </c>
      <c r="AR12" s="62">
        <f t="shared" si="18"/>
        <v>0</v>
      </c>
      <c r="AS12" s="62">
        <f t="shared" si="18"/>
        <v>0</v>
      </c>
      <c r="AT12" s="62">
        <f t="shared" si="18"/>
        <v>0</v>
      </c>
      <c r="AU12" s="62">
        <f t="shared" si="18"/>
        <v>0</v>
      </c>
      <c r="AV12" s="62">
        <f t="shared" si="18"/>
        <v>0</v>
      </c>
      <c r="AW12" s="62">
        <f t="shared" si="18"/>
        <v>0</v>
      </c>
      <c r="AX12" s="62">
        <f t="shared" si="18"/>
        <v>0</v>
      </c>
      <c r="AY12" s="62">
        <f t="shared" si="18"/>
        <v>0</v>
      </c>
      <c r="AZ12" s="62">
        <f t="shared" si="18"/>
        <v>0</v>
      </c>
      <c r="BA12" s="62">
        <f t="shared" si="18"/>
        <v>0</v>
      </c>
      <c r="BB12" s="62">
        <f t="shared" si="18"/>
        <v>0</v>
      </c>
      <c r="BC12" s="62">
        <f t="shared" si="18"/>
        <v>0</v>
      </c>
      <c r="BD12" s="62">
        <f t="shared" si="18"/>
        <v>0</v>
      </c>
      <c r="BE12" s="62">
        <f t="shared" si="18"/>
        <v>0</v>
      </c>
      <c r="BF12" s="62">
        <f t="shared" si="18"/>
        <v>0</v>
      </c>
      <c r="BG12" s="62">
        <f t="shared" si="18"/>
        <v>0</v>
      </c>
      <c r="BH12" s="62">
        <f t="shared" si="18"/>
        <v>0</v>
      </c>
      <c r="BI12" s="62">
        <f t="shared" si="18"/>
        <v>0</v>
      </c>
      <c r="BJ12" s="62">
        <f t="shared" si="18"/>
        <v>0</v>
      </c>
      <c r="BK12" s="62">
        <f t="shared" si="18"/>
        <v>0</v>
      </c>
      <c r="BL12" s="62">
        <f t="shared" si="18"/>
        <v>0</v>
      </c>
    </row>
    <row r="13" spans="1:64" s="82" customFormat="1" ht="18" customHeight="1" x14ac:dyDescent="0.2">
      <c r="A13" s="383"/>
      <c r="B13" s="46" t="s">
        <v>16</v>
      </c>
      <c r="C13" s="47">
        <f>SUM(D13:CA13)</f>
        <v>0</v>
      </c>
      <c r="D13" s="62">
        <f>SUM(D36:D38)</f>
        <v>0</v>
      </c>
      <c r="E13" s="62">
        <f t="shared" ref="E13:AH13" si="19">SUM(E36:E38)</f>
        <v>0</v>
      </c>
      <c r="F13" s="62">
        <f t="shared" si="19"/>
        <v>0</v>
      </c>
      <c r="G13" s="62">
        <f t="shared" si="19"/>
        <v>0</v>
      </c>
      <c r="H13" s="62">
        <f t="shared" si="19"/>
        <v>0</v>
      </c>
      <c r="I13" s="62">
        <f t="shared" si="19"/>
        <v>0</v>
      </c>
      <c r="J13" s="62">
        <f t="shared" si="19"/>
        <v>0</v>
      </c>
      <c r="K13" s="62">
        <f t="shared" si="19"/>
        <v>0</v>
      </c>
      <c r="L13" s="62">
        <f t="shared" si="19"/>
        <v>0</v>
      </c>
      <c r="M13" s="62">
        <f t="shared" si="19"/>
        <v>0</v>
      </c>
      <c r="N13" s="62">
        <f t="shared" si="19"/>
        <v>0</v>
      </c>
      <c r="O13" s="62">
        <f t="shared" si="19"/>
        <v>0</v>
      </c>
      <c r="P13" s="62">
        <f t="shared" si="19"/>
        <v>0</v>
      </c>
      <c r="Q13" s="62">
        <f t="shared" si="19"/>
        <v>0</v>
      </c>
      <c r="R13" s="62">
        <f t="shared" si="19"/>
        <v>0</v>
      </c>
      <c r="S13" s="62">
        <f t="shared" si="19"/>
        <v>0</v>
      </c>
      <c r="T13" s="62">
        <f t="shared" si="19"/>
        <v>0</v>
      </c>
      <c r="U13" s="62">
        <f t="shared" si="19"/>
        <v>0</v>
      </c>
      <c r="V13" s="62">
        <f t="shared" si="19"/>
        <v>0</v>
      </c>
      <c r="W13" s="62">
        <f t="shared" si="19"/>
        <v>0</v>
      </c>
      <c r="X13" s="62">
        <f t="shared" si="19"/>
        <v>0</v>
      </c>
      <c r="Y13" s="62">
        <f t="shared" si="19"/>
        <v>0</v>
      </c>
      <c r="Z13" s="62">
        <f t="shared" si="19"/>
        <v>0</v>
      </c>
      <c r="AA13" s="62">
        <f t="shared" si="19"/>
        <v>0</v>
      </c>
      <c r="AB13" s="62">
        <f t="shared" si="19"/>
        <v>0</v>
      </c>
      <c r="AC13" s="62">
        <f t="shared" si="19"/>
        <v>0</v>
      </c>
      <c r="AD13" s="62">
        <f t="shared" si="19"/>
        <v>0</v>
      </c>
      <c r="AE13" s="62">
        <f t="shared" si="19"/>
        <v>0</v>
      </c>
      <c r="AF13" s="62">
        <f t="shared" si="19"/>
        <v>0</v>
      </c>
      <c r="AG13" s="62">
        <f t="shared" si="19"/>
        <v>0</v>
      </c>
      <c r="AH13" s="62">
        <f t="shared" si="19"/>
        <v>0</v>
      </c>
      <c r="AI13" s="62">
        <f t="shared" ref="AI13:BL13" si="20">SUM(AI36:AI38)</f>
        <v>0</v>
      </c>
      <c r="AJ13" s="62">
        <f t="shared" si="20"/>
        <v>0</v>
      </c>
      <c r="AK13" s="62">
        <f t="shared" si="20"/>
        <v>0</v>
      </c>
      <c r="AL13" s="62">
        <f t="shared" si="20"/>
        <v>0</v>
      </c>
      <c r="AM13" s="62">
        <f t="shared" si="20"/>
        <v>0</v>
      </c>
      <c r="AN13" s="62">
        <f t="shared" si="20"/>
        <v>0</v>
      </c>
      <c r="AO13" s="62">
        <f t="shared" si="20"/>
        <v>0</v>
      </c>
      <c r="AP13" s="62">
        <f t="shared" si="20"/>
        <v>0</v>
      </c>
      <c r="AQ13" s="62">
        <f t="shared" si="20"/>
        <v>0</v>
      </c>
      <c r="AR13" s="62">
        <f t="shared" si="20"/>
        <v>0</v>
      </c>
      <c r="AS13" s="62">
        <f t="shared" si="20"/>
        <v>0</v>
      </c>
      <c r="AT13" s="62">
        <f t="shared" si="20"/>
        <v>0</v>
      </c>
      <c r="AU13" s="62">
        <f t="shared" si="20"/>
        <v>0</v>
      </c>
      <c r="AV13" s="62">
        <f t="shared" si="20"/>
        <v>0</v>
      </c>
      <c r="AW13" s="62">
        <f t="shared" si="20"/>
        <v>0</v>
      </c>
      <c r="AX13" s="62">
        <f t="shared" si="20"/>
        <v>0</v>
      </c>
      <c r="AY13" s="62">
        <f t="shared" si="20"/>
        <v>0</v>
      </c>
      <c r="AZ13" s="62">
        <f t="shared" si="20"/>
        <v>0</v>
      </c>
      <c r="BA13" s="62">
        <f t="shared" si="20"/>
        <v>0</v>
      </c>
      <c r="BB13" s="62">
        <f t="shared" si="20"/>
        <v>0</v>
      </c>
      <c r="BC13" s="62">
        <f t="shared" si="20"/>
        <v>0</v>
      </c>
      <c r="BD13" s="62">
        <f t="shared" si="20"/>
        <v>0</v>
      </c>
      <c r="BE13" s="62">
        <f t="shared" si="20"/>
        <v>0</v>
      </c>
      <c r="BF13" s="62">
        <f t="shared" si="20"/>
        <v>0</v>
      </c>
      <c r="BG13" s="62">
        <f t="shared" si="20"/>
        <v>0</v>
      </c>
      <c r="BH13" s="62">
        <f t="shared" si="20"/>
        <v>0</v>
      </c>
      <c r="BI13" s="62">
        <f t="shared" si="20"/>
        <v>0</v>
      </c>
      <c r="BJ13" s="62">
        <f t="shared" si="20"/>
        <v>0</v>
      </c>
      <c r="BK13" s="62">
        <f t="shared" si="20"/>
        <v>0</v>
      </c>
      <c r="BL13" s="62">
        <f t="shared" si="20"/>
        <v>0</v>
      </c>
    </row>
    <row r="14" spans="1:64" s="82" customFormat="1" ht="18" customHeight="1" x14ac:dyDescent="0.2">
      <c r="A14" s="384"/>
      <c r="B14" s="52" t="s">
        <v>17</v>
      </c>
      <c r="C14" s="53">
        <f>SUM(D14:CA14)</f>
        <v>49</v>
      </c>
      <c r="D14" s="63">
        <f>SUM(D39:D41)</f>
        <v>0</v>
      </c>
      <c r="E14" s="63">
        <f t="shared" ref="E14:AH14" si="21">SUM(E39:E41)</f>
        <v>0</v>
      </c>
      <c r="F14" s="63">
        <f t="shared" si="21"/>
        <v>0</v>
      </c>
      <c r="G14" s="63">
        <f t="shared" si="21"/>
        <v>0</v>
      </c>
      <c r="H14" s="63">
        <f t="shared" si="21"/>
        <v>0</v>
      </c>
      <c r="I14" s="63">
        <f t="shared" si="21"/>
        <v>0</v>
      </c>
      <c r="J14" s="63">
        <f t="shared" si="21"/>
        <v>0</v>
      </c>
      <c r="K14" s="63">
        <f t="shared" si="21"/>
        <v>34</v>
      </c>
      <c r="L14" s="63">
        <f t="shared" si="21"/>
        <v>15</v>
      </c>
      <c r="M14" s="63">
        <f t="shared" si="21"/>
        <v>0</v>
      </c>
      <c r="N14" s="63">
        <f t="shared" si="21"/>
        <v>0</v>
      </c>
      <c r="O14" s="63">
        <f t="shared" si="21"/>
        <v>0</v>
      </c>
      <c r="P14" s="63">
        <f t="shared" si="21"/>
        <v>0</v>
      </c>
      <c r="Q14" s="63">
        <f t="shared" si="21"/>
        <v>0</v>
      </c>
      <c r="R14" s="63">
        <f t="shared" si="21"/>
        <v>0</v>
      </c>
      <c r="S14" s="63">
        <f t="shared" si="21"/>
        <v>0</v>
      </c>
      <c r="T14" s="63">
        <f t="shared" si="21"/>
        <v>0</v>
      </c>
      <c r="U14" s="63">
        <f t="shared" si="21"/>
        <v>0</v>
      </c>
      <c r="V14" s="63">
        <f t="shared" si="21"/>
        <v>0</v>
      </c>
      <c r="W14" s="63">
        <f t="shared" si="21"/>
        <v>0</v>
      </c>
      <c r="X14" s="63">
        <f t="shared" si="21"/>
        <v>0</v>
      </c>
      <c r="Y14" s="63">
        <f t="shared" si="21"/>
        <v>0</v>
      </c>
      <c r="Z14" s="63">
        <f t="shared" si="21"/>
        <v>0</v>
      </c>
      <c r="AA14" s="63">
        <f t="shared" si="21"/>
        <v>0</v>
      </c>
      <c r="AB14" s="63">
        <f t="shared" si="21"/>
        <v>0</v>
      </c>
      <c r="AC14" s="63">
        <f t="shared" si="21"/>
        <v>0</v>
      </c>
      <c r="AD14" s="63">
        <f t="shared" si="21"/>
        <v>0</v>
      </c>
      <c r="AE14" s="63">
        <f t="shared" si="21"/>
        <v>0</v>
      </c>
      <c r="AF14" s="63">
        <f t="shared" si="21"/>
        <v>0</v>
      </c>
      <c r="AG14" s="63">
        <f t="shared" si="21"/>
        <v>0</v>
      </c>
      <c r="AH14" s="63">
        <f t="shared" si="21"/>
        <v>0</v>
      </c>
      <c r="AI14" s="63">
        <f t="shared" ref="AI14:BL14" si="22">SUM(AI39:AI41)</f>
        <v>0</v>
      </c>
      <c r="AJ14" s="63">
        <f t="shared" si="22"/>
        <v>0</v>
      </c>
      <c r="AK14" s="63">
        <f t="shared" si="22"/>
        <v>0</v>
      </c>
      <c r="AL14" s="63">
        <f t="shared" si="22"/>
        <v>0</v>
      </c>
      <c r="AM14" s="63">
        <f t="shared" si="22"/>
        <v>0</v>
      </c>
      <c r="AN14" s="63">
        <f t="shared" si="22"/>
        <v>0</v>
      </c>
      <c r="AO14" s="63">
        <f t="shared" si="22"/>
        <v>0</v>
      </c>
      <c r="AP14" s="63">
        <f t="shared" si="22"/>
        <v>0</v>
      </c>
      <c r="AQ14" s="63">
        <f t="shared" si="22"/>
        <v>0</v>
      </c>
      <c r="AR14" s="63">
        <f t="shared" si="22"/>
        <v>0</v>
      </c>
      <c r="AS14" s="63">
        <f t="shared" si="22"/>
        <v>0</v>
      </c>
      <c r="AT14" s="63">
        <f t="shared" si="22"/>
        <v>0</v>
      </c>
      <c r="AU14" s="63">
        <f t="shared" si="22"/>
        <v>0</v>
      </c>
      <c r="AV14" s="63">
        <f t="shared" si="22"/>
        <v>0</v>
      </c>
      <c r="AW14" s="63">
        <f t="shared" si="22"/>
        <v>0</v>
      </c>
      <c r="AX14" s="63">
        <f t="shared" si="22"/>
        <v>0</v>
      </c>
      <c r="AY14" s="63">
        <f t="shared" si="22"/>
        <v>0</v>
      </c>
      <c r="AZ14" s="63">
        <f t="shared" si="22"/>
        <v>0</v>
      </c>
      <c r="BA14" s="63">
        <f t="shared" si="22"/>
        <v>0</v>
      </c>
      <c r="BB14" s="63">
        <f t="shared" si="22"/>
        <v>0</v>
      </c>
      <c r="BC14" s="63">
        <f t="shared" si="22"/>
        <v>0</v>
      </c>
      <c r="BD14" s="63">
        <f t="shared" si="22"/>
        <v>0</v>
      </c>
      <c r="BE14" s="63">
        <f t="shared" si="22"/>
        <v>0</v>
      </c>
      <c r="BF14" s="63">
        <f t="shared" si="22"/>
        <v>0</v>
      </c>
      <c r="BG14" s="63">
        <f t="shared" si="22"/>
        <v>0</v>
      </c>
      <c r="BH14" s="63">
        <f t="shared" si="22"/>
        <v>0</v>
      </c>
      <c r="BI14" s="63">
        <f t="shared" si="22"/>
        <v>0</v>
      </c>
      <c r="BJ14" s="63">
        <f t="shared" si="22"/>
        <v>0</v>
      </c>
      <c r="BK14" s="63">
        <f t="shared" si="22"/>
        <v>0</v>
      </c>
      <c r="BL14" s="63">
        <f t="shared" si="22"/>
        <v>0</v>
      </c>
    </row>
    <row r="15" spans="1:64" ht="15" customHeight="1" x14ac:dyDescent="0.2">
      <c r="A15" s="374" t="s">
        <v>12</v>
      </c>
      <c r="B15" s="385">
        <v>8</v>
      </c>
      <c r="C15" s="74" t="s">
        <v>20</v>
      </c>
      <c r="D15" s="75"/>
      <c r="E15" s="75"/>
      <c r="F15" s="75"/>
      <c r="G15" s="75"/>
      <c r="H15" s="75"/>
      <c r="I15" s="75"/>
      <c r="J15" s="75"/>
      <c r="K15" s="75"/>
      <c r="L15" s="75">
        <v>20</v>
      </c>
      <c r="M15" s="75"/>
      <c r="N15" s="75"/>
      <c r="O15" s="75"/>
      <c r="P15" s="75"/>
      <c r="Q15" s="75"/>
      <c r="R15" s="75"/>
      <c r="S15" s="75"/>
      <c r="T15" s="75"/>
      <c r="U15" s="75"/>
      <c r="V15" s="75"/>
      <c r="W15" s="75"/>
      <c r="X15" s="75"/>
      <c r="Y15" s="75"/>
      <c r="Z15" s="75"/>
      <c r="AA15" s="75"/>
      <c r="AB15" s="75"/>
      <c r="AC15" s="75"/>
      <c r="AD15" s="75"/>
      <c r="AE15" s="75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5"/>
      <c r="BA15" s="75"/>
      <c r="BB15" s="75"/>
      <c r="BC15" s="75"/>
      <c r="BD15" s="75"/>
      <c r="BE15" s="75"/>
      <c r="BF15" s="75"/>
      <c r="BG15" s="75"/>
      <c r="BH15" s="75"/>
      <c r="BI15" s="75"/>
      <c r="BJ15" s="75"/>
      <c r="BK15" s="75"/>
      <c r="BL15" s="75"/>
    </row>
    <row r="16" spans="1:64" ht="15" customHeight="1" x14ac:dyDescent="0.2">
      <c r="A16" s="375"/>
      <c r="B16" s="386"/>
      <c r="C16" s="76" t="s">
        <v>0</v>
      </c>
      <c r="D16" s="77"/>
      <c r="E16" s="77"/>
      <c r="F16" s="77"/>
      <c r="G16" s="77"/>
      <c r="H16" s="77"/>
      <c r="I16" s="77"/>
      <c r="J16" s="77"/>
      <c r="K16" s="77"/>
      <c r="L16" s="77"/>
      <c r="M16" s="77"/>
      <c r="N16" s="77"/>
      <c r="O16" s="77"/>
      <c r="P16" s="77"/>
      <c r="Q16" s="77"/>
      <c r="R16" s="77"/>
      <c r="S16" s="77"/>
      <c r="T16" s="77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7"/>
      <c r="AJ16" s="77"/>
      <c r="AK16" s="77"/>
      <c r="AL16" s="77"/>
      <c r="AM16" s="77"/>
      <c r="AN16" s="77"/>
      <c r="AO16" s="77"/>
      <c r="AP16" s="77"/>
      <c r="AQ16" s="77"/>
      <c r="AR16" s="77"/>
      <c r="AS16" s="77"/>
      <c r="AT16" s="77"/>
      <c r="AU16" s="77"/>
      <c r="AV16" s="77"/>
      <c r="AW16" s="77"/>
      <c r="AX16" s="77"/>
      <c r="AY16" s="77"/>
      <c r="AZ16" s="77"/>
      <c r="BA16" s="77"/>
      <c r="BB16" s="77"/>
      <c r="BC16" s="77"/>
      <c r="BD16" s="77"/>
      <c r="BE16" s="77"/>
      <c r="BF16" s="77"/>
      <c r="BG16" s="77"/>
      <c r="BH16" s="77"/>
      <c r="BI16" s="77"/>
      <c r="BJ16" s="77"/>
      <c r="BK16" s="77"/>
      <c r="BL16" s="77"/>
    </row>
    <row r="17" spans="1:64" ht="15" customHeight="1" x14ac:dyDescent="0.2">
      <c r="A17" s="375"/>
      <c r="B17" s="387"/>
      <c r="C17" s="78" t="s">
        <v>1</v>
      </c>
      <c r="D17" s="79"/>
      <c r="E17" s="79"/>
      <c r="F17" s="79"/>
      <c r="G17" s="79"/>
      <c r="H17" s="79"/>
      <c r="I17" s="79"/>
      <c r="J17" s="79"/>
      <c r="K17" s="79"/>
      <c r="L17" s="79"/>
      <c r="M17" s="79"/>
      <c r="N17" s="79"/>
      <c r="O17" s="79"/>
      <c r="P17" s="79"/>
      <c r="Q17" s="79"/>
      <c r="R17" s="79"/>
      <c r="S17" s="79"/>
      <c r="T17" s="79"/>
      <c r="U17" s="79"/>
      <c r="V17" s="79"/>
      <c r="W17" s="79"/>
      <c r="X17" s="79"/>
      <c r="Y17" s="79"/>
      <c r="Z17" s="79"/>
      <c r="AA17" s="79"/>
      <c r="AB17" s="79"/>
      <c r="AC17" s="79"/>
      <c r="AD17" s="79"/>
      <c r="AE17" s="79"/>
      <c r="AF17" s="79"/>
      <c r="AG17" s="79"/>
      <c r="AH17" s="79"/>
      <c r="AI17" s="79"/>
      <c r="AJ17" s="79"/>
      <c r="AK17" s="79"/>
      <c r="AL17" s="79"/>
      <c r="AM17" s="79"/>
      <c r="AN17" s="79"/>
      <c r="AO17" s="79"/>
      <c r="AP17" s="79"/>
      <c r="AQ17" s="79"/>
      <c r="AR17" s="79"/>
      <c r="AS17" s="79"/>
      <c r="AT17" s="79"/>
      <c r="AU17" s="79"/>
      <c r="AV17" s="79"/>
      <c r="AW17" s="79"/>
      <c r="AX17" s="79"/>
      <c r="AY17" s="79"/>
      <c r="AZ17" s="79"/>
      <c r="BA17" s="79"/>
      <c r="BB17" s="79"/>
      <c r="BC17" s="79"/>
      <c r="BD17" s="79"/>
      <c r="BE17" s="79"/>
      <c r="BF17" s="79"/>
      <c r="BG17" s="79"/>
      <c r="BH17" s="79"/>
      <c r="BI17" s="79"/>
      <c r="BJ17" s="79"/>
      <c r="BK17" s="79"/>
      <c r="BL17" s="79"/>
    </row>
    <row r="18" spans="1:64" ht="14.1" hidden="1" customHeight="1" x14ac:dyDescent="0.2">
      <c r="A18" s="375"/>
      <c r="B18" s="388">
        <v>10</v>
      </c>
      <c r="C18" s="74" t="s">
        <v>20</v>
      </c>
      <c r="D18" s="75"/>
      <c r="E18" s="75"/>
      <c r="F18" s="75"/>
      <c r="G18" s="75"/>
      <c r="H18" s="75"/>
      <c r="I18" s="75"/>
      <c r="J18" s="75"/>
      <c r="K18" s="75"/>
      <c r="L18" s="75"/>
      <c r="M18" s="75"/>
      <c r="N18" s="75"/>
      <c r="O18" s="75"/>
      <c r="P18" s="75"/>
      <c r="Q18" s="75"/>
      <c r="R18" s="75"/>
      <c r="S18" s="75"/>
      <c r="T18" s="75"/>
      <c r="U18" s="75"/>
      <c r="V18" s="75"/>
      <c r="W18" s="75"/>
      <c r="X18" s="75"/>
      <c r="Y18" s="75"/>
      <c r="Z18" s="75"/>
      <c r="AA18" s="75"/>
      <c r="AB18" s="75"/>
      <c r="AC18" s="75"/>
      <c r="AD18" s="75"/>
      <c r="AE18" s="75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5"/>
      <c r="BA18" s="75"/>
      <c r="BB18" s="75"/>
      <c r="BC18" s="75"/>
      <c r="BD18" s="75"/>
      <c r="BE18" s="75"/>
      <c r="BF18" s="75"/>
      <c r="BG18" s="75"/>
      <c r="BH18" s="75"/>
      <c r="BI18" s="75"/>
      <c r="BJ18" s="75"/>
      <c r="BK18" s="75"/>
      <c r="BL18" s="75"/>
    </row>
    <row r="19" spans="1:64" ht="14.1" hidden="1" customHeight="1" x14ac:dyDescent="0.2">
      <c r="A19" s="375"/>
      <c r="B19" s="386"/>
      <c r="C19" s="76" t="s">
        <v>0</v>
      </c>
      <c r="D19" s="77"/>
      <c r="E19" s="77"/>
      <c r="F19" s="77"/>
      <c r="G19" s="77"/>
      <c r="H19" s="77"/>
      <c r="I19" s="77"/>
      <c r="J19" s="77"/>
      <c r="K19" s="77"/>
      <c r="L19" s="77"/>
      <c r="M19" s="77"/>
      <c r="N19" s="77"/>
      <c r="O19" s="77"/>
      <c r="P19" s="77"/>
      <c r="Q19" s="77"/>
      <c r="R19" s="77"/>
      <c r="S19" s="77"/>
      <c r="T19" s="77"/>
      <c r="U19" s="77"/>
      <c r="V19" s="77"/>
      <c r="W19" s="77"/>
      <c r="X19" s="77"/>
      <c r="Y19" s="77"/>
      <c r="Z19" s="77"/>
      <c r="AA19" s="77"/>
      <c r="AB19" s="77"/>
      <c r="AC19" s="77"/>
      <c r="AD19" s="77"/>
      <c r="AE19" s="77"/>
      <c r="AF19" s="77"/>
      <c r="AG19" s="77"/>
      <c r="AH19" s="77"/>
      <c r="AI19" s="77"/>
      <c r="AJ19" s="77"/>
      <c r="AK19" s="77"/>
      <c r="AL19" s="77"/>
      <c r="AM19" s="77"/>
      <c r="AN19" s="77"/>
      <c r="AO19" s="77"/>
      <c r="AP19" s="77"/>
      <c r="AQ19" s="77"/>
      <c r="AR19" s="77"/>
      <c r="AS19" s="77"/>
      <c r="AT19" s="77"/>
      <c r="AU19" s="77"/>
      <c r="AV19" s="77"/>
      <c r="AW19" s="77"/>
      <c r="AX19" s="77"/>
      <c r="AY19" s="77"/>
      <c r="AZ19" s="77"/>
      <c r="BA19" s="77"/>
      <c r="BB19" s="77"/>
      <c r="BC19" s="77"/>
      <c r="BD19" s="77"/>
      <c r="BE19" s="77"/>
      <c r="BF19" s="77"/>
      <c r="BG19" s="77"/>
      <c r="BH19" s="77"/>
      <c r="BI19" s="77"/>
      <c r="BJ19" s="77"/>
      <c r="BK19" s="77"/>
      <c r="BL19" s="77"/>
    </row>
    <row r="20" spans="1:64" ht="14.1" hidden="1" customHeight="1" x14ac:dyDescent="0.2">
      <c r="A20" s="375"/>
      <c r="B20" s="389"/>
      <c r="C20" s="78" t="s">
        <v>1</v>
      </c>
      <c r="D20" s="79"/>
      <c r="E20" s="79"/>
      <c r="F20" s="79"/>
      <c r="G20" s="79"/>
      <c r="H20" s="79"/>
      <c r="I20" s="79"/>
      <c r="J20" s="79"/>
      <c r="K20" s="79"/>
      <c r="L20" s="79"/>
      <c r="M20" s="79"/>
      <c r="N20" s="79"/>
      <c r="O20" s="79"/>
      <c r="P20" s="79"/>
      <c r="Q20" s="79"/>
      <c r="R20" s="79"/>
      <c r="S20" s="79"/>
      <c r="T20" s="79"/>
      <c r="U20" s="79"/>
      <c r="V20" s="79"/>
      <c r="W20" s="79"/>
      <c r="X20" s="79"/>
      <c r="Y20" s="79"/>
      <c r="Z20" s="79"/>
      <c r="AA20" s="79"/>
      <c r="AB20" s="79"/>
      <c r="AC20" s="79"/>
      <c r="AD20" s="79"/>
      <c r="AE20" s="79"/>
      <c r="AF20" s="79"/>
      <c r="AG20" s="79"/>
      <c r="AH20" s="79"/>
      <c r="AI20" s="79"/>
      <c r="AJ20" s="79"/>
      <c r="AK20" s="79"/>
      <c r="AL20" s="79"/>
      <c r="AM20" s="79"/>
      <c r="AN20" s="79"/>
      <c r="AO20" s="79"/>
      <c r="AP20" s="79"/>
      <c r="AQ20" s="79"/>
      <c r="AR20" s="79"/>
      <c r="AS20" s="79"/>
      <c r="AT20" s="79"/>
      <c r="AU20" s="79"/>
      <c r="AV20" s="79"/>
      <c r="AW20" s="79"/>
      <c r="AX20" s="79"/>
      <c r="AY20" s="79"/>
      <c r="AZ20" s="79"/>
      <c r="BA20" s="79"/>
      <c r="BB20" s="79"/>
      <c r="BC20" s="79"/>
      <c r="BD20" s="79"/>
      <c r="BE20" s="79"/>
      <c r="BF20" s="79"/>
      <c r="BG20" s="79"/>
      <c r="BH20" s="79"/>
      <c r="BI20" s="79"/>
      <c r="BJ20" s="79"/>
      <c r="BK20" s="79"/>
      <c r="BL20" s="79"/>
    </row>
    <row r="21" spans="1:64" ht="14.1" hidden="1" customHeight="1" x14ac:dyDescent="0.2">
      <c r="A21" s="375"/>
      <c r="B21" s="385">
        <v>12</v>
      </c>
      <c r="C21" s="74" t="s">
        <v>20</v>
      </c>
      <c r="D21" s="75"/>
      <c r="E21" s="75"/>
      <c r="F21" s="75"/>
      <c r="G21" s="75"/>
      <c r="H21" s="75"/>
      <c r="I21" s="75"/>
      <c r="J21" s="75"/>
      <c r="K21" s="75"/>
      <c r="L21" s="75"/>
      <c r="M21" s="75"/>
      <c r="N21" s="75"/>
      <c r="O21" s="75"/>
      <c r="P21" s="75"/>
      <c r="Q21" s="75"/>
      <c r="R21" s="75"/>
      <c r="S21" s="75"/>
      <c r="T21" s="75"/>
      <c r="U21" s="75"/>
      <c r="V21" s="75"/>
      <c r="W21" s="75"/>
      <c r="X21" s="75"/>
      <c r="Y21" s="75"/>
      <c r="Z21" s="75"/>
      <c r="AA21" s="75"/>
      <c r="AB21" s="75"/>
      <c r="AC21" s="75"/>
      <c r="AD21" s="75"/>
      <c r="AE21" s="75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5"/>
      <c r="BA21" s="75"/>
      <c r="BB21" s="75"/>
      <c r="BC21" s="75"/>
      <c r="BD21" s="75"/>
      <c r="BE21" s="75"/>
      <c r="BF21" s="75"/>
      <c r="BG21" s="75"/>
      <c r="BH21" s="75"/>
      <c r="BI21" s="75"/>
      <c r="BJ21" s="75"/>
      <c r="BK21" s="75"/>
      <c r="BL21" s="75"/>
    </row>
    <row r="22" spans="1:64" ht="14.1" hidden="1" customHeight="1" x14ac:dyDescent="0.2">
      <c r="A22" s="375"/>
      <c r="B22" s="386"/>
      <c r="C22" s="76" t="s">
        <v>0</v>
      </c>
      <c r="D22" s="77"/>
      <c r="E22" s="77"/>
      <c r="F22" s="77"/>
      <c r="G22" s="77"/>
      <c r="H22" s="77"/>
      <c r="I22" s="77"/>
      <c r="J22" s="77"/>
      <c r="K22" s="77"/>
      <c r="L22" s="77"/>
      <c r="M22" s="77"/>
      <c r="N22" s="77"/>
      <c r="O22" s="77"/>
      <c r="P22" s="77"/>
      <c r="Q22" s="77"/>
      <c r="R22" s="77"/>
      <c r="S22" s="77"/>
      <c r="T22" s="77"/>
      <c r="U22" s="77"/>
      <c r="V22" s="77"/>
      <c r="W22" s="77"/>
      <c r="X22" s="77"/>
      <c r="Y22" s="77"/>
      <c r="Z22" s="77"/>
      <c r="AA22" s="77"/>
      <c r="AB22" s="77"/>
      <c r="AC22" s="77"/>
      <c r="AD22" s="77"/>
      <c r="AE22" s="77"/>
      <c r="AF22" s="77"/>
      <c r="AG22" s="77"/>
      <c r="AH22" s="77"/>
      <c r="AI22" s="77"/>
      <c r="AJ22" s="77"/>
      <c r="AK22" s="77"/>
      <c r="AL22" s="77"/>
      <c r="AM22" s="77"/>
      <c r="AN22" s="77"/>
      <c r="AO22" s="77"/>
      <c r="AP22" s="77"/>
      <c r="AQ22" s="77"/>
      <c r="AR22" s="77"/>
      <c r="AS22" s="77"/>
      <c r="AT22" s="77"/>
      <c r="AU22" s="77"/>
      <c r="AV22" s="77"/>
      <c r="AW22" s="77"/>
      <c r="AX22" s="77"/>
      <c r="AY22" s="77"/>
      <c r="AZ22" s="77"/>
      <c r="BA22" s="77"/>
      <c r="BB22" s="77"/>
      <c r="BC22" s="77"/>
      <c r="BD22" s="77"/>
      <c r="BE22" s="77"/>
      <c r="BF22" s="77"/>
      <c r="BG22" s="77"/>
      <c r="BH22" s="77"/>
      <c r="BI22" s="77"/>
      <c r="BJ22" s="77"/>
      <c r="BK22" s="77"/>
      <c r="BL22" s="77"/>
    </row>
    <row r="23" spans="1:64" ht="14.1" hidden="1" customHeight="1" x14ac:dyDescent="0.2">
      <c r="A23" s="375"/>
      <c r="B23" s="389"/>
      <c r="C23" s="78" t="s">
        <v>1</v>
      </c>
      <c r="D23" s="79"/>
      <c r="E23" s="79"/>
      <c r="F23" s="79"/>
      <c r="G23" s="79"/>
      <c r="H23" s="79"/>
      <c r="I23" s="79"/>
      <c r="J23" s="79"/>
      <c r="K23" s="79"/>
      <c r="L23" s="79"/>
      <c r="M23" s="79"/>
      <c r="N23" s="79"/>
      <c r="O23" s="79"/>
      <c r="P23" s="79"/>
      <c r="Q23" s="79"/>
      <c r="R23" s="79"/>
      <c r="S23" s="79"/>
      <c r="T23" s="79"/>
      <c r="U23" s="79"/>
      <c r="V23" s="79"/>
      <c r="W23" s="79"/>
      <c r="X23" s="79"/>
      <c r="Y23" s="79"/>
      <c r="Z23" s="79"/>
      <c r="AA23" s="79"/>
      <c r="AB23" s="79"/>
      <c r="AC23" s="79"/>
      <c r="AD23" s="79"/>
      <c r="AE23" s="79"/>
      <c r="AF23" s="79"/>
      <c r="AG23" s="79"/>
      <c r="AH23" s="79"/>
      <c r="AI23" s="79"/>
      <c r="AJ23" s="79"/>
      <c r="AK23" s="79"/>
      <c r="AL23" s="79"/>
      <c r="AM23" s="79"/>
      <c r="AN23" s="79"/>
      <c r="AO23" s="79"/>
      <c r="AP23" s="79"/>
      <c r="AQ23" s="79"/>
      <c r="AR23" s="79"/>
      <c r="AS23" s="79"/>
      <c r="AT23" s="79"/>
      <c r="AU23" s="79"/>
      <c r="AV23" s="79"/>
      <c r="AW23" s="79"/>
      <c r="AX23" s="79"/>
      <c r="AY23" s="79"/>
      <c r="AZ23" s="79"/>
      <c r="BA23" s="79"/>
      <c r="BB23" s="79"/>
      <c r="BC23" s="79"/>
      <c r="BD23" s="79"/>
      <c r="BE23" s="79"/>
      <c r="BF23" s="79"/>
      <c r="BG23" s="79"/>
      <c r="BH23" s="79"/>
      <c r="BI23" s="79"/>
      <c r="BJ23" s="79"/>
      <c r="BK23" s="79"/>
      <c r="BL23" s="79"/>
    </row>
    <row r="24" spans="1:64" ht="14.1" customHeight="1" x14ac:dyDescent="0.2">
      <c r="A24" s="375"/>
      <c r="B24" s="385">
        <v>15</v>
      </c>
      <c r="C24" s="74" t="s">
        <v>20</v>
      </c>
      <c r="D24" s="75"/>
      <c r="E24" s="75"/>
      <c r="F24" s="75"/>
      <c r="G24" s="75"/>
      <c r="H24" s="75"/>
      <c r="I24" s="75"/>
      <c r="J24" s="75"/>
      <c r="K24" s="75"/>
      <c r="L24" s="75"/>
      <c r="M24" s="75"/>
      <c r="N24" s="75"/>
      <c r="O24" s="75"/>
      <c r="P24" s="75"/>
      <c r="Q24" s="75"/>
      <c r="R24" s="75"/>
      <c r="S24" s="75"/>
      <c r="T24" s="75"/>
      <c r="U24" s="75"/>
      <c r="V24" s="75"/>
      <c r="W24" s="75"/>
      <c r="X24" s="75"/>
      <c r="Y24" s="75"/>
      <c r="Z24" s="75"/>
      <c r="AA24" s="75"/>
      <c r="AB24" s="75"/>
      <c r="AC24" s="75"/>
      <c r="AD24" s="75"/>
      <c r="AE24" s="75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5"/>
      <c r="BA24" s="75"/>
      <c r="BB24" s="75"/>
      <c r="BC24" s="75"/>
      <c r="BD24" s="75"/>
      <c r="BE24" s="75"/>
      <c r="BF24" s="75"/>
      <c r="BG24" s="75"/>
      <c r="BH24" s="75"/>
      <c r="BI24" s="75"/>
      <c r="BJ24" s="75"/>
      <c r="BK24" s="75"/>
      <c r="BL24" s="75"/>
    </row>
    <row r="25" spans="1:64" ht="14.1" customHeight="1" x14ac:dyDescent="0.2">
      <c r="A25" s="375"/>
      <c r="B25" s="386"/>
      <c r="C25" s="76" t="s">
        <v>0</v>
      </c>
      <c r="D25" s="77"/>
      <c r="E25" s="77">
        <v>34</v>
      </c>
      <c r="F25" s="77">
        <v>34</v>
      </c>
      <c r="G25" s="77">
        <v>34</v>
      </c>
      <c r="H25" s="77">
        <v>34</v>
      </c>
      <c r="I25" s="77">
        <v>68</v>
      </c>
      <c r="J25" s="77">
        <v>34</v>
      </c>
      <c r="K25" s="77">
        <v>68</v>
      </c>
      <c r="L25" s="77">
        <v>68</v>
      </c>
      <c r="M25" s="77">
        <v>68</v>
      </c>
      <c r="N25" s="77">
        <v>68</v>
      </c>
      <c r="O25" s="77">
        <v>68</v>
      </c>
      <c r="P25" s="77">
        <v>68</v>
      </c>
      <c r="Q25" s="77">
        <v>34</v>
      </c>
      <c r="R25" s="77"/>
      <c r="S25" s="77"/>
      <c r="T25" s="77"/>
      <c r="U25" s="77"/>
      <c r="V25" s="77"/>
      <c r="W25" s="77"/>
      <c r="X25" s="77"/>
      <c r="Y25" s="77"/>
      <c r="Z25" s="77"/>
      <c r="AA25" s="77"/>
      <c r="AB25" s="77"/>
      <c r="AC25" s="77"/>
      <c r="AD25" s="77"/>
      <c r="AE25" s="77"/>
      <c r="AF25" s="77"/>
      <c r="AG25" s="77"/>
      <c r="AH25" s="77"/>
      <c r="AI25" s="77"/>
      <c r="AJ25" s="77"/>
      <c r="AK25" s="77"/>
      <c r="AL25" s="77"/>
      <c r="AM25" s="77"/>
      <c r="AN25" s="77"/>
      <c r="AO25" s="77"/>
      <c r="AP25" s="77"/>
      <c r="AQ25" s="77"/>
      <c r="AR25" s="77"/>
      <c r="AS25" s="77"/>
      <c r="AT25" s="77"/>
      <c r="AU25" s="77"/>
      <c r="AV25" s="77"/>
      <c r="AW25" s="77"/>
      <c r="AX25" s="77"/>
      <c r="AY25" s="77"/>
      <c r="AZ25" s="77"/>
      <c r="BA25" s="77"/>
      <c r="BB25" s="77"/>
      <c r="BC25" s="77"/>
      <c r="BD25" s="77"/>
      <c r="BE25" s="77"/>
      <c r="BF25" s="77"/>
      <c r="BG25" s="77"/>
      <c r="BH25" s="77"/>
      <c r="BI25" s="77"/>
      <c r="BJ25" s="77"/>
      <c r="BK25" s="77"/>
      <c r="BL25" s="77"/>
    </row>
    <row r="26" spans="1:64" ht="14.1" customHeight="1" x14ac:dyDescent="0.2">
      <c r="A26" s="375"/>
      <c r="B26" s="389"/>
      <c r="C26" s="78" t="s">
        <v>1</v>
      </c>
      <c r="D26" s="79"/>
      <c r="E26" s="79"/>
      <c r="F26" s="79"/>
      <c r="G26" s="79"/>
      <c r="H26" s="79"/>
      <c r="I26" s="79"/>
      <c r="J26" s="79"/>
      <c r="K26" s="79"/>
      <c r="L26" s="79"/>
      <c r="M26" s="79"/>
      <c r="N26" s="79"/>
      <c r="O26" s="79"/>
      <c r="P26" s="79"/>
      <c r="Q26" s="79"/>
      <c r="R26" s="79"/>
      <c r="S26" s="79"/>
      <c r="T26" s="79"/>
      <c r="U26" s="79"/>
      <c r="V26" s="79"/>
      <c r="W26" s="79"/>
      <c r="X26" s="79"/>
      <c r="Y26" s="79"/>
      <c r="Z26" s="79"/>
      <c r="AA26" s="79"/>
      <c r="AB26" s="79"/>
      <c r="AC26" s="79"/>
      <c r="AD26" s="79"/>
      <c r="AE26" s="79"/>
      <c r="AF26" s="79"/>
      <c r="AG26" s="79"/>
      <c r="AH26" s="79"/>
      <c r="AI26" s="79"/>
      <c r="AJ26" s="79"/>
      <c r="AK26" s="79"/>
      <c r="AL26" s="79"/>
      <c r="AM26" s="79"/>
      <c r="AN26" s="79"/>
      <c r="AO26" s="79"/>
      <c r="AP26" s="79"/>
      <c r="AQ26" s="79"/>
      <c r="AR26" s="79"/>
      <c r="AS26" s="79"/>
      <c r="AT26" s="79"/>
      <c r="AU26" s="79"/>
      <c r="AV26" s="79"/>
      <c r="AW26" s="79"/>
      <c r="AX26" s="79"/>
      <c r="AY26" s="79"/>
      <c r="AZ26" s="79"/>
      <c r="BA26" s="79"/>
      <c r="BB26" s="79"/>
      <c r="BC26" s="79"/>
      <c r="BD26" s="79"/>
      <c r="BE26" s="79"/>
      <c r="BF26" s="79"/>
      <c r="BG26" s="79"/>
      <c r="BH26" s="79"/>
      <c r="BI26" s="79"/>
      <c r="BJ26" s="79"/>
      <c r="BK26" s="79"/>
      <c r="BL26" s="79"/>
    </row>
    <row r="27" spans="1:64" ht="14.1" customHeight="1" x14ac:dyDescent="0.2">
      <c r="A27" s="375"/>
      <c r="B27" s="385" t="s">
        <v>18</v>
      </c>
      <c r="C27" s="74" t="s">
        <v>20</v>
      </c>
      <c r="D27" s="75"/>
      <c r="E27" s="75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5"/>
      <c r="AB27" s="75"/>
      <c r="AC27" s="75"/>
      <c r="AD27" s="75"/>
      <c r="AE27" s="75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5"/>
      <c r="BA27" s="75"/>
      <c r="BB27" s="75"/>
      <c r="BC27" s="75"/>
      <c r="BD27" s="75"/>
      <c r="BE27" s="75"/>
      <c r="BF27" s="75"/>
      <c r="BG27" s="75"/>
      <c r="BH27" s="75"/>
      <c r="BI27" s="75"/>
      <c r="BJ27" s="75"/>
      <c r="BK27" s="75"/>
      <c r="BL27" s="75"/>
    </row>
    <row r="28" spans="1:64" ht="14.1" customHeight="1" x14ac:dyDescent="0.2">
      <c r="A28" s="375"/>
      <c r="B28" s="386"/>
      <c r="C28" s="76" t="s">
        <v>0</v>
      </c>
      <c r="D28" s="77"/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77"/>
      <c r="P28" s="77"/>
      <c r="Q28" s="77"/>
      <c r="R28" s="77"/>
      <c r="S28" s="77"/>
      <c r="T28" s="77"/>
      <c r="U28" s="77"/>
      <c r="V28" s="77"/>
      <c r="W28" s="77"/>
      <c r="X28" s="77"/>
      <c r="Y28" s="77"/>
      <c r="Z28" s="77"/>
      <c r="AA28" s="77"/>
      <c r="AB28" s="77"/>
      <c r="AC28" s="77"/>
      <c r="AD28" s="77"/>
      <c r="AE28" s="77"/>
      <c r="AF28" s="77"/>
      <c r="AG28" s="77"/>
      <c r="AH28" s="77"/>
      <c r="AI28" s="77"/>
      <c r="AJ28" s="77"/>
      <c r="AK28" s="77"/>
      <c r="AL28" s="77"/>
      <c r="AM28" s="77"/>
      <c r="AN28" s="77"/>
      <c r="AO28" s="77"/>
      <c r="AP28" s="77"/>
      <c r="AQ28" s="77"/>
      <c r="AR28" s="77"/>
      <c r="AS28" s="77"/>
      <c r="AT28" s="77"/>
      <c r="AU28" s="77"/>
      <c r="AV28" s="77"/>
      <c r="AW28" s="77"/>
      <c r="AX28" s="77"/>
      <c r="AY28" s="77"/>
      <c r="AZ28" s="77"/>
      <c r="BA28" s="77"/>
      <c r="BB28" s="77"/>
      <c r="BC28" s="77"/>
      <c r="BD28" s="77"/>
      <c r="BE28" s="77"/>
      <c r="BF28" s="77"/>
      <c r="BG28" s="77"/>
      <c r="BH28" s="77"/>
      <c r="BI28" s="77"/>
      <c r="BJ28" s="77"/>
      <c r="BK28" s="77"/>
      <c r="BL28" s="77"/>
    </row>
    <row r="29" spans="1:64" ht="14.1" customHeight="1" x14ac:dyDescent="0.2">
      <c r="A29" s="375"/>
      <c r="B29" s="389"/>
      <c r="C29" s="78" t="s">
        <v>1</v>
      </c>
      <c r="D29" s="79"/>
      <c r="E29" s="79"/>
      <c r="F29" s="79"/>
      <c r="G29" s="79"/>
      <c r="H29" s="79"/>
      <c r="I29" s="79"/>
      <c r="J29" s="79"/>
      <c r="K29" s="79"/>
      <c r="L29" s="79"/>
      <c r="M29" s="79"/>
      <c r="N29" s="79"/>
      <c r="O29" s="79"/>
      <c r="P29" s="79"/>
      <c r="Q29" s="79"/>
      <c r="R29" s="79"/>
      <c r="S29" s="79"/>
      <c r="T29" s="79"/>
      <c r="U29" s="79"/>
      <c r="V29" s="79"/>
      <c r="W29" s="79"/>
      <c r="X29" s="79"/>
      <c r="Y29" s="79"/>
      <c r="Z29" s="79"/>
      <c r="AA29" s="79"/>
      <c r="AB29" s="79"/>
      <c r="AC29" s="79"/>
      <c r="AD29" s="79"/>
      <c r="AE29" s="79"/>
      <c r="AF29" s="79"/>
      <c r="AG29" s="79"/>
      <c r="AH29" s="79"/>
      <c r="AI29" s="79"/>
      <c r="AJ29" s="79"/>
      <c r="AK29" s="79"/>
      <c r="AL29" s="79"/>
      <c r="AM29" s="79"/>
      <c r="AN29" s="79"/>
      <c r="AO29" s="79"/>
      <c r="AP29" s="79"/>
      <c r="AQ29" s="79"/>
      <c r="AR29" s="79"/>
      <c r="AS29" s="79"/>
      <c r="AT29" s="79"/>
      <c r="AU29" s="79"/>
      <c r="AV29" s="79"/>
      <c r="AW29" s="79"/>
      <c r="AX29" s="79"/>
      <c r="AY29" s="79"/>
      <c r="AZ29" s="79"/>
      <c r="BA29" s="79"/>
      <c r="BB29" s="79"/>
      <c r="BC29" s="79"/>
      <c r="BD29" s="79"/>
      <c r="BE29" s="79"/>
      <c r="BF29" s="79"/>
      <c r="BG29" s="79"/>
      <c r="BH29" s="79"/>
      <c r="BI29" s="79"/>
      <c r="BJ29" s="79"/>
      <c r="BK29" s="79"/>
      <c r="BL29" s="79"/>
    </row>
    <row r="30" spans="1:64" ht="14.1" customHeight="1" x14ac:dyDescent="0.2">
      <c r="A30" s="375"/>
      <c r="B30" s="385">
        <v>20</v>
      </c>
      <c r="C30" s="80" t="s">
        <v>20</v>
      </c>
      <c r="D30" s="81"/>
      <c r="E30" s="81">
        <v>28</v>
      </c>
      <c r="F30" s="81"/>
      <c r="G30" s="81"/>
      <c r="H30" s="81"/>
      <c r="I30" s="81"/>
      <c r="J30" s="81"/>
      <c r="K30" s="81"/>
      <c r="L30" s="81"/>
      <c r="M30" s="81"/>
      <c r="N30" s="81"/>
      <c r="O30" s="81"/>
      <c r="P30" s="81"/>
      <c r="Q30" s="81"/>
      <c r="R30" s="81"/>
      <c r="S30" s="81"/>
      <c r="T30" s="81"/>
      <c r="U30" s="81"/>
      <c r="V30" s="81"/>
      <c r="W30" s="81"/>
      <c r="X30" s="81"/>
      <c r="Y30" s="81"/>
      <c r="Z30" s="81"/>
      <c r="AA30" s="81"/>
      <c r="AB30" s="81"/>
      <c r="AC30" s="81"/>
      <c r="AD30" s="81"/>
      <c r="AE30" s="81"/>
      <c r="AF30" s="81"/>
      <c r="AG30" s="81"/>
      <c r="AH30" s="81"/>
      <c r="AI30" s="81"/>
      <c r="AJ30" s="81"/>
      <c r="AK30" s="81"/>
      <c r="AL30" s="81"/>
      <c r="AM30" s="81"/>
      <c r="AN30" s="81"/>
      <c r="AO30" s="81"/>
      <c r="AP30" s="81"/>
      <c r="AQ30" s="81"/>
      <c r="AR30" s="81"/>
      <c r="AS30" s="81"/>
      <c r="AT30" s="81"/>
      <c r="AU30" s="81"/>
      <c r="AV30" s="81"/>
      <c r="AW30" s="81"/>
      <c r="AX30" s="81"/>
      <c r="AY30" s="81"/>
      <c r="AZ30" s="81"/>
      <c r="BA30" s="81"/>
      <c r="BB30" s="81"/>
      <c r="BC30" s="81"/>
      <c r="BD30" s="81"/>
      <c r="BE30" s="81"/>
      <c r="BF30" s="81"/>
      <c r="BG30" s="81"/>
      <c r="BH30" s="81"/>
      <c r="BI30" s="81"/>
      <c r="BJ30" s="81"/>
      <c r="BK30" s="81"/>
      <c r="BL30" s="81"/>
    </row>
    <row r="31" spans="1:64" ht="14.1" customHeight="1" x14ac:dyDescent="0.2">
      <c r="A31" s="375"/>
      <c r="B31" s="386"/>
      <c r="C31" s="76" t="s">
        <v>0</v>
      </c>
      <c r="D31" s="77"/>
      <c r="E31" s="77"/>
      <c r="F31" s="77"/>
      <c r="G31" s="77"/>
      <c r="H31" s="77"/>
      <c r="I31" s="77"/>
      <c r="J31" s="77"/>
      <c r="K31" s="77"/>
      <c r="L31" s="77"/>
      <c r="M31" s="77"/>
      <c r="N31" s="77"/>
      <c r="O31" s="77"/>
      <c r="P31" s="77"/>
      <c r="Q31" s="77"/>
      <c r="R31" s="77"/>
      <c r="S31" s="77"/>
      <c r="T31" s="77"/>
      <c r="U31" s="77"/>
      <c r="V31" s="77"/>
      <c r="W31" s="77"/>
      <c r="X31" s="77"/>
      <c r="Y31" s="77"/>
      <c r="Z31" s="77"/>
      <c r="AA31" s="77"/>
      <c r="AB31" s="77"/>
      <c r="AC31" s="77"/>
      <c r="AD31" s="77"/>
      <c r="AE31" s="77"/>
      <c r="AF31" s="77"/>
      <c r="AG31" s="77"/>
      <c r="AH31" s="77"/>
      <c r="AI31" s="77"/>
      <c r="AJ31" s="77"/>
      <c r="AK31" s="77"/>
      <c r="AL31" s="77"/>
      <c r="AM31" s="77"/>
      <c r="AN31" s="77"/>
      <c r="AO31" s="77"/>
      <c r="AP31" s="77"/>
      <c r="AQ31" s="77"/>
      <c r="AR31" s="77"/>
      <c r="AS31" s="77"/>
      <c r="AT31" s="77"/>
      <c r="AU31" s="77"/>
      <c r="AV31" s="77"/>
      <c r="AW31" s="77"/>
      <c r="AX31" s="77"/>
      <c r="AY31" s="77"/>
      <c r="AZ31" s="77"/>
      <c r="BA31" s="77"/>
      <c r="BB31" s="77"/>
      <c r="BC31" s="77"/>
      <c r="BD31" s="77"/>
      <c r="BE31" s="77"/>
      <c r="BF31" s="77"/>
      <c r="BG31" s="77"/>
      <c r="BH31" s="77"/>
      <c r="BI31" s="77"/>
      <c r="BJ31" s="77"/>
      <c r="BK31" s="77"/>
      <c r="BL31" s="77"/>
    </row>
    <row r="32" spans="1:64" ht="14.1" customHeight="1" x14ac:dyDescent="0.2">
      <c r="A32" s="375"/>
      <c r="B32" s="389"/>
      <c r="C32" s="78" t="s">
        <v>1</v>
      </c>
      <c r="D32" s="79"/>
      <c r="E32" s="79"/>
      <c r="F32" s="79"/>
      <c r="G32" s="79"/>
      <c r="H32" s="79"/>
      <c r="I32" s="79"/>
      <c r="J32" s="79"/>
      <c r="K32" s="79"/>
      <c r="L32" s="79"/>
      <c r="M32" s="79"/>
      <c r="N32" s="79"/>
      <c r="O32" s="79"/>
      <c r="P32" s="79"/>
      <c r="Q32" s="79"/>
      <c r="R32" s="79"/>
      <c r="S32" s="79"/>
      <c r="T32" s="79"/>
      <c r="U32" s="79"/>
      <c r="V32" s="79"/>
      <c r="W32" s="79"/>
      <c r="X32" s="79"/>
      <c r="Y32" s="79"/>
      <c r="Z32" s="79"/>
      <c r="AA32" s="79"/>
      <c r="AB32" s="79"/>
      <c r="AC32" s="79"/>
      <c r="AD32" s="79"/>
      <c r="AE32" s="79"/>
      <c r="AF32" s="79"/>
      <c r="AG32" s="79"/>
      <c r="AH32" s="79"/>
      <c r="AI32" s="79"/>
      <c r="AJ32" s="79"/>
      <c r="AK32" s="79"/>
      <c r="AL32" s="79"/>
      <c r="AM32" s="79"/>
      <c r="AN32" s="79"/>
      <c r="AO32" s="79"/>
      <c r="AP32" s="79"/>
      <c r="AQ32" s="79"/>
      <c r="AR32" s="79"/>
      <c r="AS32" s="79"/>
      <c r="AT32" s="79"/>
      <c r="AU32" s="79"/>
      <c r="AV32" s="79"/>
      <c r="AW32" s="79"/>
      <c r="AX32" s="79"/>
      <c r="AY32" s="79"/>
      <c r="AZ32" s="79"/>
      <c r="BA32" s="79"/>
      <c r="BB32" s="79"/>
      <c r="BC32" s="79"/>
      <c r="BD32" s="79"/>
      <c r="BE32" s="79"/>
      <c r="BF32" s="79"/>
      <c r="BG32" s="79"/>
      <c r="BH32" s="79"/>
      <c r="BI32" s="79"/>
      <c r="BJ32" s="79"/>
      <c r="BK32" s="79"/>
      <c r="BL32" s="79"/>
    </row>
    <row r="33" spans="1:64" ht="14.1" customHeight="1" x14ac:dyDescent="0.2">
      <c r="A33" s="375"/>
      <c r="B33" s="385" t="s">
        <v>19</v>
      </c>
      <c r="C33" s="80" t="s">
        <v>20</v>
      </c>
      <c r="D33" s="81"/>
      <c r="E33" s="81"/>
      <c r="F33" s="81"/>
      <c r="G33" s="81"/>
      <c r="H33" s="81"/>
      <c r="I33" s="81"/>
      <c r="J33" s="81"/>
      <c r="K33" s="81"/>
      <c r="L33" s="81"/>
      <c r="M33" s="81"/>
      <c r="N33" s="81"/>
      <c r="O33" s="81"/>
      <c r="P33" s="81"/>
      <c r="Q33" s="81"/>
      <c r="R33" s="81"/>
      <c r="S33" s="81"/>
      <c r="T33" s="81"/>
      <c r="U33" s="81"/>
      <c r="V33" s="81"/>
      <c r="W33" s="81"/>
      <c r="X33" s="81"/>
      <c r="Y33" s="81"/>
      <c r="Z33" s="81"/>
      <c r="AA33" s="81"/>
      <c r="AB33" s="81"/>
      <c r="AC33" s="81"/>
      <c r="AD33" s="81"/>
      <c r="AE33" s="81"/>
      <c r="AF33" s="81"/>
      <c r="AG33" s="81"/>
      <c r="AH33" s="81"/>
      <c r="AI33" s="81"/>
      <c r="AJ33" s="81"/>
      <c r="AK33" s="81"/>
      <c r="AL33" s="81"/>
      <c r="AM33" s="81"/>
      <c r="AN33" s="81"/>
      <c r="AO33" s="81"/>
      <c r="AP33" s="81"/>
      <c r="AQ33" s="81"/>
      <c r="AR33" s="81"/>
      <c r="AS33" s="81"/>
      <c r="AT33" s="81"/>
      <c r="AU33" s="81"/>
      <c r="AV33" s="81"/>
      <c r="AW33" s="81"/>
      <c r="AX33" s="81"/>
      <c r="AY33" s="81"/>
      <c r="AZ33" s="81"/>
      <c r="BA33" s="81"/>
      <c r="BB33" s="81"/>
      <c r="BC33" s="81"/>
      <c r="BD33" s="81"/>
      <c r="BE33" s="81"/>
      <c r="BF33" s="81"/>
      <c r="BG33" s="81"/>
      <c r="BH33" s="81"/>
      <c r="BI33" s="81"/>
      <c r="BJ33" s="81"/>
      <c r="BK33" s="81"/>
      <c r="BL33" s="81"/>
    </row>
    <row r="34" spans="1:64" ht="14.1" customHeight="1" x14ac:dyDescent="0.2">
      <c r="A34" s="375"/>
      <c r="B34" s="386"/>
      <c r="C34" s="76" t="s">
        <v>0</v>
      </c>
      <c r="D34" s="77"/>
      <c r="E34" s="77"/>
      <c r="F34" s="77"/>
      <c r="G34" s="77"/>
      <c r="H34" s="77"/>
      <c r="I34" s="77"/>
      <c r="J34" s="77"/>
      <c r="K34" s="77"/>
      <c r="L34" s="77"/>
      <c r="M34" s="77"/>
      <c r="N34" s="77"/>
      <c r="O34" s="77"/>
      <c r="P34" s="77"/>
      <c r="Q34" s="77"/>
      <c r="R34" s="77"/>
      <c r="S34" s="77"/>
      <c r="T34" s="77"/>
      <c r="U34" s="77"/>
      <c r="V34" s="77"/>
      <c r="W34" s="77"/>
      <c r="X34" s="77"/>
      <c r="Y34" s="77"/>
      <c r="Z34" s="77"/>
      <c r="AA34" s="77"/>
      <c r="AB34" s="77"/>
      <c r="AC34" s="77"/>
      <c r="AD34" s="77"/>
      <c r="AE34" s="77"/>
      <c r="AF34" s="77"/>
      <c r="AG34" s="77"/>
      <c r="AH34" s="77"/>
      <c r="AI34" s="77"/>
      <c r="AJ34" s="77"/>
      <c r="AK34" s="77"/>
      <c r="AL34" s="77"/>
      <c r="AM34" s="77"/>
      <c r="AN34" s="77"/>
      <c r="AO34" s="77"/>
      <c r="AP34" s="77"/>
      <c r="AQ34" s="77"/>
      <c r="AR34" s="77"/>
      <c r="AS34" s="77"/>
      <c r="AT34" s="77"/>
      <c r="AU34" s="77"/>
      <c r="AV34" s="77"/>
      <c r="AW34" s="77"/>
      <c r="AX34" s="77"/>
      <c r="AY34" s="77"/>
      <c r="AZ34" s="77"/>
      <c r="BA34" s="77"/>
      <c r="BB34" s="77"/>
      <c r="BC34" s="77"/>
      <c r="BD34" s="77"/>
      <c r="BE34" s="77"/>
      <c r="BF34" s="77"/>
      <c r="BG34" s="77"/>
      <c r="BH34" s="77"/>
      <c r="BI34" s="77"/>
      <c r="BJ34" s="77"/>
      <c r="BK34" s="77"/>
      <c r="BL34" s="77"/>
    </row>
    <row r="35" spans="1:64" ht="14.1" customHeight="1" x14ac:dyDescent="0.2">
      <c r="A35" s="375"/>
      <c r="B35" s="387"/>
      <c r="C35" s="78" t="s">
        <v>1</v>
      </c>
      <c r="D35" s="79"/>
      <c r="E35" s="79"/>
      <c r="F35" s="79"/>
      <c r="G35" s="79"/>
      <c r="H35" s="79"/>
      <c r="I35" s="79"/>
      <c r="J35" s="79"/>
      <c r="K35" s="79"/>
      <c r="L35" s="79"/>
      <c r="M35" s="79"/>
      <c r="N35" s="79"/>
      <c r="O35" s="79"/>
      <c r="P35" s="79"/>
      <c r="Q35" s="79"/>
      <c r="R35" s="79"/>
      <c r="S35" s="79"/>
      <c r="T35" s="79"/>
      <c r="U35" s="79"/>
      <c r="V35" s="79"/>
      <c r="W35" s="79"/>
      <c r="X35" s="79"/>
      <c r="Y35" s="79"/>
      <c r="Z35" s="79"/>
      <c r="AA35" s="79"/>
      <c r="AB35" s="79"/>
      <c r="AC35" s="79"/>
      <c r="AD35" s="79"/>
      <c r="AE35" s="79"/>
      <c r="AF35" s="79"/>
      <c r="AG35" s="79"/>
      <c r="AH35" s="79"/>
      <c r="AI35" s="79"/>
      <c r="AJ35" s="79"/>
      <c r="AK35" s="79"/>
      <c r="AL35" s="79"/>
      <c r="AM35" s="79"/>
      <c r="AN35" s="79"/>
      <c r="AO35" s="79"/>
      <c r="AP35" s="79"/>
      <c r="AQ35" s="79"/>
      <c r="AR35" s="79"/>
      <c r="AS35" s="79"/>
      <c r="AT35" s="79"/>
      <c r="AU35" s="79"/>
      <c r="AV35" s="79"/>
      <c r="AW35" s="79"/>
      <c r="AX35" s="79"/>
      <c r="AY35" s="79"/>
      <c r="AZ35" s="79"/>
      <c r="BA35" s="79"/>
      <c r="BB35" s="79"/>
      <c r="BC35" s="79"/>
      <c r="BD35" s="79"/>
      <c r="BE35" s="79"/>
      <c r="BF35" s="79"/>
      <c r="BG35" s="79"/>
      <c r="BH35" s="79"/>
      <c r="BI35" s="79"/>
      <c r="BJ35" s="79"/>
      <c r="BK35" s="79"/>
      <c r="BL35" s="79"/>
    </row>
    <row r="36" spans="1:64" ht="14.1" customHeight="1" x14ac:dyDescent="0.2">
      <c r="A36" s="375"/>
      <c r="B36" s="388" t="s">
        <v>16</v>
      </c>
      <c r="C36" s="80" t="s">
        <v>20</v>
      </c>
      <c r="D36" s="81"/>
      <c r="E36" s="81"/>
      <c r="F36" s="81"/>
      <c r="G36" s="81"/>
      <c r="H36" s="81"/>
      <c r="I36" s="81"/>
      <c r="J36" s="81"/>
      <c r="K36" s="81"/>
      <c r="L36" s="81"/>
      <c r="M36" s="81"/>
      <c r="N36" s="81"/>
      <c r="O36" s="81"/>
      <c r="P36" s="81"/>
      <c r="Q36" s="81"/>
      <c r="R36" s="81"/>
      <c r="S36" s="81"/>
      <c r="T36" s="81"/>
      <c r="U36" s="81"/>
      <c r="V36" s="81"/>
      <c r="W36" s="81"/>
      <c r="X36" s="81"/>
      <c r="Y36" s="81"/>
      <c r="Z36" s="81"/>
      <c r="AA36" s="81"/>
      <c r="AB36" s="81"/>
      <c r="AC36" s="81"/>
      <c r="AD36" s="81"/>
      <c r="AE36" s="81"/>
      <c r="AF36" s="81"/>
      <c r="AG36" s="81"/>
      <c r="AH36" s="81"/>
      <c r="AI36" s="81"/>
      <c r="AJ36" s="81"/>
      <c r="AK36" s="81"/>
      <c r="AL36" s="81"/>
      <c r="AM36" s="81"/>
      <c r="AN36" s="81"/>
      <c r="AO36" s="81"/>
      <c r="AP36" s="81"/>
      <c r="AQ36" s="81"/>
      <c r="AR36" s="81"/>
      <c r="AS36" s="81"/>
      <c r="AT36" s="81"/>
      <c r="AU36" s="81"/>
      <c r="AV36" s="81"/>
      <c r="AW36" s="81"/>
      <c r="AX36" s="81"/>
      <c r="AY36" s="81"/>
      <c r="AZ36" s="81"/>
      <c r="BA36" s="81"/>
      <c r="BB36" s="81"/>
      <c r="BC36" s="81"/>
      <c r="BD36" s="81"/>
      <c r="BE36" s="81"/>
      <c r="BF36" s="81"/>
      <c r="BG36" s="81"/>
      <c r="BH36" s="81"/>
      <c r="BI36" s="81"/>
      <c r="BJ36" s="81"/>
      <c r="BK36" s="81"/>
      <c r="BL36" s="81"/>
    </row>
    <row r="37" spans="1:64" ht="14.1" customHeight="1" x14ac:dyDescent="0.2">
      <c r="A37" s="375"/>
      <c r="B37" s="386"/>
      <c r="C37" s="76" t="s">
        <v>0</v>
      </c>
      <c r="D37" s="77"/>
      <c r="E37" s="77"/>
      <c r="F37" s="77"/>
      <c r="G37" s="77"/>
      <c r="H37" s="77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77"/>
      <c r="AC37" s="77"/>
      <c r="AD37" s="77"/>
      <c r="AE37" s="77"/>
      <c r="AF37" s="77"/>
      <c r="AG37" s="77"/>
      <c r="AH37" s="77"/>
      <c r="AI37" s="77"/>
      <c r="AJ37" s="77"/>
      <c r="AK37" s="77"/>
      <c r="AL37" s="77"/>
      <c r="AM37" s="77"/>
      <c r="AN37" s="77"/>
      <c r="AO37" s="77"/>
      <c r="AP37" s="77"/>
      <c r="AQ37" s="77"/>
      <c r="AR37" s="77"/>
      <c r="AS37" s="77"/>
      <c r="AT37" s="77"/>
      <c r="AU37" s="77"/>
      <c r="AV37" s="77"/>
      <c r="AW37" s="77"/>
      <c r="AX37" s="77"/>
      <c r="AY37" s="77"/>
      <c r="AZ37" s="77"/>
      <c r="BA37" s="77"/>
      <c r="BB37" s="77"/>
      <c r="BC37" s="77"/>
      <c r="BD37" s="77"/>
      <c r="BE37" s="77"/>
      <c r="BF37" s="77"/>
      <c r="BG37" s="77"/>
      <c r="BH37" s="77"/>
      <c r="BI37" s="77"/>
      <c r="BJ37" s="77"/>
      <c r="BK37" s="77"/>
      <c r="BL37" s="77"/>
    </row>
    <row r="38" spans="1:64" ht="14.1" customHeight="1" x14ac:dyDescent="0.2">
      <c r="A38" s="375"/>
      <c r="B38" s="387"/>
      <c r="C38" s="78" t="s">
        <v>1</v>
      </c>
      <c r="D38" s="79"/>
      <c r="E38" s="79"/>
      <c r="F38" s="79"/>
      <c r="G38" s="79"/>
      <c r="H38" s="79"/>
      <c r="I38" s="79"/>
      <c r="J38" s="79"/>
      <c r="K38" s="79"/>
      <c r="L38" s="79"/>
      <c r="M38" s="79"/>
      <c r="N38" s="79"/>
      <c r="O38" s="79"/>
      <c r="P38" s="79"/>
      <c r="Q38" s="79"/>
      <c r="R38" s="79"/>
      <c r="S38" s="79"/>
      <c r="T38" s="79"/>
      <c r="U38" s="79"/>
      <c r="V38" s="79"/>
      <c r="W38" s="79"/>
      <c r="X38" s="79"/>
      <c r="Y38" s="79"/>
      <c r="Z38" s="79"/>
      <c r="AA38" s="79"/>
      <c r="AB38" s="79"/>
      <c r="AC38" s="79"/>
      <c r="AD38" s="79"/>
      <c r="AE38" s="79"/>
      <c r="AF38" s="79"/>
      <c r="AG38" s="79"/>
      <c r="AH38" s="79"/>
      <c r="AI38" s="79"/>
      <c r="AJ38" s="79"/>
      <c r="AK38" s="79"/>
      <c r="AL38" s="79"/>
      <c r="AM38" s="79"/>
      <c r="AN38" s="79"/>
      <c r="AO38" s="79"/>
      <c r="AP38" s="79"/>
      <c r="AQ38" s="79"/>
      <c r="AR38" s="79"/>
      <c r="AS38" s="79"/>
      <c r="AT38" s="79"/>
      <c r="AU38" s="79"/>
      <c r="AV38" s="79"/>
      <c r="AW38" s="79"/>
      <c r="AX38" s="79"/>
      <c r="AY38" s="79"/>
      <c r="AZ38" s="79"/>
      <c r="BA38" s="79"/>
      <c r="BB38" s="79"/>
      <c r="BC38" s="79"/>
      <c r="BD38" s="79"/>
      <c r="BE38" s="79"/>
      <c r="BF38" s="79"/>
      <c r="BG38" s="79"/>
      <c r="BH38" s="79"/>
      <c r="BI38" s="79"/>
      <c r="BJ38" s="79"/>
      <c r="BK38" s="79"/>
      <c r="BL38" s="79"/>
    </row>
    <row r="39" spans="1:64" ht="14.1" customHeight="1" x14ac:dyDescent="0.2">
      <c r="A39" s="375"/>
      <c r="B39" s="388" t="s">
        <v>17</v>
      </c>
      <c r="C39" s="80" t="s">
        <v>20</v>
      </c>
      <c r="D39" s="81"/>
      <c r="E39" s="81"/>
      <c r="F39" s="81"/>
      <c r="G39" s="81"/>
      <c r="H39" s="81"/>
      <c r="I39" s="81"/>
      <c r="J39" s="81"/>
      <c r="K39" s="81"/>
      <c r="L39" s="81"/>
      <c r="M39" s="81"/>
      <c r="N39" s="81"/>
      <c r="O39" s="81"/>
      <c r="P39" s="81"/>
      <c r="Q39" s="81"/>
      <c r="R39" s="81"/>
      <c r="S39" s="81"/>
      <c r="T39" s="81"/>
      <c r="U39" s="81"/>
      <c r="V39" s="81"/>
      <c r="W39" s="81"/>
      <c r="X39" s="81"/>
      <c r="Y39" s="81"/>
      <c r="Z39" s="81"/>
      <c r="AA39" s="81"/>
      <c r="AB39" s="81"/>
      <c r="AC39" s="81"/>
      <c r="AD39" s="81"/>
      <c r="AE39" s="81"/>
      <c r="AF39" s="81"/>
      <c r="AG39" s="81"/>
      <c r="AH39" s="81"/>
      <c r="AI39" s="81"/>
      <c r="AJ39" s="81"/>
      <c r="AK39" s="81"/>
      <c r="AL39" s="81"/>
      <c r="AM39" s="81"/>
      <c r="AN39" s="81"/>
      <c r="AO39" s="81"/>
      <c r="AP39" s="81"/>
      <c r="AQ39" s="81"/>
      <c r="AR39" s="81"/>
      <c r="AS39" s="81"/>
      <c r="AT39" s="81"/>
      <c r="AU39" s="81"/>
      <c r="AV39" s="81"/>
      <c r="AW39" s="81"/>
      <c r="AX39" s="81"/>
      <c r="AY39" s="81"/>
      <c r="AZ39" s="81"/>
      <c r="BA39" s="81"/>
      <c r="BB39" s="81"/>
      <c r="BC39" s="81"/>
      <c r="BD39" s="81"/>
      <c r="BE39" s="81"/>
      <c r="BF39" s="81"/>
      <c r="BG39" s="81"/>
      <c r="BH39" s="81"/>
      <c r="BI39" s="81"/>
      <c r="BJ39" s="81"/>
      <c r="BK39" s="81"/>
      <c r="BL39" s="81"/>
    </row>
    <row r="40" spans="1:64" ht="14.1" customHeight="1" x14ac:dyDescent="0.2">
      <c r="A40" s="375"/>
      <c r="B40" s="386"/>
      <c r="C40" s="76" t="s">
        <v>0</v>
      </c>
      <c r="D40" s="77"/>
      <c r="E40" s="77"/>
      <c r="F40" s="77"/>
      <c r="G40" s="77"/>
      <c r="H40" s="77"/>
      <c r="I40" s="77"/>
      <c r="J40" s="77"/>
      <c r="K40" s="77">
        <v>34</v>
      </c>
      <c r="L40" s="77">
        <v>15</v>
      </c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  <c r="AG40" s="77"/>
      <c r="AH40" s="77"/>
      <c r="AI40" s="77"/>
      <c r="AJ40" s="77"/>
      <c r="AK40" s="77"/>
      <c r="AL40" s="77"/>
      <c r="AM40" s="77"/>
      <c r="AN40" s="77"/>
      <c r="AO40" s="77"/>
      <c r="AP40" s="77"/>
      <c r="AQ40" s="77"/>
      <c r="AR40" s="77"/>
      <c r="AS40" s="77"/>
      <c r="AT40" s="77"/>
      <c r="AU40" s="77"/>
      <c r="AV40" s="77"/>
      <c r="AW40" s="77"/>
      <c r="AX40" s="77"/>
      <c r="AY40" s="77"/>
      <c r="AZ40" s="77"/>
      <c r="BA40" s="77"/>
      <c r="BB40" s="77"/>
      <c r="BC40" s="77"/>
      <c r="BD40" s="77"/>
      <c r="BE40" s="77"/>
      <c r="BF40" s="77"/>
      <c r="BG40" s="77"/>
      <c r="BH40" s="77"/>
      <c r="BI40" s="77"/>
      <c r="BJ40" s="77"/>
      <c r="BK40" s="77"/>
      <c r="BL40" s="77"/>
    </row>
    <row r="41" spans="1:64" ht="14.1" customHeight="1" x14ac:dyDescent="0.2">
      <c r="A41" s="376"/>
      <c r="B41" s="389"/>
      <c r="C41" s="78" t="s">
        <v>1</v>
      </c>
      <c r="D41" s="79"/>
      <c r="E41" s="79"/>
      <c r="F41" s="79"/>
      <c r="G41" s="79"/>
      <c r="H41" s="79"/>
      <c r="I41" s="79"/>
      <c r="J41" s="79"/>
      <c r="K41" s="79"/>
      <c r="L41" s="79"/>
      <c r="M41" s="79"/>
      <c r="N41" s="79"/>
      <c r="O41" s="79"/>
      <c r="P41" s="79"/>
      <c r="Q41" s="79"/>
      <c r="R41" s="79"/>
      <c r="S41" s="79"/>
      <c r="T41" s="79"/>
      <c r="U41" s="79"/>
      <c r="V41" s="79"/>
      <c r="W41" s="79"/>
      <c r="X41" s="79"/>
      <c r="Y41" s="79"/>
      <c r="Z41" s="79"/>
      <c r="AA41" s="79"/>
      <c r="AB41" s="79"/>
      <c r="AC41" s="79"/>
      <c r="AD41" s="79"/>
      <c r="AE41" s="79"/>
      <c r="AF41" s="79"/>
      <c r="AG41" s="79"/>
      <c r="AH41" s="79"/>
      <c r="AI41" s="79"/>
      <c r="AJ41" s="79"/>
      <c r="AK41" s="79"/>
      <c r="AL41" s="79"/>
      <c r="AM41" s="79"/>
      <c r="AN41" s="79"/>
      <c r="AO41" s="79"/>
      <c r="AP41" s="79"/>
      <c r="AQ41" s="79"/>
      <c r="AR41" s="79"/>
      <c r="AS41" s="79"/>
      <c r="AT41" s="79"/>
      <c r="AU41" s="79"/>
      <c r="AV41" s="79"/>
      <c r="AW41" s="79"/>
      <c r="AX41" s="79"/>
      <c r="AY41" s="79"/>
      <c r="AZ41" s="79"/>
      <c r="BA41" s="79"/>
      <c r="BB41" s="79"/>
      <c r="BC41" s="79"/>
      <c r="BD41" s="79"/>
      <c r="BE41" s="79"/>
      <c r="BF41" s="79"/>
      <c r="BG41" s="79"/>
      <c r="BH41" s="79"/>
      <c r="BI41" s="79"/>
      <c r="BJ41" s="79"/>
      <c r="BK41" s="79"/>
      <c r="BL41" s="79"/>
    </row>
  </sheetData>
  <mergeCells count="11">
    <mergeCell ref="A5:A14"/>
    <mergeCell ref="A15:A41"/>
    <mergeCell ref="B15:B17"/>
    <mergeCell ref="B18:B20"/>
    <mergeCell ref="B21:B23"/>
    <mergeCell ref="B24:B26"/>
    <mergeCell ref="B27:B29"/>
    <mergeCell ref="B30:B32"/>
    <mergeCell ref="B33:B35"/>
    <mergeCell ref="B36:B38"/>
    <mergeCell ref="B39:B41"/>
  </mergeCells>
  <conditionalFormatting sqref="B5:AH14">
    <cfRule type="expression" dxfId="435" priority="126">
      <formula>AND(ROW()=CELL("row"),COLUMN()=CELL("col"))</formula>
    </cfRule>
    <cfRule type="expression" dxfId="434" priority="127">
      <formula>ROW()=CELL("row")</formula>
    </cfRule>
    <cfRule type="expression" dxfId="433" priority="128">
      <formula>COLUMN()=CELL("col")</formula>
    </cfRule>
  </conditionalFormatting>
  <conditionalFormatting sqref="D5:AH14">
    <cfRule type="expression" dxfId="432" priority="125">
      <formula>WEEKDAY(D$2,2)&gt;6</formula>
    </cfRule>
  </conditionalFormatting>
  <conditionalFormatting sqref="AI5:AI14">
    <cfRule type="expression" dxfId="431" priority="118">
      <formula>AND(ROW()=CELL("row"),COLUMN()=CELL("col"))</formula>
    </cfRule>
    <cfRule type="expression" dxfId="430" priority="119">
      <formula>ROW()=CELL("row")</formula>
    </cfRule>
    <cfRule type="expression" dxfId="429" priority="120">
      <formula>COLUMN()=CELL("col")</formula>
    </cfRule>
  </conditionalFormatting>
  <conditionalFormatting sqref="AI5:AI14">
    <cfRule type="expression" dxfId="428" priority="117">
      <formula>WEEKDAY(AI$2,2)&gt;6</formula>
    </cfRule>
  </conditionalFormatting>
  <conditionalFormatting sqref="AJ5:AJ14">
    <cfRule type="expression" dxfId="427" priority="114">
      <formula>AND(ROW()=CELL("row"),COLUMN()=CELL("col"))</formula>
    </cfRule>
    <cfRule type="expression" dxfId="426" priority="115">
      <formula>ROW()=CELL("row")</formula>
    </cfRule>
    <cfRule type="expression" dxfId="425" priority="116">
      <formula>COLUMN()=CELL("col")</formula>
    </cfRule>
  </conditionalFormatting>
  <conditionalFormatting sqref="AJ5:AJ14">
    <cfRule type="expression" dxfId="424" priority="113">
      <formula>WEEKDAY(AJ$2,2)&gt;6</formula>
    </cfRule>
  </conditionalFormatting>
  <conditionalFormatting sqref="AK5:AK14">
    <cfRule type="expression" dxfId="423" priority="110">
      <formula>AND(ROW()=CELL("row"),COLUMN()=CELL("col"))</formula>
    </cfRule>
    <cfRule type="expression" dxfId="422" priority="111">
      <formula>ROW()=CELL("row")</formula>
    </cfRule>
    <cfRule type="expression" dxfId="421" priority="112">
      <formula>COLUMN()=CELL("col")</formula>
    </cfRule>
  </conditionalFormatting>
  <conditionalFormatting sqref="AK5:AK14">
    <cfRule type="expression" dxfId="420" priority="109">
      <formula>WEEKDAY(AK$2,2)&gt;6</formula>
    </cfRule>
  </conditionalFormatting>
  <conditionalFormatting sqref="AL5:AL14">
    <cfRule type="expression" dxfId="419" priority="106">
      <formula>AND(ROW()=CELL("row"),COLUMN()=CELL("col"))</formula>
    </cfRule>
    <cfRule type="expression" dxfId="418" priority="107">
      <formula>ROW()=CELL("row")</formula>
    </cfRule>
    <cfRule type="expression" dxfId="417" priority="108">
      <formula>COLUMN()=CELL("col")</formula>
    </cfRule>
  </conditionalFormatting>
  <conditionalFormatting sqref="AL5:AL14">
    <cfRule type="expression" dxfId="416" priority="105">
      <formula>WEEKDAY(AL$2,2)&gt;6</formula>
    </cfRule>
  </conditionalFormatting>
  <conditionalFormatting sqref="AM5:AM14">
    <cfRule type="expression" dxfId="415" priority="102">
      <formula>AND(ROW()=CELL("row"),COLUMN()=CELL("col"))</formula>
    </cfRule>
    <cfRule type="expression" dxfId="414" priority="103">
      <formula>ROW()=CELL("row")</formula>
    </cfRule>
    <cfRule type="expression" dxfId="413" priority="104">
      <formula>COLUMN()=CELL("col")</formula>
    </cfRule>
  </conditionalFormatting>
  <conditionalFormatting sqref="AM5:AM14">
    <cfRule type="expression" dxfId="412" priority="101">
      <formula>WEEKDAY(AM$2,2)&gt;6</formula>
    </cfRule>
  </conditionalFormatting>
  <conditionalFormatting sqref="AN5:AN14">
    <cfRule type="expression" dxfId="411" priority="98">
      <formula>AND(ROW()=CELL("row"),COLUMN()=CELL("col"))</formula>
    </cfRule>
    <cfRule type="expression" dxfId="410" priority="99">
      <formula>ROW()=CELL("row")</formula>
    </cfRule>
    <cfRule type="expression" dxfId="409" priority="100">
      <formula>COLUMN()=CELL("col")</formula>
    </cfRule>
  </conditionalFormatting>
  <conditionalFormatting sqref="AN5:AN14">
    <cfRule type="expression" dxfId="408" priority="97">
      <formula>WEEKDAY(AN$2,2)&gt;6</formula>
    </cfRule>
  </conditionalFormatting>
  <conditionalFormatting sqref="AO5:AO14">
    <cfRule type="expression" dxfId="407" priority="94">
      <formula>AND(ROW()=CELL("row"),COLUMN()=CELL("col"))</formula>
    </cfRule>
    <cfRule type="expression" dxfId="406" priority="95">
      <formula>ROW()=CELL("row")</formula>
    </cfRule>
    <cfRule type="expression" dxfId="405" priority="96">
      <formula>COLUMN()=CELL("col")</formula>
    </cfRule>
  </conditionalFormatting>
  <conditionalFormatting sqref="AO5:AO14">
    <cfRule type="expression" dxfId="404" priority="93">
      <formula>WEEKDAY(AO$2,2)&gt;6</formula>
    </cfRule>
  </conditionalFormatting>
  <conditionalFormatting sqref="AP5:AP14">
    <cfRule type="expression" dxfId="403" priority="90">
      <formula>AND(ROW()=CELL("row"),COLUMN()=CELL("col"))</formula>
    </cfRule>
    <cfRule type="expression" dxfId="402" priority="91">
      <formula>ROW()=CELL("row")</formula>
    </cfRule>
    <cfRule type="expression" dxfId="401" priority="92">
      <formula>COLUMN()=CELL("col")</formula>
    </cfRule>
  </conditionalFormatting>
  <conditionalFormatting sqref="AP5:AP14">
    <cfRule type="expression" dxfId="400" priority="89">
      <formula>WEEKDAY(AP$2,2)&gt;6</formula>
    </cfRule>
  </conditionalFormatting>
  <conditionalFormatting sqref="AQ5:AQ14">
    <cfRule type="expression" dxfId="399" priority="86">
      <formula>AND(ROW()=CELL("row"),COLUMN()=CELL("col"))</formula>
    </cfRule>
    <cfRule type="expression" dxfId="398" priority="87">
      <formula>ROW()=CELL("row")</formula>
    </cfRule>
    <cfRule type="expression" dxfId="397" priority="88">
      <formula>COLUMN()=CELL("col")</formula>
    </cfRule>
  </conditionalFormatting>
  <conditionalFormatting sqref="AQ5:AQ14">
    <cfRule type="expression" dxfId="396" priority="85">
      <formula>WEEKDAY(AQ$2,2)&gt;6</formula>
    </cfRule>
  </conditionalFormatting>
  <conditionalFormatting sqref="AR5:AR14">
    <cfRule type="expression" dxfId="395" priority="82">
      <formula>AND(ROW()=CELL("row"),COLUMN()=CELL("col"))</formula>
    </cfRule>
    <cfRule type="expression" dxfId="394" priority="83">
      <formula>ROW()=CELL("row")</formula>
    </cfRule>
    <cfRule type="expression" dxfId="393" priority="84">
      <formula>COLUMN()=CELL("col")</formula>
    </cfRule>
  </conditionalFormatting>
  <conditionalFormatting sqref="AR5:AR14">
    <cfRule type="expression" dxfId="392" priority="81">
      <formula>WEEKDAY(AR$2,2)&gt;6</formula>
    </cfRule>
  </conditionalFormatting>
  <conditionalFormatting sqref="AS5:AS14">
    <cfRule type="expression" dxfId="391" priority="78">
      <formula>AND(ROW()=CELL("row"),COLUMN()=CELL("col"))</formula>
    </cfRule>
    <cfRule type="expression" dxfId="390" priority="79">
      <formula>ROW()=CELL("row")</formula>
    </cfRule>
    <cfRule type="expression" dxfId="389" priority="80">
      <formula>COLUMN()=CELL("col")</formula>
    </cfRule>
  </conditionalFormatting>
  <conditionalFormatting sqref="AS5:AS14">
    <cfRule type="expression" dxfId="388" priority="77">
      <formula>WEEKDAY(AS$2,2)&gt;6</formula>
    </cfRule>
  </conditionalFormatting>
  <conditionalFormatting sqref="AT5:AT14">
    <cfRule type="expression" dxfId="387" priority="74">
      <formula>AND(ROW()=CELL("row"),COLUMN()=CELL("col"))</formula>
    </cfRule>
    <cfRule type="expression" dxfId="386" priority="75">
      <formula>ROW()=CELL("row")</formula>
    </cfRule>
    <cfRule type="expression" dxfId="385" priority="76">
      <formula>COLUMN()=CELL("col")</formula>
    </cfRule>
  </conditionalFormatting>
  <conditionalFormatting sqref="AT5:AT14">
    <cfRule type="expression" dxfId="384" priority="73">
      <formula>WEEKDAY(AT$2,2)&gt;6</formula>
    </cfRule>
  </conditionalFormatting>
  <conditionalFormatting sqref="AU5:AU14">
    <cfRule type="expression" dxfId="383" priority="70">
      <formula>AND(ROW()=CELL("row"),COLUMN()=CELL("col"))</formula>
    </cfRule>
    <cfRule type="expression" dxfId="382" priority="71">
      <formula>ROW()=CELL("row")</formula>
    </cfRule>
    <cfRule type="expression" dxfId="381" priority="72">
      <formula>COLUMN()=CELL("col")</formula>
    </cfRule>
  </conditionalFormatting>
  <conditionalFormatting sqref="AU5:AU14">
    <cfRule type="expression" dxfId="380" priority="69">
      <formula>WEEKDAY(AU$2,2)&gt;6</formula>
    </cfRule>
  </conditionalFormatting>
  <conditionalFormatting sqref="AV5:AV14">
    <cfRule type="expression" dxfId="379" priority="66">
      <formula>AND(ROW()=CELL("row"),COLUMN()=CELL("col"))</formula>
    </cfRule>
    <cfRule type="expression" dxfId="378" priority="67">
      <formula>ROW()=CELL("row")</formula>
    </cfRule>
    <cfRule type="expression" dxfId="377" priority="68">
      <formula>COLUMN()=CELL("col")</formula>
    </cfRule>
  </conditionalFormatting>
  <conditionalFormatting sqref="AV5:AV14">
    <cfRule type="expression" dxfId="376" priority="65">
      <formula>WEEKDAY(AV$2,2)&gt;6</formula>
    </cfRule>
  </conditionalFormatting>
  <conditionalFormatting sqref="AW5:AW14">
    <cfRule type="expression" dxfId="375" priority="62">
      <formula>AND(ROW()=CELL("row"),COLUMN()=CELL("col"))</formula>
    </cfRule>
    <cfRule type="expression" dxfId="374" priority="63">
      <formula>ROW()=CELL("row")</formula>
    </cfRule>
    <cfRule type="expression" dxfId="373" priority="64">
      <formula>COLUMN()=CELL("col")</formula>
    </cfRule>
  </conditionalFormatting>
  <conditionalFormatting sqref="AW5:AW14">
    <cfRule type="expression" dxfId="372" priority="61">
      <formula>WEEKDAY(AW$2,2)&gt;6</formula>
    </cfRule>
  </conditionalFormatting>
  <conditionalFormatting sqref="AX5:AX14">
    <cfRule type="expression" dxfId="371" priority="58">
      <formula>AND(ROW()=CELL("row"),COLUMN()=CELL("col"))</formula>
    </cfRule>
    <cfRule type="expression" dxfId="370" priority="59">
      <formula>ROW()=CELL("row")</formula>
    </cfRule>
    <cfRule type="expression" dxfId="369" priority="60">
      <formula>COLUMN()=CELL("col")</formula>
    </cfRule>
  </conditionalFormatting>
  <conditionalFormatting sqref="AX5:AX14">
    <cfRule type="expression" dxfId="368" priority="57">
      <formula>WEEKDAY(AX$2,2)&gt;6</formula>
    </cfRule>
  </conditionalFormatting>
  <conditionalFormatting sqref="AY5:AY14">
    <cfRule type="expression" dxfId="367" priority="54">
      <formula>AND(ROW()=CELL("row"),COLUMN()=CELL("col"))</formula>
    </cfRule>
    <cfRule type="expression" dxfId="366" priority="55">
      <formula>ROW()=CELL("row")</formula>
    </cfRule>
    <cfRule type="expression" dxfId="365" priority="56">
      <formula>COLUMN()=CELL("col")</formula>
    </cfRule>
  </conditionalFormatting>
  <conditionalFormatting sqref="AY5:AY14">
    <cfRule type="expression" dxfId="364" priority="53">
      <formula>WEEKDAY(AY$2,2)&gt;6</formula>
    </cfRule>
  </conditionalFormatting>
  <conditionalFormatting sqref="AZ5:AZ14">
    <cfRule type="expression" dxfId="363" priority="50">
      <formula>AND(ROW()=CELL("row"),COLUMN()=CELL("col"))</formula>
    </cfRule>
    <cfRule type="expression" dxfId="362" priority="51">
      <formula>ROW()=CELL("row")</formula>
    </cfRule>
    <cfRule type="expression" dxfId="361" priority="52">
      <formula>COLUMN()=CELL("col")</formula>
    </cfRule>
  </conditionalFormatting>
  <conditionalFormatting sqref="AZ5:AZ14">
    <cfRule type="expression" dxfId="360" priority="49">
      <formula>WEEKDAY(AZ$2,2)&gt;6</formula>
    </cfRule>
  </conditionalFormatting>
  <conditionalFormatting sqref="BA5:BA14">
    <cfRule type="expression" dxfId="359" priority="46">
      <formula>AND(ROW()=CELL("row"),COLUMN()=CELL("col"))</formula>
    </cfRule>
    <cfRule type="expression" dxfId="358" priority="47">
      <formula>ROW()=CELL("row")</formula>
    </cfRule>
    <cfRule type="expression" dxfId="357" priority="48">
      <formula>COLUMN()=CELL("col")</formula>
    </cfRule>
  </conditionalFormatting>
  <conditionalFormatting sqref="BA5:BA14">
    <cfRule type="expression" dxfId="356" priority="45">
      <formula>WEEKDAY(BA$2,2)&gt;6</formula>
    </cfRule>
  </conditionalFormatting>
  <conditionalFormatting sqref="BB5:BB14">
    <cfRule type="expression" dxfId="355" priority="42">
      <formula>AND(ROW()=CELL("row"),COLUMN()=CELL("col"))</formula>
    </cfRule>
    <cfRule type="expression" dxfId="354" priority="43">
      <formula>ROW()=CELL("row")</formula>
    </cfRule>
    <cfRule type="expression" dxfId="353" priority="44">
      <formula>COLUMN()=CELL("col")</formula>
    </cfRule>
  </conditionalFormatting>
  <conditionalFormatting sqref="BB5:BB14">
    <cfRule type="expression" dxfId="352" priority="41">
      <formula>WEEKDAY(BB$2,2)&gt;6</formula>
    </cfRule>
  </conditionalFormatting>
  <conditionalFormatting sqref="BC5:BC14">
    <cfRule type="expression" dxfId="351" priority="38">
      <formula>AND(ROW()=CELL("row"),COLUMN()=CELL("col"))</formula>
    </cfRule>
    <cfRule type="expression" dxfId="350" priority="39">
      <formula>ROW()=CELL("row")</formula>
    </cfRule>
    <cfRule type="expression" dxfId="349" priority="40">
      <formula>COLUMN()=CELL("col")</formula>
    </cfRule>
  </conditionalFormatting>
  <conditionalFormatting sqref="BC5:BC14">
    <cfRule type="expression" dxfId="348" priority="37">
      <formula>WEEKDAY(BC$2,2)&gt;6</formula>
    </cfRule>
  </conditionalFormatting>
  <conditionalFormatting sqref="BD5:BD14">
    <cfRule type="expression" dxfId="347" priority="34">
      <formula>AND(ROW()=CELL("row"),COLUMN()=CELL("col"))</formula>
    </cfRule>
    <cfRule type="expression" dxfId="346" priority="35">
      <formula>ROW()=CELL("row")</formula>
    </cfRule>
    <cfRule type="expression" dxfId="345" priority="36">
      <formula>COLUMN()=CELL("col")</formula>
    </cfRule>
  </conditionalFormatting>
  <conditionalFormatting sqref="BD5:BD14">
    <cfRule type="expression" dxfId="344" priority="33">
      <formula>WEEKDAY(BD$2,2)&gt;6</formula>
    </cfRule>
  </conditionalFormatting>
  <conditionalFormatting sqref="BE5:BE14">
    <cfRule type="expression" dxfId="343" priority="30">
      <formula>AND(ROW()=CELL("row"),COLUMN()=CELL("col"))</formula>
    </cfRule>
    <cfRule type="expression" dxfId="342" priority="31">
      <formula>ROW()=CELL("row")</formula>
    </cfRule>
    <cfRule type="expression" dxfId="341" priority="32">
      <formula>COLUMN()=CELL("col")</formula>
    </cfRule>
  </conditionalFormatting>
  <conditionalFormatting sqref="BE5:BE14">
    <cfRule type="expression" dxfId="340" priority="29">
      <formula>WEEKDAY(BE$2,2)&gt;6</formula>
    </cfRule>
  </conditionalFormatting>
  <conditionalFormatting sqref="BF5:BF14">
    <cfRule type="expression" dxfId="339" priority="26">
      <formula>AND(ROW()=CELL("row"),COLUMN()=CELL("col"))</formula>
    </cfRule>
    <cfRule type="expression" dxfId="338" priority="27">
      <formula>ROW()=CELL("row")</formula>
    </cfRule>
    <cfRule type="expression" dxfId="337" priority="28">
      <formula>COLUMN()=CELL("col")</formula>
    </cfRule>
  </conditionalFormatting>
  <conditionalFormatting sqref="BF5:BF14">
    <cfRule type="expression" dxfId="336" priority="25">
      <formula>WEEKDAY(BF$2,2)&gt;6</formula>
    </cfRule>
  </conditionalFormatting>
  <conditionalFormatting sqref="BG5:BG14">
    <cfRule type="expression" dxfId="335" priority="22">
      <formula>AND(ROW()=CELL("row"),COLUMN()=CELL("col"))</formula>
    </cfRule>
    <cfRule type="expression" dxfId="334" priority="23">
      <formula>ROW()=CELL("row")</formula>
    </cfRule>
    <cfRule type="expression" dxfId="333" priority="24">
      <formula>COLUMN()=CELL("col")</formula>
    </cfRule>
  </conditionalFormatting>
  <conditionalFormatting sqref="BG5:BG14">
    <cfRule type="expression" dxfId="332" priority="21">
      <formula>WEEKDAY(BG$2,2)&gt;6</formula>
    </cfRule>
  </conditionalFormatting>
  <conditionalFormatting sqref="BH5:BH14">
    <cfRule type="expression" dxfId="331" priority="18">
      <formula>AND(ROW()=CELL("row"),COLUMN()=CELL("col"))</formula>
    </cfRule>
    <cfRule type="expression" dxfId="330" priority="19">
      <formula>ROW()=CELL("row")</formula>
    </cfRule>
    <cfRule type="expression" dxfId="329" priority="20">
      <formula>COLUMN()=CELL("col")</formula>
    </cfRule>
  </conditionalFormatting>
  <conditionalFormatting sqref="BH5:BH14">
    <cfRule type="expression" dxfId="328" priority="17">
      <formula>WEEKDAY(BH$2,2)&gt;6</formula>
    </cfRule>
  </conditionalFormatting>
  <conditionalFormatting sqref="BI5:BI14">
    <cfRule type="expression" dxfId="327" priority="14">
      <formula>AND(ROW()=CELL("row"),COLUMN()=CELL("col"))</formula>
    </cfRule>
    <cfRule type="expression" dxfId="326" priority="15">
      <formula>ROW()=CELL("row")</formula>
    </cfRule>
    <cfRule type="expression" dxfId="325" priority="16">
      <formula>COLUMN()=CELL("col")</formula>
    </cfRule>
  </conditionalFormatting>
  <conditionalFormatting sqref="BI5:BI14">
    <cfRule type="expression" dxfId="324" priority="13">
      <formula>WEEKDAY(BI$2,2)&gt;6</formula>
    </cfRule>
  </conditionalFormatting>
  <conditionalFormatting sqref="BJ5:BJ14">
    <cfRule type="expression" dxfId="323" priority="10">
      <formula>AND(ROW()=CELL("row"),COLUMN()=CELL("col"))</formula>
    </cfRule>
    <cfRule type="expression" dxfId="322" priority="11">
      <formula>ROW()=CELL("row")</formula>
    </cfRule>
    <cfRule type="expression" dxfId="321" priority="12">
      <formula>COLUMN()=CELL("col")</formula>
    </cfRule>
  </conditionalFormatting>
  <conditionalFormatting sqref="BJ5:BJ14">
    <cfRule type="expression" dxfId="320" priority="9">
      <formula>WEEKDAY(BJ$2,2)&gt;6</formula>
    </cfRule>
  </conditionalFormatting>
  <conditionalFormatting sqref="BK5:BK14">
    <cfRule type="expression" dxfId="319" priority="6">
      <formula>AND(ROW()=CELL("row"),COLUMN()=CELL("col"))</formula>
    </cfRule>
    <cfRule type="expression" dxfId="318" priority="7">
      <formula>ROW()=CELL("row")</formula>
    </cfRule>
    <cfRule type="expression" dxfId="317" priority="8">
      <formula>COLUMN()=CELL("col")</formula>
    </cfRule>
  </conditionalFormatting>
  <conditionalFormatting sqref="BK5:BK14">
    <cfRule type="expression" dxfId="316" priority="5">
      <formula>WEEKDAY(BK$2,2)&gt;6</formula>
    </cfRule>
  </conditionalFormatting>
  <conditionalFormatting sqref="BL5:BL14">
    <cfRule type="expression" dxfId="315" priority="2">
      <formula>AND(ROW()=CELL("row"),COLUMN()=CELL("col"))</formula>
    </cfRule>
    <cfRule type="expression" dxfId="314" priority="3">
      <formula>ROW()=CELL("row")</formula>
    </cfRule>
    <cfRule type="expression" dxfId="313" priority="4">
      <formula>COLUMN()=CELL("col")</formula>
    </cfRule>
  </conditionalFormatting>
  <conditionalFormatting sqref="BL5:BL14">
    <cfRule type="expression" dxfId="312" priority="1">
      <formula>WEEKDAY(BL$2,2)&gt;6</formula>
    </cfRule>
  </conditionalFormatting>
  <pageMargins left="0.7" right="0.7" top="0.75" bottom="0.75" header="0.3" footer="0.3"/>
  <pageSetup paperSize="9" scale="60" orientation="portrait" r:id="rId1"/>
  <colBreaks count="1" manualBreakCount="1">
    <brk id="34" max="1048575" man="1"/>
  </colBreaks>
  <ignoredErrors>
    <ignoredError sqref="W13:AC13 Q13" formulaRange="1"/>
  </ignoredError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BDFFDB"/>
  </sheetPr>
  <dimension ref="A1:AR31"/>
  <sheetViews>
    <sheetView workbookViewId="0">
      <selection activeCell="AG36" sqref="AG36"/>
    </sheetView>
  </sheetViews>
  <sheetFormatPr defaultColWidth="9.140625" defaultRowHeight="15.75" x14ac:dyDescent="0.2"/>
  <cols>
    <col min="1" max="1" width="6.85546875" style="35" customWidth="1"/>
    <col min="2" max="2" width="6.140625" style="35" customWidth="1"/>
    <col min="3" max="3" width="9" style="35" customWidth="1"/>
    <col min="4" max="28" width="7.5703125" style="35" hidden="1" customWidth="1"/>
    <col min="29" max="29" width="7.5703125" style="35" customWidth="1"/>
    <col min="30" max="44" width="7.5703125" style="35" bestFit="1" customWidth="1"/>
    <col min="45" max="16384" width="9.140625" style="35"/>
  </cols>
  <sheetData>
    <row r="1" spans="1:44" ht="3.75" customHeight="1" x14ac:dyDescent="0.2"/>
    <row r="2" spans="1:44" ht="30" customHeight="1" x14ac:dyDescent="0.2">
      <c r="A2" s="55">
        <v>3</v>
      </c>
      <c r="B2" s="55">
        <v>2022</v>
      </c>
      <c r="C2" s="36" t="s">
        <v>7</v>
      </c>
      <c r="D2" s="37">
        <f>DATE(B2,A2,1)</f>
        <v>44621</v>
      </c>
      <c r="E2" s="37">
        <f>D2+1</f>
        <v>44622</v>
      </c>
      <c r="F2" s="37">
        <f t="shared" ref="F2:AR2" si="0">E2+1</f>
        <v>44623</v>
      </c>
      <c r="G2" s="37">
        <f t="shared" si="0"/>
        <v>44624</v>
      </c>
      <c r="H2" s="37">
        <f t="shared" si="0"/>
        <v>44625</v>
      </c>
      <c r="I2" s="37">
        <f t="shared" si="0"/>
        <v>44626</v>
      </c>
      <c r="J2" s="37">
        <f t="shared" si="0"/>
        <v>44627</v>
      </c>
      <c r="K2" s="37">
        <f t="shared" si="0"/>
        <v>44628</v>
      </c>
      <c r="L2" s="37">
        <f t="shared" si="0"/>
        <v>44629</v>
      </c>
      <c r="M2" s="37">
        <f t="shared" si="0"/>
        <v>44630</v>
      </c>
      <c r="N2" s="37">
        <f t="shared" si="0"/>
        <v>44631</v>
      </c>
      <c r="O2" s="37">
        <f t="shared" si="0"/>
        <v>44632</v>
      </c>
      <c r="P2" s="37">
        <f t="shared" si="0"/>
        <v>44633</v>
      </c>
      <c r="Q2" s="37">
        <f t="shared" si="0"/>
        <v>44634</v>
      </c>
      <c r="R2" s="37">
        <f t="shared" si="0"/>
        <v>44635</v>
      </c>
      <c r="S2" s="37">
        <f t="shared" si="0"/>
        <v>44636</v>
      </c>
      <c r="T2" s="37">
        <f t="shared" si="0"/>
        <v>44637</v>
      </c>
      <c r="U2" s="37">
        <f t="shared" si="0"/>
        <v>44638</v>
      </c>
      <c r="V2" s="37">
        <f t="shared" si="0"/>
        <v>44639</v>
      </c>
      <c r="W2" s="37">
        <f t="shared" si="0"/>
        <v>44640</v>
      </c>
      <c r="X2" s="37">
        <f t="shared" si="0"/>
        <v>44641</v>
      </c>
      <c r="Y2" s="37">
        <f t="shared" si="0"/>
        <v>44642</v>
      </c>
      <c r="Z2" s="37">
        <f t="shared" si="0"/>
        <v>44643</v>
      </c>
      <c r="AA2" s="37">
        <f t="shared" si="0"/>
        <v>44644</v>
      </c>
      <c r="AB2" s="37">
        <f t="shared" si="0"/>
        <v>44645</v>
      </c>
      <c r="AC2" s="37">
        <f t="shared" si="0"/>
        <v>44646</v>
      </c>
      <c r="AD2" s="37">
        <f t="shared" si="0"/>
        <v>44647</v>
      </c>
      <c r="AE2" s="37">
        <f t="shared" si="0"/>
        <v>44648</v>
      </c>
      <c r="AF2" s="37">
        <f t="shared" si="0"/>
        <v>44649</v>
      </c>
      <c r="AG2" s="37">
        <f t="shared" si="0"/>
        <v>44650</v>
      </c>
      <c r="AH2" s="37">
        <f t="shared" si="0"/>
        <v>44651</v>
      </c>
      <c r="AI2" s="37">
        <f t="shared" si="0"/>
        <v>44652</v>
      </c>
      <c r="AJ2" s="37">
        <f t="shared" si="0"/>
        <v>44653</v>
      </c>
      <c r="AK2" s="37">
        <f t="shared" si="0"/>
        <v>44654</v>
      </c>
      <c r="AL2" s="37">
        <f t="shared" si="0"/>
        <v>44655</v>
      </c>
      <c r="AM2" s="37">
        <f t="shared" si="0"/>
        <v>44656</v>
      </c>
      <c r="AN2" s="37">
        <f t="shared" si="0"/>
        <v>44657</v>
      </c>
      <c r="AO2" s="37">
        <f t="shared" si="0"/>
        <v>44658</v>
      </c>
      <c r="AP2" s="37">
        <f t="shared" si="0"/>
        <v>44659</v>
      </c>
      <c r="AQ2" s="37">
        <f t="shared" si="0"/>
        <v>44660</v>
      </c>
      <c r="AR2" s="37">
        <f t="shared" si="0"/>
        <v>44661</v>
      </c>
    </row>
    <row r="3" spans="1:44" ht="24.95" customHeight="1" x14ac:dyDescent="0.2">
      <c r="A3" s="38" t="s">
        <v>15</v>
      </c>
      <c r="B3" s="39"/>
      <c r="C3" s="40"/>
      <c r="D3" s="41" t="str">
        <f>IF(WEEKDAY(D2)=1,"CN","T"&amp;WEEKDAY(D2))</f>
        <v>T3</v>
      </c>
      <c r="E3" s="41" t="str">
        <f t="shared" ref="E3:AH3" si="1">IF(WEEKDAY(E2)=1,"CN","T"&amp;WEEKDAY(E2))</f>
        <v>T4</v>
      </c>
      <c r="F3" s="41" t="str">
        <f t="shared" si="1"/>
        <v>T5</v>
      </c>
      <c r="G3" s="41" t="str">
        <f t="shared" si="1"/>
        <v>T6</v>
      </c>
      <c r="H3" s="41" t="str">
        <f t="shared" si="1"/>
        <v>T7</v>
      </c>
      <c r="I3" s="41" t="str">
        <f t="shared" si="1"/>
        <v>CN</v>
      </c>
      <c r="J3" s="41" t="str">
        <f t="shared" si="1"/>
        <v>T2</v>
      </c>
      <c r="K3" s="41" t="str">
        <f t="shared" si="1"/>
        <v>T3</v>
      </c>
      <c r="L3" s="41" t="str">
        <f t="shared" si="1"/>
        <v>T4</v>
      </c>
      <c r="M3" s="41" t="str">
        <f t="shared" si="1"/>
        <v>T5</v>
      </c>
      <c r="N3" s="41" t="str">
        <f t="shared" si="1"/>
        <v>T6</v>
      </c>
      <c r="O3" s="41" t="str">
        <f t="shared" si="1"/>
        <v>T7</v>
      </c>
      <c r="P3" s="41" t="str">
        <f t="shared" si="1"/>
        <v>CN</v>
      </c>
      <c r="Q3" s="41" t="str">
        <f t="shared" si="1"/>
        <v>T2</v>
      </c>
      <c r="R3" s="41" t="str">
        <f t="shared" si="1"/>
        <v>T3</v>
      </c>
      <c r="S3" s="41" t="str">
        <f t="shared" si="1"/>
        <v>T4</v>
      </c>
      <c r="T3" s="41" t="str">
        <f t="shared" si="1"/>
        <v>T5</v>
      </c>
      <c r="U3" s="41" t="str">
        <f t="shared" si="1"/>
        <v>T6</v>
      </c>
      <c r="V3" s="41" t="str">
        <f t="shared" si="1"/>
        <v>T7</v>
      </c>
      <c r="W3" s="41" t="str">
        <f t="shared" si="1"/>
        <v>CN</v>
      </c>
      <c r="X3" s="41" t="str">
        <f t="shared" si="1"/>
        <v>T2</v>
      </c>
      <c r="Y3" s="41" t="str">
        <f t="shared" si="1"/>
        <v>T3</v>
      </c>
      <c r="Z3" s="41" t="str">
        <f t="shared" si="1"/>
        <v>T4</v>
      </c>
      <c r="AA3" s="41" t="str">
        <f t="shared" si="1"/>
        <v>T5</v>
      </c>
      <c r="AB3" s="41" t="str">
        <f t="shared" si="1"/>
        <v>T6</v>
      </c>
      <c r="AC3" s="41" t="str">
        <f t="shared" si="1"/>
        <v>T7</v>
      </c>
      <c r="AD3" s="41" t="str">
        <f t="shared" si="1"/>
        <v>CN</v>
      </c>
      <c r="AE3" s="41" t="str">
        <f t="shared" si="1"/>
        <v>T2</v>
      </c>
      <c r="AF3" s="41" t="str">
        <f t="shared" si="1"/>
        <v>T3</v>
      </c>
      <c r="AG3" s="41" t="str">
        <f t="shared" si="1"/>
        <v>T4</v>
      </c>
      <c r="AH3" s="41" t="str">
        <f t="shared" si="1"/>
        <v>T5</v>
      </c>
      <c r="AI3" s="134" t="str">
        <f t="shared" ref="AI3:AR3" si="2">IF(WEEKDAY(AI2)=1,"CN","T"&amp;WEEKDAY(AI2))</f>
        <v>T6</v>
      </c>
      <c r="AJ3" s="134" t="str">
        <f t="shared" si="2"/>
        <v>T7</v>
      </c>
      <c r="AK3" s="134" t="str">
        <f t="shared" si="2"/>
        <v>CN</v>
      </c>
      <c r="AL3" s="134" t="str">
        <f t="shared" si="2"/>
        <v>T2</v>
      </c>
      <c r="AM3" s="134" t="str">
        <f t="shared" si="2"/>
        <v>T3</v>
      </c>
      <c r="AN3" s="134" t="str">
        <f t="shared" si="2"/>
        <v>T4</v>
      </c>
      <c r="AO3" s="134" t="str">
        <f t="shared" si="2"/>
        <v>T5</v>
      </c>
      <c r="AP3" s="134" t="str">
        <f t="shared" si="2"/>
        <v>T6</v>
      </c>
      <c r="AQ3" s="134" t="str">
        <f t="shared" si="2"/>
        <v>T7</v>
      </c>
      <c r="AR3" s="134" t="str">
        <f t="shared" si="2"/>
        <v>CN</v>
      </c>
    </row>
    <row r="4" spans="1:44" ht="20.100000000000001" customHeight="1" x14ac:dyDescent="0.2">
      <c r="A4" s="42">
        <f>SUM(D4:AH4)</f>
        <v>265</v>
      </c>
      <c r="B4" s="43"/>
      <c r="C4" s="44"/>
      <c r="D4" s="45">
        <f t="shared" ref="D4:AH4" si="3">SUBTOTAL(9,D5:D11)</f>
        <v>0</v>
      </c>
      <c r="E4" s="45">
        <f t="shared" si="3"/>
        <v>0</v>
      </c>
      <c r="F4" s="45">
        <f t="shared" si="3"/>
        <v>0</v>
      </c>
      <c r="G4" s="45">
        <f t="shared" si="3"/>
        <v>0</v>
      </c>
      <c r="H4" s="45">
        <f t="shared" si="3"/>
        <v>0</v>
      </c>
      <c r="I4" s="45">
        <f t="shared" si="3"/>
        <v>0</v>
      </c>
      <c r="J4" s="45">
        <f t="shared" si="3"/>
        <v>0</v>
      </c>
      <c r="K4" s="45">
        <f t="shared" si="3"/>
        <v>0</v>
      </c>
      <c r="L4" s="45">
        <f t="shared" si="3"/>
        <v>0</v>
      </c>
      <c r="M4" s="45">
        <f t="shared" si="3"/>
        <v>0</v>
      </c>
      <c r="N4" s="45">
        <f t="shared" si="3"/>
        <v>0</v>
      </c>
      <c r="O4" s="45">
        <f t="shared" si="3"/>
        <v>0</v>
      </c>
      <c r="P4" s="45">
        <f t="shared" si="3"/>
        <v>0</v>
      </c>
      <c r="Q4" s="45">
        <f t="shared" si="3"/>
        <v>0</v>
      </c>
      <c r="R4" s="45">
        <f t="shared" si="3"/>
        <v>0</v>
      </c>
      <c r="S4" s="45">
        <f t="shared" si="3"/>
        <v>0</v>
      </c>
      <c r="T4" s="45">
        <f t="shared" si="3"/>
        <v>0</v>
      </c>
      <c r="U4" s="45">
        <f t="shared" si="3"/>
        <v>0</v>
      </c>
      <c r="V4" s="45">
        <f t="shared" si="3"/>
        <v>0</v>
      </c>
      <c r="W4" s="45">
        <f t="shared" si="3"/>
        <v>0</v>
      </c>
      <c r="X4" s="45">
        <f t="shared" si="3"/>
        <v>0</v>
      </c>
      <c r="Y4" s="45">
        <f t="shared" si="3"/>
        <v>0</v>
      </c>
      <c r="Z4" s="45">
        <f t="shared" si="3"/>
        <v>0</v>
      </c>
      <c r="AA4" s="45">
        <f t="shared" si="3"/>
        <v>35</v>
      </c>
      <c r="AB4" s="45">
        <f t="shared" si="3"/>
        <v>35</v>
      </c>
      <c r="AC4" s="45">
        <f t="shared" si="3"/>
        <v>35</v>
      </c>
      <c r="AD4" s="45">
        <f t="shared" si="3"/>
        <v>0</v>
      </c>
      <c r="AE4" s="45">
        <f t="shared" si="3"/>
        <v>40</v>
      </c>
      <c r="AF4" s="45">
        <f t="shared" si="3"/>
        <v>40</v>
      </c>
      <c r="AG4" s="45">
        <f t="shared" si="3"/>
        <v>40</v>
      </c>
      <c r="AH4" s="45">
        <f t="shared" si="3"/>
        <v>40</v>
      </c>
      <c r="AI4" s="45">
        <f t="shared" ref="AI4:AR4" si="4">SUBTOTAL(9,AI5:AI11)</f>
        <v>40</v>
      </c>
      <c r="AJ4" s="45">
        <f t="shared" si="4"/>
        <v>40</v>
      </c>
      <c r="AK4" s="45">
        <f t="shared" si="4"/>
        <v>0</v>
      </c>
      <c r="AL4" s="45">
        <f t="shared" si="4"/>
        <v>40</v>
      </c>
      <c r="AM4" s="45">
        <f t="shared" si="4"/>
        <v>40</v>
      </c>
      <c r="AN4" s="45">
        <f t="shared" si="4"/>
        <v>40</v>
      </c>
      <c r="AO4" s="45">
        <f t="shared" si="4"/>
        <v>40</v>
      </c>
      <c r="AP4" s="45">
        <f t="shared" si="4"/>
        <v>40</v>
      </c>
      <c r="AQ4" s="45">
        <f t="shared" si="4"/>
        <v>40</v>
      </c>
      <c r="AR4" s="45">
        <f t="shared" si="4"/>
        <v>0</v>
      </c>
    </row>
    <row r="5" spans="1:44" ht="18" hidden="1" customHeight="1" x14ac:dyDescent="0.2">
      <c r="A5" s="383" t="s">
        <v>14</v>
      </c>
      <c r="B5" s="49">
        <v>8</v>
      </c>
      <c r="C5" s="50">
        <f t="shared" ref="C5:C11" si="5">SUM(D5:AH5)</f>
        <v>0</v>
      </c>
      <c r="D5" s="51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</row>
    <row r="6" spans="1:44" ht="18" hidden="1" customHeight="1" x14ac:dyDescent="0.2">
      <c r="A6" s="383"/>
      <c r="B6" s="46">
        <v>10</v>
      </c>
      <c r="C6" s="47">
        <f t="shared" si="5"/>
        <v>0</v>
      </c>
      <c r="D6" s="48"/>
      <c r="E6" s="59"/>
      <c r="F6" s="59"/>
      <c r="G6" s="59"/>
      <c r="H6" s="59"/>
      <c r="I6" s="59"/>
      <c r="J6" s="59"/>
      <c r="K6" s="59"/>
      <c r="L6" s="59"/>
      <c r="M6" s="59"/>
      <c r="N6" s="59"/>
      <c r="O6" s="59"/>
      <c r="P6" s="59"/>
      <c r="Q6" s="59"/>
      <c r="R6" s="59"/>
      <c r="S6" s="59"/>
      <c r="T6" s="59"/>
      <c r="U6" s="59"/>
      <c r="V6" s="59"/>
      <c r="W6" s="59"/>
      <c r="X6" s="59"/>
      <c r="Y6" s="59"/>
      <c r="Z6" s="59"/>
      <c r="AA6" s="59"/>
      <c r="AB6" s="59"/>
      <c r="AC6" s="59"/>
      <c r="AD6" s="59"/>
      <c r="AE6" s="59"/>
      <c r="AF6" s="59"/>
      <c r="AG6" s="59"/>
      <c r="AH6" s="59"/>
      <c r="AI6" s="59"/>
      <c r="AJ6" s="59"/>
      <c r="AK6" s="59"/>
      <c r="AL6" s="59"/>
      <c r="AM6" s="59"/>
      <c r="AN6" s="59"/>
      <c r="AO6" s="59"/>
      <c r="AP6" s="59"/>
      <c r="AQ6" s="59"/>
      <c r="AR6" s="59"/>
    </row>
    <row r="7" spans="1:44" ht="18" customHeight="1" x14ac:dyDescent="0.2">
      <c r="A7" s="383"/>
      <c r="B7" s="46">
        <v>15</v>
      </c>
      <c r="C7" s="47">
        <f t="shared" si="5"/>
        <v>265</v>
      </c>
      <c r="D7" s="48"/>
      <c r="E7" s="59"/>
      <c r="F7" s="59"/>
      <c r="G7" s="59"/>
      <c r="H7" s="59"/>
      <c r="I7" s="59"/>
      <c r="J7" s="59"/>
      <c r="K7" s="59"/>
      <c r="L7" s="59"/>
      <c r="M7" s="59"/>
      <c r="N7" s="59"/>
      <c r="O7" s="59"/>
      <c r="P7" s="59"/>
      <c r="Q7" s="59"/>
      <c r="R7" s="59"/>
      <c r="S7" s="59"/>
      <c r="T7" s="59"/>
      <c r="U7" s="59"/>
      <c r="V7" s="59"/>
      <c r="W7" s="59"/>
      <c r="X7" s="59"/>
      <c r="Y7" s="59"/>
      <c r="Z7" s="59"/>
      <c r="AA7" s="59">
        <v>35</v>
      </c>
      <c r="AB7" s="59">
        <v>35</v>
      </c>
      <c r="AC7" s="59">
        <v>35</v>
      </c>
      <c r="AD7" s="59"/>
      <c r="AE7" s="59">
        <v>40</v>
      </c>
      <c r="AF7" s="59">
        <v>40</v>
      </c>
      <c r="AG7" s="59">
        <v>40</v>
      </c>
      <c r="AH7" s="59">
        <v>40</v>
      </c>
      <c r="AI7" s="59">
        <v>40</v>
      </c>
      <c r="AJ7" s="59">
        <v>40</v>
      </c>
      <c r="AK7" s="59"/>
      <c r="AL7" s="59">
        <v>40</v>
      </c>
      <c r="AM7" s="59">
        <v>40</v>
      </c>
      <c r="AN7" s="59">
        <v>40</v>
      </c>
      <c r="AO7" s="59">
        <v>40</v>
      </c>
      <c r="AP7" s="59">
        <v>40</v>
      </c>
      <c r="AQ7" s="59">
        <v>40</v>
      </c>
      <c r="AR7" s="59"/>
    </row>
    <row r="8" spans="1:44" ht="18" customHeight="1" x14ac:dyDescent="0.2">
      <c r="A8" s="383"/>
      <c r="B8" s="46">
        <v>17</v>
      </c>
      <c r="C8" s="47">
        <f t="shared" si="5"/>
        <v>0</v>
      </c>
      <c r="D8" s="48"/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59"/>
      <c r="S8" s="59"/>
      <c r="T8" s="59"/>
      <c r="U8" s="59"/>
      <c r="V8" s="59"/>
      <c r="W8" s="59"/>
      <c r="X8" s="59"/>
      <c r="Y8" s="59"/>
      <c r="Z8" s="59"/>
      <c r="AA8" s="59"/>
      <c r="AB8" s="59"/>
      <c r="AC8" s="59"/>
      <c r="AD8" s="59"/>
      <c r="AE8" s="59"/>
      <c r="AF8" s="59"/>
      <c r="AG8" s="59"/>
      <c r="AH8" s="59"/>
      <c r="AI8" s="59"/>
      <c r="AJ8" s="59"/>
      <c r="AK8" s="59"/>
      <c r="AL8" s="59"/>
      <c r="AM8" s="59"/>
      <c r="AN8" s="59"/>
      <c r="AO8" s="59"/>
      <c r="AP8" s="59"/>
      <c r="AQ8" s="59"/>
      <c r="AR8" s="59"/>
    </row>
    <row r="9" spans="1:44" ht="18" customHeight="1" x14ac:dyDescent="0.2">
      <c r="A9" s="383"/>
      <c r="B9" s="46">
        <v>20</v>
      </c>
      <c r="C9" s="47">
        <f t="shared" si="5"/>
        <v>0</v>
      </c>
      <c r="D9" s="48"/>
      <c r="E9" s="59"/>
      <c r="F9" s="59"/>
      <c r="G9" s="59"/>
      <c r="H9" s="59"/>
      <c r="I9" s="59"/>
      <c r="J9" s="59"/>
      <c r="K9" s="59"/>
      <c r="L9" s="59"/>
      <c r="M9" s="59"/>
      <c r="N9" s="59"/>
      <c r="O9" s="59"/>
      <c r="P9" s="59"/>
      <c r="Q9" s="59"/>
      <c r="R9" s="59"/>
      <c r="S9" s="59"/>
      <c r="T9" s="59"/>
      <c r="U9" s="59"/>
      <c r="V9" s="59"/>
      <c r="W9" s="59"/>
      <c r="X9" s="59"/>
      <c r="Y9" s="59"/>
      <c r="Z9" s="59"/>
      <c r="AA9" s="59"/>
      <c r="AB9" s="59"/>
      <c r="AC9" s="59"/>
      <c r="AD9" s="59"/>
      <c r="AE9" s="59"/>
      <c r="AF9" s="59"/>
      <c r="AG9" s="59"/>
      <c r="AH9" s="59"/>
      <c r="AI9" s="59"/>
      <c r="AJ9" s="59"/>
      <c r="AK9" s="59"/>
      <c r="AL9" s="59"/>
      <c r="AM9" s="59"/>
      <c r="AN9" s="59"/>
      <c r="AO9" s="59"/>
      <c r="AP9" s="59"/>
      <c r="AQ9" s="59"/>
      <c r="AR9" s="59"/>
    </row>
    <row r="10" spans="1:44" ht="18" customHeight="1" x14ac:dyDescent="0.2">
      <c r="A10" s="383"/>
      <c r="B10" s="46">
        <v>25</v>
      </c>
      <c r="C10" s="47">
        <f t="shared" si="5"/>
        <v>0</v>
      </c>
      <c r="D10" s="48"/>
      <c r="E10" s="59"/>
      <c r="F10" s="59"/>
      <c r="G10" s="59"/>
      <c r="H10" s="59"/>
      <c r="I10" s="59"/>
      <c r="J10" s="59"/>
      <c r="K10" s="59"/>
      <c r="L10" s="59"/>
      <c r="M10" s="59"/>
      <c r="N10" s="59"/>
      <c r="O10" s="59"/>
      <c r="P10" s="59"/>
      <c r="Q10" s="59"/>
      <c r="R10" s="59"/>
      <c r="S10" s="59"/>
      <c r="T10" s="59"/>
      <c r="U10" s="59"/>
      <c r="V10" s="59"/>
      <c r="W10" s="59"/>
      <c r="X10" s="59"/>
      <c r="Y10" s="59"/>
      <c r="Z10" s="59"/>
      <c r="AA10" s="59"/>
      <c r="AB10" s="59"/>
      <c r="AC10" s="59"/>
      <c r="AD10" s="59"/>
      <c r="AE10" s="59"/>
      <c r="AF10" s="59"/>
      <c r="AG10" s="59"/>
      <c r="AH10" s="59"/>
      <c r="AI10" s="59"/>
      <c r="AJ10" s="59"/>
      <c r="AK10" s="59"/>
      <c r="AL10" s="59"/>
      <c r="AM10" s="59"/>
      <c r="AN10" s="59"/>
      <c r="AO10" s="59"/>
      <c r="AP10" s="59"/>
      <c r="AQ10" s="59"/>
      <c r="AR10" s="59"/>
    </row>
    <row r="11" spans="1:44" ht="18" customHeight="1" x14ac:dyDescent="0.2">
      <c r="A11" s="384"/>
      <c r="B11" s="52">
        <v>30</v>
      </c>
      <c r="C11" s="53">
        <f t="shared" si="5"/>
        <v>0</v>
      </c>
      <c r="D11" s="54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  <c r="AG11" s="58"/>
      <c r="AH11" s="58"/>
      <c r="AI11" s="58"/>
      <c r="AJ11" s="58"/>
      <c r="AK11" s="58"/>
      <c r="AL11" s="58"/>
      <c r="AM11" s="58"/>
      <c r="AN11" s="58"/>
      <c r="AO11" s="58"/>
      <c r="AP11" s="58"/>
      <c r="AQ11" s="58"/>
      <c r="AR11" s="58"/>
    </row>
    <row r="12" spans="1:44" ht="15" hidden="1" customHeight="1" x14ac:dyDescent="0.2">
      <c r="A12" s="374" t="s">
        <v>14</v>
      </c>
      <c r="B12" s="377">
        <v>8</v>
      </c>
      <c r="C12" s="74" t="s">
        <v>20</v>
      </c>
      <c r="D12" s="75"/>
      <c r="E12" s="75"/>
      <c r="F12" s="75"/>
      <c r="G12" s="75"/>
      <c r="H12" s="75"/>
      <c r="I12" s="75"/>
      <c r="J12" s="75"/>
      <c r="K12" s="75"/>
      <c r="L12" s="75"/>
      <c r="M12" s="75"/>
      <c r="N12" s="75"/>
      <c r="O12" s="75"/>
      <c r="P12" s="75"/>
      <c r="Q12" s="75"/>
      <c r="R12" s="75"/>
      <c r="S12" s="75"/>
      <c r="T12" s="75"/>
      <c r="U12" s="75"/>
      <c r="V12" s="75"/>
      <c r="W12" s="75"/>
      <c r="X12" s="75"/>
      <c r="Y12" s="75"/>
      <c r="Z12" s="75"/>
      <c r="AA12" s="75"/>
      <c r="AB12" s="75"/>
      <c r="AC12" s="75"/>
      <c r="AD12" s="75"/>
      <c r="AE12" s="75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</row>
    <row r="13" spans="1:44" ht="15" hidden="1" customHeight="1" x14ac:dyDescent="0.2">
      <c r="A13" s="375"/>
      <c r="B13" s="378"/>
      <c r="C13" s="76" t="s">
        <v>0</v>
      </c>
      <c r="D13" s="77"/>
      <c r="E13" s="77"/>
      <c r="F13" s="77"/>
      <c r="G13" s="77"/>
      <c r="H13" s="77"/>
      <c r="I13" s="77"/>
      <c r="J13" s="77"/>
      <c r="K13" s="77"/>
      <c r="L13" s="77"/>
      <c r="M13" s="77"/>
      <c r="N13" s="77"/>
      <c r="O13" s="77"/>
      <c r="P13" s="77"/>
      <c r="Q13" s="77"/>
      <c r="R13" s="77"/>
      <c r="S13" s="77"/>
      <c r="T13" s="77"/>
      <c r="U13" s="77"/>
      <c r="V13" s="77"/>
      <c r="W13" s="77"/>
      <c r="X13" s="77"/>
      <c r="Y13" s="77"/>
      <c r="Z13" s="77"/>
      <c r="AA13" s="77"/>
      <c r="AB13" s="77"/>
      <c r="AC13" s="77"/>
      <c r="AD13" s="77"/>
      <c r="AE13" s="77"/>
      <c r="AF13" s="77"/>
      <c r="AG13" s="77"/>
      <c r="AH13" s="77"/>
      <c r="AI13" s="77"/>
      <c r="AJ13" s="77"/>
      <c r="AK13" s="77"/>
      <c r="AL13" s="77"/>
      <c r="AM13" s="77"/>
      <c r="AN13" s="77"/>
      <c r="AO13" s="77"/>
      <c r="AP13" s="77"/>
      <c r="AQ13" s="77"/>
      <c r="AR13" s="77"/>
    </row>
    <row r="14" spans="1:44" ht="15" hidden="1" customHeight="1" x14ac:dyDescent="0.2">
      <c r="A14" s="375"/>
      <c r="B14" s="379"/>
      <c r="C14" s="78" t="s">
        <v>1</v>
      </c>
      <c r="D14" s="79"/>
      <c r="E14" s="79"/>
      <c r="F14" s="79"/>
      <c r="G14" s="79"/>
      <c r="H14" s="79"/>
      <c r="I14" s="79"/>
      <c r="J14" s="79"/>
      <c r="K14" s="79"/>
      <c r="L14" s="79"/>
      <c r="M14" s="79"/>
      <c r="N14" s="79"/>
      <c r="O14" s="79"/>
      <c r="P14" s="79"/>
      <c r="Q14" s="79"/>
      <c r="R14" s="79"/>
      <c r="S14" s="79"/>
      <c r="T14" s="79"/>
      <c r="U14" s="79"/>
      <c r="V14" s="79"/>
      <c r="W14" s="79"/>
      <c r="X14" s="79"/>
      <c r="Y14" s="79"/>
      <c r="Z14" s="79"/>
      <c r="AA14" s="79"/>
      <c r="AB14" s="79"/>
      <c r="AC14" s="79"/>
      <c r="AD14" s="79"/>
      <c r="AE14" s="79"/>
      <c r="AF14" s="79"/>
      <c r="AG14" s="79"/>
      <c r="AH14" s="79"/>
      <c r="AI14" s="79"/>
      <c r="AJ14" s="79"/>
      <c r="AK14" s="79"/>
      <c r="AL14" s="79"/>
      <c r="AM14" s="79"/>
      <c r="AN14" s="79"/>
      <c r="AO14" s="79"/>
      <c r="AP14" s="79"/>
      <c r="AQ14" s="79"/>
      <c r="AR14" s="79"/>
    </row>
    <row r="15" spans="1:44" ht="14.1" hidden="1" customHeight="1" x14ac:dyDescent="0.2">
      <c r="A15" s="375"/>
      <c r="B15" s="380">
        <v>10</v>
      </c>
      <c r="C15" s="74" t="s">
        <v>20</v>
      </c>
      <c r="D15" s="75"/>
      <c r="E15" s="75"/>
      <c r="F15" s="75"/>
      <c r="G15" s="75"/>
      <c r="H15" s="75"/>
      <c r="I15" s="75"/>
      <c r="J15" s="75"/>
      <c r="K15" s="75"/>
      <c r="L15" s="75"/>
      <c r="M15" s="75"/>
      <c r="N15" s="75"/>
      <c r="O15" s="75"/>
      <c r="P15" s="75"/>
      <c r="Q15" s="75"/>
      <c r="R15" s="75"/>
      <c r="S15" s="75"/>
      <c r="T15" s="75"/>
      <c r="U15" s="75"/>
      <c r="V15" s="75"/>
      <c r="W15" s="75"/>
      <c r="X15" s="75"/>
      <c r="Y15" s="75"/>
      <c r="Z15" s="75"/>
      <c r="AA15" s="75"/>
      <c r="AB15" s="75"/>
      <c r="AC15" s="75"/>
      <c r="AD15" s="75"/>
      <c r="AE15" s="75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</row>
    <row r="16" spans="1:44" ht="14.1" hidden="1" customHeight="1" x14ac:dyDescent="0.2">
      <c r="A16" s="375"/>
      <c r="B16" s="378"/>
      <c r="C16" s="76" t="s">
        <v>0</v>
      </c>
      <c r="D16" s="77"/>
      <c r="E16" s="77"/>
      <c r="F16" s="77"/>
      <c r="G16" s="77"/>
      <c r="H16" s="77"/>
      <c r="I16" s="77"/>
      <c r="J16" s="77"/>
      <c r="K16" s="77"/>
      <c r="L16" s="77"/>
      <c r="M16" s="77"/>
      <c r="N16" s="77"/>
      <c r="O16" s="77"/>
      <c r="P16" s="77"/>
      <c r="Q16" s="77"/>
      <c r="R16" s="77"/>
      <c r="S16" s="77"/>
      <c r="T16" s="77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7"/>
      <c r="AJ16" s="77"/>
      <c r="AK16" s="77"/>
      <c r="AL16" s="77"/>
      <c r="AM16" s="77"/>
      <c r="AN16" s="77"/>
      <c r="AO16" s="77"/>
      <c r="AP16" s="77"/>
      <c r="AQ16" s="77"/>
      <c r="AR16" s="77"/>
    </row>
    <row r="17" spans="1:44" ht="14.1" hidden="1" customHeight="1" x14ac:dyDescent="0.2">
      <c r="A17" s="375"/>
      <c r="B17" s="381"/>
      <c r="C17" s="78" t="s">
        <v>1</v>
      </c>
      <c r="D17" s="79"/>
      <c r="E17" s="79"/>
      <c r="F17" s="79"/>
      <c r="G17" s="79"/>
      <c r="H17" s="79"/>
      <c r="I17" s="79"/>
      <c r="J17" s="79"/>
      <c r="K17" s="79"/>
      <c r="L17" s="79"/>
      <c r="M17" s="79"/>
      <c r="N17" s="79"/>
      <c r="O17" s="79"/>
      <c r="P17" s="79"/>
      <c r="Q17" s="79"/>
      <c r="R17" s="79"/>
      <c r="S17" s="79"/>
      <c r="T17" s="79"/>
      <c r="U17" s="79"/>
      <c r="V17" s="79"/>
      <c r="W17" s="79"/>
      <c r="X17" s="79"/>
      <c r="Y17" s="79"/>
      <c r="Z17" s="79"/>
      <c r="AA17" s="79"/>
      <c r="AB17" s="79"/>
      <c r="AC17" s="79"/>
      <c r="AD17" s="79"/>
      <c r="AE17" s="79"/>
      <c r="AF17" s="79"/>
      <c r="AG17" s="79"/>
      <c r="AH17" s="79"/>
      <c r="AI17" s="79"/>
      <c r="AJ17" s="79"/>
      <c r="AK17" s="79"/>
      <c r="AL17" s="79"/>
      <c r="AM17" s="79"/>
      <c r="AN17" s="79"/>
      <c r="AO17" s="79"/>
      <c r="AP17" s="79"/>
      <c r="AQ17" s="79"/>
      <c r="AR17" s="79"/>
    </row>
    <row r="18" spans="1:44" ht="14.1" hidden="1" customHeight="1" x14ac:dyDescent="0.2">
      <c r="A18" s="375"/>
      <c r="B18" s="377">
        <v>12</v>
      </c>
      <c r="C18" s="74" t="s">
        <v>20</v>
      </c>
      <c r="D18" s="75"/>
      <c r="E18" s="75"/>
      <c r="F18" s="75"/>
      <c r="G18" s="75"/>
      <c r="H18" s="75"/>
      <c r="I18" s="75"/>
      <c r="J18" s="75"/>
      <c r="K18" s="75"/>
      <c r="L18" s="75"/>
      <c r="M18" s="75"/>
      <c r="N18" s="75"/>
      <c r="O18" s="75"/>
      <c r="P18" s="75"/>
      <c r="Q18" s="75"/>
      <c r="R18" s="75"/>
      <c r="S18" s="75"/>
      <c r="T18" s="75"/>
      <c r="U18" s="75"/>
      <c r="V18" s="75"/>
      <c r="W18" s="75"/>
      <c r="X18" s="75"/>
      <c r="Y18" s="75"/>
      <c r="Z18" s="75"/>
      <c r="AA18" s="75"/>
      <c r="AB18" s="75"/>
      <c r="AC18" s="75"/>
      <c r="AD18" s="75"/>
      <c r="AE18" s="75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</row>
    <row r="19" spans="1:44" ht="14.1" hidden="1" customHeight="1" x14ac:dyDescent="0.2">
      <c r="A19" s="375"/>
      <c r="B19" s="378"/>
      <c r="C19" s="76" t="s">
        <v>0</v>
      </c>
      <c r="D19" s="77"/>
      <c r="E19" s="77"/>
      <c r="F19" s="77"/>
      <c r="G19" s="77"/>
      <c r="H19" s="77"/>
      <c r="I19" s="77"/>
      <c r="J19" s="77"/>
      <c r="K19" s="77"/>
      <c r="L19" s="77"/>
      <c r="M19" s="77"/>
      <c r="N19" s="77"/>
      <c r="O19" s="77"/>
      <c r="P19" s="77"/>
      <c r="Q19" s="77"/>
      <c r="R19" s="77"/>
      <c r="S19" s="77"/>
      <c r="T19" s="77"/>
      <c r="U19" s="77"/>
      <c r="V19" s="77"/>
      <c r="W19" s="77"/>
      <c r="X19" s="77"/>
      <c r="Y19" s="77"/>
      <c r="Z19" s="77"/>
      <c r="AA19" s="77"/>
      <c r="AB19" s="77"/>
      <c r="AC19" s="77"/>
      <c r="AD19" s="77"/>
      <c r="AE19" s="77"/>
      <c r="AF19" s="77"/>
      <c r="AG19" s="77"/>
      <c r="AH19" s="77"/>
      <c r="AI19" s="77"/>
      <c r="AJ19" s="77"/>
      <c r="AK19" s="77"/>
      <c r="AL19" s="77"/>
      <c r="AM19" s="77"/>
      <c r="AN19" s="77"/>
      <c r="AO19" s="77"/>
      <c r="AP19" s="77"/>
      <c r="AQ19" s="77"/>
      <c r="AR19" s="77"/>
    </row>
    <row r="20" spans="1:44" ht="14.1" hidden="1" customHeight="1" x14ac:dyDescent="0.2">
      <c r="A20" s="375"/>
      <c r="B20" s="381"/>
      <c r="C20" s="78" t="s">
        <v>1</v>
      </c>
      <c r="D20" s="79"/>
      <c r="E20" s="79"/>
      <c r="F20" s="79"/>
      <c r="G20" s="79"/>
      <c r="H20" s="79"/>
      <c r="I20" s="79"/>
      <c r="J20" s="79"/>
      <c r="K20" s="79"/>
      <c r="L20" s="79"/>
      <c r="M20" s="79"/>
      <c r="N20" s="79"/>
      <c r="O20" s="79"/>
      <c r="P20" s="79"/>
      <c r="Q20" s="79"/>
      <c r="R20" s="79"/>
      <c r="S20" s="79"/>
      <c r="T20" s="79"/>
      <c r="U20" s="79"/>
      <c r="V20" s="79"/>
      <c r="W20" s="79"/>
      <c r="X20" s="79"/>
      <c r="Y20" s="79"/>
      <c r="Z20" s="79"/>
      <c r="AA20" s="79"/>
      <c r="AB20" s="79"/>
      <c r="AC20" s="79"/>
      <c r="AD20" s="79"/>
      <c r="AE20" s="79"/>
      <c r="AF20" s="79"/>
      <c r="AG20" s="79"/>
      <c r="AH20" s="79"/>
      <c r="AI20" s="79"/>
      <c r="AJ20" s="79"/>
      <c r="AK20" s="79"/>
      <c r="AL20" s="79"/>
      <c r="AM20" s="79"/>
      <c r="AN20" s="79"/>
      <c r="AO20" s="79"/>
      <c r="AP20" s="79"/>
      <c r="AQ20" s="79"/>
      <c r="AR20" s="79"/>
    </row>
    <row r="21" spans="1:44" ht="14.1" customHeight="1" x14ac:dyDescent="0.2">
      <c r="A21" s="375"/>
      <c r="B21" s="377">
        <v>15</v>
      </c>
      <c r="C21" s="74" t="s">
        <v>20</v>
      </c>
      <c r="D21" s="75"/>
      <c r="E21" s="75"/>
      <c r="F21" s="75"/>
      <c r="G21" s="75"/>
      <c r="H21" s="75">
        <f>44-9</f>
        <v>35</v>
      </c>
      <c r="I21" s="75"/>
      <c r="J21" s="75"/>
      <c r="K21" s="75">
        <v>44</v>
      </c>
      <c r="L21" s="75">
        <v>44</v>
      </c>
      <c r="M21" s="75">
        <v>44</v>
      </c>
      <c r="N21" s="75"/>
      <c r="O21" s="75"/>
      <c r="P21" s="75"/>
      <c r="Q21" s="75"/>
      <c r="R21" s="75"/>
      <c r="S21" s="75"/>
      <c r="T21" s="75"/>
      <c r="U21" s="75"/>
      <c r="V21" s="75"/>
      <c r="W21" s="75"/>
      <c r="X21" s="75"/>
      <c r="Y21" s="75"/>
      <c r="Z21" s="75"/>
      <c r="AA21" s="75"/>
      <c r="AB21" s="75"/>
      <c r="AC21" s="75"/>
      <c r="AD21" s="75"/>
      <c r="AE21" s="75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</row>
    <row r="22" spans="1:44" ht="14.1" customHeight="1" x14ac:dyDescent="0.2">
      <c r="A22" s="375"/>
      <c r="B22" s="378"/>
      <c r="C22" s="76" t="s">
        <v>0</v>
      </c>
      <c r="D22" s="77"/>
      <c r="E22" s="77"/>
      <c r="F22" s="77"/>
      <c r="G22" s="77"/>
      <c r="H22" s="77"/>
      <c r="I22" s="77"/>
      <c r="J22" s="77"/>
      <c r="K22" s="77"/>
      <c r="L22" s="77"/>
      <c r="M22" s="77"/>
      <c r="N22" s="77"/>
      <c r="O22" s="77"/>
      <c r="P22" s="77"/>
      <c r="Q22" s="77"/>
      <c r="R22" s="77"/>
      <c r="S22" s="77"/>
      <c r="T22" s="77"/>
      <c r="U22" s="77"/>
      <c r="V22" s="77"/>
      <c r="W22" s="77"/>
      <c r="X22" s="77"/>
      <c r="Y22" s="77"/>
      <c r="Z22" s="77"/>
      <c r="AA22" s="77">
        <v>35</v>
      </c>
      <c r="AB22" s="77">
        <v>35</v>
      </c>
      <c r="AC22" s="77">
        <v>35</v>
      </c>
      <c r="AD22" s="77"/>
      <c r="AE22" s="77">
        <v>35</v>
      </c>
      <c r="AF22" s="77">
        <v>35</v>
      </c>
      <c r="AG22" s="77">
        <v>35</v>
      </c>
      <c r="AH22" s="77">
        <v>35</v>
      </c>
      <c r="AI22" s="77">
        <v>35</v>
      </c>
      <c r="AJ22" s="77">
        <v>35</v>
      </c>
      <c r="AK22" s="77">
        <v>35</v>
      </c>
      <c r="AL22" s="77">
        <v>35</v>
      </c>
      <c r="AM22" s="77">
        <v>35</v>
      </c>
      <c r="AN22" s="77">
        <v>35</v>
      </c>
      <c r="AO22" s="77">
        <v>35</v>
      </c>
      <c r="AP22" s="77">
        <v>35</v>
      </c>
      <c r="AQ22" s="77">
        <v>35</v>
      </c>
      <c r="AR22" s="77">
        <v>35</v>
      </c>
    </row>
    <row r="23" spans="1:44" ht="14.1" customHeight="1" x14ac:dyDescent="0.2">
      <c r="A23" s="375"/>
      <c r="B23" s="381"/>
      <c r="C23" s="78" t="s">
        <v>1</v>
      </c>
      <c r="D23" s="79"/>
      <c r="E23" s="79"/>
      <c r="F23" s="79"/>
      <c r="G23" s="79"/>
      <c r="H23" s="79"/>
      <c r="I23" s="79">
        <v>44</v>
      </c>
      <c r="J23" s="79"/>
      <c r="K23" s="79"/>
      <c r="L23" s="79"/>
      <c r="M23" s="79"/>
      <c r="N23" s="79"/>
      <c r="O23" s="79"/>
      <c r="P23" s="79"/>
      <c r="Q23" s="79"/>
      <c r="R23" s="79"/>
      <c r="S23" s="79"/>
      <c r="T23" s="79"/>
      <c r="U23" s="79"/>
      <c r="V23" s="79"/>
      <c r="W23" s="79"/>
      <c r="X23" s="79"/>
      <c r="Y23" s="79"/>
      <c r="Z23" s="79"/>
      <c r="AA23" s="79"/>
      <c r="AB23" s="79"/>
      <c r="AC23" s="79"/>
      <c r="AD23" s="79"/>
      <c r="AE23" s="79"/>
      <c r="AF23" s="79"/>
      <c r="AG23" s="79"/>
      <c r="AH23" s="79"/>
      <c r="AI23" s="79"/>
      <c r="AJ23" s="79"/>
      <c r="AK23" s="79"/>
      <c r="AL23" s="79"/>
      <c r="AM23" s="79"/>
      <c r="AN23" s="79"/>
      <c r="AO23" s="79"/>
      <c r="AP23" s="79"/>
      <c r="AQ23" s="79"/>
      <c r="AR23" s="79"/>
    </row>
    <row r="24" spans="1:44" ht="14.1" customHeight="1" x14ac:dyDescent="0.2">
      <c r="A24" s="375"/>
      <c r="B24" s="377">
        <v>17</v>
      </c>
      <c r="C24" s="74" t="s">
        <v>20</v>
      </c>
      <c r="D24" s="75"/>
      <c r="E24" s="75"/>
      <c r="F24" s="75"/>
      <c r="G24" s="75"/>
      <c r="H24" s="75"/>
      <c r="I24" s="75"/>
      <c r="J24" s="75"/>
      <c r="K24" s="75"/>
      <c r="L24" s="75"/>
      <c r="M24" s="75"/>
      <c r="N24" s="75"/>
      <c r="O24" s="75"/>
      <c r="P24" s="75"/>
      <c r="Q24" s="75"/>
      <c r="R24" s="75"/>
      <c r="S24" s="75"/>
      <c r="T24" s="75"/>
      <c r="U24" s="75"/>
      <c r="V24" s="75"/>
      <c r="W24" s="75"/>
      <c r="X24" s="75"/>
      <c r="Y24" s="75"/>
      <c r="Z24" s="75"/>
      <c r="AA24" s="75"/>
      <c r="AB24" s="75"/>
      <c r="AC24" s="75"/>
      <c r="AD24" s="75"/>
      <c r="AE24" s="75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</row>
    <row r="25" spans="1:44" ht="14.1" customHeight="1" x14ac:dyDescent="0.2">
      <c r="A25" s="375"/>
      <c r="B25" s="378"/>
      <c r="C25" s="76" t="s">
        <v>0</v>
      </c>
      <c r="D25" s="77"/>
      <c r="E25" s="77"/>
      <c r="F25" s="77"/>
      <c r="G25" s="77"/>
      <c r="H25" s="77"/>
      <c r="I25" s="77"/>
      <c r="J25" s="77"/>
      <c r="K25" s="77"/>
      <c r="L25" s="77"/>
      <c r="M25" s="77"/>
      <c r="N25" s="77"/>
      <c r="O25" s="77"/>
      <c r="P25" s="77"/>
      <c r="Q25" s="77"/>
      <c r="R25" s="77"/>
      <c r="S25" s="77"/>
      <c r="T25" s="77"/>
      <c r="U25" s="77"/>
      <c r="V25" s="77"/>
      <c r="W25" s="77"/>
      <c r="X25" s="77"/>
      <c r="Y25" s="77"/>
      <c r="Z25" s="77"/>
      <c r="AA25" s="77"/>
      <c r="AB25" s="77"/>
      <c r="AC25" s="77"/>
      <c r="AD25" s="77"/>
      <c r="AE25" s="77"/>
      <c r="AF25" s="77"/>
      <c r="AG25" s="77"/>
      <c r="AH25" s="77"/>
      <c r="AI25" s="77"/>
      <c r="AJ25" s="77"/>
      <c r="AK25" s="77"/>
      <c r="AL25" s="77"/>
      <c r="AM25" s="77"/>
      <c r="AN25" s="77"/>
      <c r="AO25" s="77"/>
      <c r="AP25" s="77"/>
      <c r="AQ25" s="77"/>
      <c r="AR25" s="77"/>
    </row>
    <row r="26" spans="1:44" ht="14.1" customHeight="1" x14ac:dyDescent="0.2">
      <c r="A26" s="375"/>
      <c r="B26" s="381"/>
      <c r="C26" s="78" t="s">
        <v>1</v>
      </c>
      <c r="D26" s="79"/>
      <c r="E26" s="79"/>
      <c r="F26" s="79"/>
      <c r="G26" s="79"/>
      <c r="H26" s="79">
        <v>9</v>
      </c>
      <c r="I26" s="79"/>
      <c r="J26" s="79"/>
      <c r="K26" s="79"/>
      <c r="L26" s="79"/>
      <c r="M26" s="79"/>
      <c r="N26" s="79"/>
      <c r="O26" s="79"/>
      <c r="P26" s="79"/>
      <c r="Q26" s="79"/>
      <c r="R26" s="79"/>
      <c r="S26" s="79"/>
      <c r="T26" s="79"/>
      <c r="U26" s="79"/>
      <c r="V26" s="79"/>
      <c r="W26" s="79"/>
      <c r="X26" s="79"/>
      <c r="Y26" s="79"/>
      <c r="Z26" s="79"/>
      <c r="AA26" s="79"/>
      <c r="AB26" s="79"/>
      <c r="AC26" s="79"/>
      <c r="AD26" s="79"/>
      <c r="AE26" s="79"/>
      <c r="AF26" s="79"/>
      <c r="AG26" s="79"/>
      <c r="AH26" s="79"/>
      <c r="AI26" s="79"/>
      <c r="AJ26" s="79"/>
      <c r="AK26" s="79"/>
      <c r="AL26" s="79"/>
      <c r="AM26" s="79"/>
      <c r="AN26" s="79"/>
      <c r="AO26" s="79"/>
      <c r="AP26" s="79"/>
      <c r="AQ26" s="79"/>
      <c r="AR26" s="79"/>
    </row>
    <row r="27" spans="1:44" ht="14.1" customHeight="1" x14ac:dyDescent="0.2">
      <c r="A27" s="375"/>
      <c r="B27" s="377">
        <v>20</v>
      </c>
      <c r="C27" s="74" t="s">
        <v>20</v>
      </c>
      <c r="D27" s="75"/>
      <c r="E27" s="75"/>
      <c r="F27" s="75"/>
      <c r="G27" s="75"/>
      <c r="H27" s="75"/>
      <c r="I27" s="75"/>
      <c r="J27" s="75"/>
      <c r="K27" s="75"/>
      <c r="L27" s="75"/>
      <c r="M27" s="75"/>
      <c r="N27" s="75"/>
      <c r="O27" s="75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5"/>
      <c r="AB27" s="75"/>
      <c r="AC27" s="75"/>
      <c r="AD27" s="75"/>
      <c r="AE27" s="75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</row>
    <row r="28" spans="1:44" ht="14.1" customHeight="1" x14ac:dyDescent="0.2">
      <c r="A28" s="375"/>
      <c r="B28" s="378"/>
      <c r="C28" s="76" t="s">
        <v>0</v>
      </c>
      <c r="D28" s="77"/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77"/>
      <c r="P28" s="77"/>
      <c r="Q28" s="77"/>
      <c r="R28" s="77"/>
      <c r="S28" s="77"/>
      <c r="T28" s="77"/>
      <c r="U28" s="77"/>
      <c r="V28" s="77"/>
      <c r="W28" s="77"/>
      <c r="X28" s="77"/>
      <c r="Y28" s="77"/>
      <c r="Z28" s="77"/>
      <c r="AA28" s="77"/>
      <c r="AB28" s="77"/>
      <c r="AC28" s="77"/>
      <c r="AD28" s="77"/>
      <c r="AE28" s="77"/>
      <c r="AF28" s="77"/>
      <c r="AG28" s="77"/>
      <c r="AH28" s="77"/>
      <c r="AI28" s="77"/>
      <c r="AJ28" s="77"/>
      <c r="AK28" s="77"/>
      <c r="AL28" s="77"/>
      <c r="AM28" s="77"/>
      <c r="AN28" s="77"/>
      <c r="AO28" s="77"/>
      <c r="AP28" s="77"/>
      <c r="AQ28" s="77"/>
      <c r="AR28" s="77"/>
    </row>
    <row r="29" spans="1:44" ht="14.1" customHeight="1" x14ac:dyDescent="0.2">
      <c r="A29" s="375"/>
      <c r="B29" s="381"/>
      <c r="C29" s="78" t="s">
        <v>1</v>
      </c>
      <c r="D29" s="79"/>
      <c r="E29" s="79"/>
      <c r="F29" s="79"/>
      <c r="G29" s="79"/>
      <c r="H29" s="79"/>
      <c r="I29" s="79"/>
      <c r="J29" s="79"/>
      <c r="K29" s="79"/>
      <c r="L29" s="79"/>
      <c r="M29" s="79"/>
      <c r="N29" s="79"/>
      <c r="O29" s="79"/>
      <c r="P29" s="79"/>
      <c r="Q29" s="79"/>
      <c r="R29" s="79"/>
      <c r="S29" s="79"/>
      <c r="T29" s="79"/>
      <c r="U29" s="79"/>
      <c r="V29" s="79"/>
      <c r="W29" s="79"/>
      <c r="X29" s="79"/>
      <c r="Y29" s="79"/>
      <c r="Z29" s="79"/>
      <c r="AA29" s="79"/>
      <c r="AB29" s="79"/>
      <c r="AC29" s="79"/>
      <c r="AD29" s="79"/>
      <c r="AE29" s="79"/>
      <c r="AF29" s="79"/>
      <c r="AG29" s="79"/>
      <c r="AH29" s="79"/>
      <c r="AI29" s="79"/>
      <c r="AJ29" s="79"/>
      <c r="AK29" s="79"/>
      <c r="AL29" s="79"/>
      <c r="AM29" s="79"/>
      <c r="AN29" s="79"/>
      <c r="AO29" s="79"/>
      <c r="AP29" s="79"/>
      <c r="AQ29" s="79"/>
      <c r="AR29" s="79"/>
    </row>
    <row r="30" spans="1:44" ht="14.1" customHeight="1" x14ac:dyDescent="0.2">
      <c r="A30" s="375"/>
      <c r="B30" s="61">
        <v>25</v>
      </c>
      <c r="C30" s="50">
        <f>SUM(D30:AH30)</f>
        <v>0</v>
      </c>
      <c r="D30" s="60"/>
      <c r="E30" s="60"/>
      <c r="F30" s="60"/>
      <c r="G30" s="60"/>
      <c r="H30" s="60"/>
      <c r="I30" s="60"/>
      <c r="J30" s="60"/>
      <c r="K30" s="60"/>
      <c r="L30" s="60"/>
      <c r="M30" s="60"/>
      <c r="N30" s="60"/>
      <c r="O30" s="60"/>
      <c r="P30" s="60"/>
      <c r="Q30" s="60"/>
      <c r="R30" s="60"/>
      <c r="S30" s="60"/>
      <c r="T30" s="60"/>
      <c r="U30" s="60"/>
      <c r="V30" s="60"/>
      <c r="W30" s="60"/>
      <c r="X30" s="60"/>
      <c r="Y30" s="60"/>
      <c r="Z30" s="60"/>
      <c r="AA30" s="60"/>
      <c r="AB30" s="60"/>
      <c r="AC30" s="60"/>
      <c r="AD30" s="60"/>
      <c r="AE30" s="60"/>
      <c r="AF30" s="60"/>
      <c r="AG30" s="60"/>
      <c r="AH30" s="60"/>
      <c r="AI30" s="60"/>
      <c r="AJ30" s="60"/>
      <c r="AK30" s="60"/>
      <c r="AL30" s="60"/>
      <c r="AM30" s="60"/>
      <c r="AN30" s="60"/>
      <c r="AO30" s="60"/>
      <c r="AP30" s="60"/>
      <c r="AQ30" s="60"/>
      <c r="AR30" s="60"/>
    </row>
    <row r="31" spans="1:44" ht="14.1" customHeight="1" x14ac:dyDescent="0.2">
      <c r="A31" s="376"/>
      <c r="B31" s="52">
        <v>30</v>
      </c>
      <c r="C31" s="53">
        <f>SUM(D31:AH31)</f>
        <v>0</v>
      </c>
      <c r="D31" s="58"/>
      <c r="E31" s="58"/>
      <c r="F31" s="58"/>
      <c r="G31" s="58"/>
      <c r="H31" s="58"/>
      <c r="I31" s="58"/>
      <c r="J31" s="58"/>
      <c r="K31" s="58"/>
      <c r="L31" s="58"/>
      <c r="M31" s="58"/>
      <c r="N31" s="58"/>
      <c r="O31" s="58"/>
      <c r="P31" s="58"/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  <c r="AG31" s="58"/>
      <c r="AH31" s="58"/>
      <c r="AI31" s="58"/>
      <c r="AJ31" s="58"/>
      <c r="AK31" s="58"/>
      <c r="AL31" s="58"/>
      <c r="AM31" s="58"/>
      <c r="AN31" s="58"/>
      <c r="AO31" s="58"/>
      <c r="AP31" s="58"/>
      <c r="AQ31" s="58"/>
      <c r="AR31" s="58"/>
    </row>
  </sheetData>
  <mergeCells count="8">
    <mergeCell ref="A5:A11"/>
    <mergeCell ref="A12:A31"/>
    <mergeCell ref="B12:B14"/>
    <mergeCell ref="B15:B17"/>
    <mergeCell ref="B18:B20"/>
    <mergeCell ref="B21:B23"/>
    <mergeCell ref="B24:B26"/>
    <mergeCell ref="B27:B29"/>
  </mergeCells>
  <conditionalFormatting sqref="D5:AH11">
    <cfRule type="expression" dxfId="311" priority="11">
      <formula>WEEKDAY(D$2,2)&gt;6</formula>
    </cfRule>
  </conditionalFormatting>
  <conditionalFormatting sqref="AI5:AI11">
    <cfRule type="expression" dxfId="310" priority="10">
      <formula>WEEKDAY(AI$2,2)&gt;6</formula>
    </cfRule>
  </conditionalFormatting>
  <conditionalFormatting sqref="AJ5:AJ11">
    <cfRule type="expression" dxfId="309" priority="9">
      <formula>WEEKDAY(AJ$2,2)&gt;6</formula>
    </cfRule>
  </conditionalFormatting>
  <conditionalFormatting sqref="AK5:AK11">
    <cfRule type="expression" dxfId="308" priority="8">
      <formula>WEEKDAY(AK$2,2)&gt;6</formula>
    </cfRule>
  </conditionalFormatting>
  <conditionalFormatting sqref="AL5:AL11">
    <cfRule type="expression" dxfId="307" priority="7">
      <formula>WEEKDAY(AL$2,2)&gt;6</formula>
    </cfRule>
  </conditionalFormatting>
  <conditionalFormatting sqref="AM5:AM11">
    <cfRule type="expression" dxfId="306" priority="6">
      <formula>WEEKDAY(AM$2,2)&gt;6</formula>
    </cfRule>
  </conditionalFormatting>
  <conditionalFormatting sqref="AN5:AN11">
    <cfRule type="expression" dxfId="305" priority="5">
      <formula>WEEKDAY(AN$2,2)&gt;6</formula>
    </cfRule>
  </conditionalFormatting>
  <conditionalFormatting sqref="AO5:AO11">
    <cfRule type="expression" dxfId="304" priority="4">
      <formula>WEEKDAY(AO$2,2)&gt;6</formula>
    </cfRule>
  </conditionalFormatting>
  <conditionalFormatting sqref="AP5:AP11">
    <cfRule type="expression" dxfId="303" priority="3">
      <formula>WEEKDAY(AP$2,2)&gt;6</formula>
    </cfRule>
  </conditionalFormatting>
  <conditionalFormatting sqref="AQ5:AQ11">
    <cfRule type="expression" dxfId="302" priority="2">
      <formula>WEEKDAY(AQ$2,2)&gt;6</formula>
    </cfRule>
  </conditionalFormatting>
  <conditionalFormatting sqref="AR5:AR11">
    <cfRule type="expression" dxfId="301" priority="1">
      <formula>WEEKDAY(AR$2,2)&gt;6</formula>
    </cfRule>
  </conditionalFormatting>
  <pageMargins left="0.7" right="0.7" top="0.75" bottom="0.75" header="0.3" footer="0.3"/>
  <pageSetup paperSize="9" scale="60" orientation="portrait" r:id="rId1"/>
  <colBreaks count="1" manualBreakCount="1">
    <brk id="34" max="1048575" man="1"/>
  </colBreak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rgb="FFBDFFDB"/>
  </sheetPr>
  <dimension ref="A1:BF32"/>
  <sheetViews>
    <sheetView workbookViewId="0">
      <selection activeCell="BD23" sqref="BD23"/>
    </sheetView>
  </sheetViews>
  <sheetFormatPr defaultColWidth="9.140625" defaultRowHeight="15.75" x14ac:dyDescent="0.2"/>
  <cols>
    <col min="1" max="1" width="6.85546875" style="35" customWidth="1"/>
    <col min="2" max="2" width="6.140625" style="35" customWidth="1"/>
    <col min="3" max="3" width="9" style="35" customWidth="1"/>
    <col min="4" max="51" width="7.5703125" style="35" hidden="1" customWidth="1"/>
    <col min="52" max="58" width="7.5703125" style="35" bestFit="1" customWidth="1"/>
    <col min="59" max="16384" width="9.140625" style="35"/>
  </cols>
  <sheetData>
    <row r="1" spans="1:58" ht="3.75" customHeight="1" x14ac:dyDescent="0.2"/>
    <row r="2" spans="1:58" ht="30" customHeight="1" x14ac:dyDescent="0.2">
      <c r="A2" s="55">
        <v>3</v>
      </c>
      <c r="B2" s="55">
        <v>2023</v>
      </c>
      <c r="C2" s="36" t="s">
        <v>7</v>
      </c>
      <c r="D2" s="37">
        <f>DATE(B2,A2,1)</f>
        <v>44986</v>
      </c>
      <c r="E2" s="37">
        <f>D2+1</f>
        <v>44987</v>
      </c>
      <c r="F2" s="37">
        <f t="shared" ref="F2:BF2" si="0">E2+1</f>
        <v>44988</v>
      </c>
      <c r="G2" s="37">
        <f t="shared" si="0"/>
        <v>44989</v>
      </c>
      <c r="H2" s="37">
        <f t="shared" si="0"/>
        <v>44990</v>
      </c>
      <c r="I2" s="37">
        <f t="shared" si="0"/>
        <v>44991</v>
      </c>
      <c r="J2" s="37">
        <f t="shared" si="0"/>
        <v>44992</v>
      </c>
      <c r="K2" s="37">
        <f t="shared" si="0"/>
        <v>44993</v>
      </c>
      <c r="L2" s="37">
        <f t="shared" si="0"/>
        <v>44994</v>
      </c>
      <c r="M2" s="37">
        <f t="shared" si="0"/>
        <v>44995</v>
      </c>
      <c r="N2" s="37">
        <f t="shared" si="0"/>
        <v>44996</v>
      </c>
      <c r="O2" s="37">
        <f t="shared" si="0"/>
        <v>44997</v>
      </c>
      <c r="P2" s="37">
        <f t="shared" si="0"/>
        <v>44998</v>
      </c>
      <c r="Q2" s="37">
        <f t="shared" si="0"/>
        <v>44999</v>
      </c>
      <c r="R2" s="37">
        <f t="shared" si="0"/>
        <v>45000</v>
      </c>
      <c r="S2" s="37">
        <f t="shared" si="0"/>
        <v>45001</v>
      </c>
      <c r="T2" s="37">
        <f t="shared" si="0"/>
        <v>45002</v>
      </c>
      <c r="U2" s="37">
        <f t="shared" si="0"/>
        <v>45003</v>
      </c>
      <c r="V2" s="37">
        <f t="shared" si="0"/>
        <v>45004</v>
      </c>
      <c r="W2" s="37">
        <f t="shared" si="0"/>
        <v>45005</v>
      </c>
      <c r="X2" s="37">
        <f t="shared" si="0"/>
        <v>45006</v>
      </c>
      <c r="Y2" s="37">
        <f t="shared" si="0"/>
        <v>45007</v>
      </c>
      <c r="Z2" s="37">
        <f t="shared" si="0"/>
        <v>45008</v>
      </c>
      <c r="AA2" s="37">
        <f t="shared" si="0"/>
        <v>45009</v>
      </c>
      <c r="AB2" s="37">
        <f t="shared" si="0"/>
        <v>45010</v>
      </c>
      <c r="AC2" s="37">
        <f t="shared" si="0"/>
        <v>45011</v>
      </c>
      <c r="AD2" s="37">
        <f t="shared" si="0"/>
        <v>45012</v>
      </c>
      <c r="AE2" s="37">
        <f t="shared" si="0"/>
        <v>45013</v>
      </c>
      <c r="AF2" s="37">
        <f t="shared" si="0"/>
        <v>45014</v>
      </c>
      <c r="AG2" s="37">
        <f t="shared" si="0"/>
        <v>45015</v>
      </c>
      <c r="AH2" s="37">
        <f t="shared" si="0"/>
        <v>45016</v>
      </c>
      <c r="AI2" s="37">
        <f>AH2+1</f>
        <v>45017</v>
      </c>
      <c r="AJ2" s="37">
        <f t="shared" si="0"/>
        <v>45018</v>
      </c>
      <c r="AK2" s="37">
        <f t="shared" si="0"/>
        <v>45019</v>
      </c>
      <c r="AL2" s="37">
        <f t="shared" si="0"/>
        <v>45020</v>
      </c>
      <c r="AM2" s="37">
        <f t="shared" si="0"/>
        <v>45021</v>
      </c>
      <c r="AN2" s="37">
        <f t="shared" si="0"/>
        <v>45022</v>
      </c>
      <c r="AO2" s="37">
        <f t="shared" si="0"/>
        <v>45023</v>
      </c>
      <c r="AP2" s="37">
        <f t="shared" si="0"/>
        <v>45024</v>
      </c>
      <c r="AQ2" s="37">
        <f t="shared" si="0"/>
        <v>45025</v>
      </c>
      <c r="AR2" s="37">
        <f t="shared" si="0"/>
        <v>45026</v>
      </c>
      <c r="AS2" s="37">
        <f t="shared" si="0"/>
        <v>45027</v>
      </c>
      <c r="AT2" s="37">
        <f t="shared" si="0"/>
        <v>45028</v>
      </c>
      <c r="AU2" s="37">
        <f t="shared" si="0"/>
        <v>45029</v>
      </c>
      <c r="AV2" s="37">
        <f t="shared" si="0"/>
        <v>45030</v>
      </c>
      <c r="AW2" s="37">
        <f t="shared" si="0"/>
        <v>45031</v>
      </c>
      <c r="AX2" s="37">
        <f t="shared" si="0"/>
        <v>45032</v>
      </c>
      <c r="AY2" s="37">
        <f t="shared" si="0"/>
        <v>45033</v>
      </c>
      <c r="AZ2" s="37">
        <f t="shared" si="0"/>
        <v>45034</v>
      </c>
      <c r="BA2" s="37">
        <f t="shared" si="0"/>
        <v>45035</v>
      </c>
      <c r="BB2" s="37">
        <f t="shared" si="0"/>
        <v>45036</v>
      </c>
      <c r="BC2" s="37">
        <f t="shared" si="0"/>
        <v>45037</v>
      </c>
      <c r="BD2" s="37">
        <f t="shared" si="0"/>
        <v>45038</v>
      </c>
      <c r="BE2" s="37">
        <f t="shared" si="0"/>
        <v>45039</v>
      </c>
      <c r="BF2" s="37">
        <f t="shared" si="0"/>
        <v>45040</v>
      </c>
    </row>
    <row r="3" spans="1:58" ht="24.95" customHeight="1" x14ac:dyDescent="0.2">
      <c r="A3" s="38" t="s">
        <v>15</v>
      </c>
      <c r="B3" s="39"/>
      <c r="C3" s="40"/>
      <c r="D3" s="134" t="str">
        <f>IF(WEEKDAY(D2)=1,"CN","T"&amp;WEEKDAY(D2))</f>
        <v>T4</v>
      </c>
      <c r="E3" s="134" t="str">
        <f t="shared" ref="E3:BF3" si="1">IF(WEEKDAY(E2)=1,"CN","T"&amp;WEEKDAY(E2))</f>
        <v>T5</v>
      </c>
      <c r="F3" s="134" t="str">
        <f t="shared" si="1"/>
        <v>T6</v>
      </c>
      <c r="G3" s="134" t="str">
        <f t="shared" si="1"/>
        <v>T7</v>
      </c>
      <c r="H3" s="134" t="str">
        <f t="shared" si="1"/>
        <v>CN</v>
      </c>
      <c r="I3" s="134" t="str">
        <f t="shared" si="1"/>
        <v>T2</v>
      </c>
      <c r="J3" s="134" t="str">
        <f t="shared" si="1"/>
        <v>T3</v>
      </c>
      <c r="K3" s="134" t="str">
        <f t="shared" si="1"/>
        <v>T4</v>
      </c>
      <c r="L3" s="134" t="str">
        <f t="shared" si="1"/>
        <v>T5</v>
      </c>
      <c r="M3" s="134" t="str">
        <f t="shared" si="1"/>
        <v>T6</v>
      </c>
      <c r="N3" s="134" t="str">
        <f t="shared" si="1"/>
        <v>T7</v>
      </c>
      <c r="O3" s="134" t="str">
        <f t="shared" si="1"/>
        <v>CN</v>
      </c>
      <c r="P3" s="134" t="str">
        <f t="shared" si="1"/>
        <v>T2</v>
      </c>
      <c r="Q3" s="134" t="str">
        <f t="shared" si="1"/>
        <v>T3</v>
      </c>
      <c r="R3" s="134" t="str">
        <f t="shared" si="1"/>
        <v>T4</v>
      </c>
      <c r="S3" s="134" t="str">
        <f t="shared" si="1"/>
        <v>T5</v>
      </c>
      <c r="T3" s="134" t="str">
        <f t="shared" si="1"/>
        <v>T6</v>
      </c>
      <c r="U3" s="134" t="str">
        <f t="shared" si="1"/>
        <v>T7</v>
      </c>
      <c r="V3" s="134" t="str">
        <f t="shared" si="1"/>
        <v>CN</v>
      </c>
      <c r="W3" s="134" t="str">
        <f t="shared" si="1"/>
        <v>T2</v>
      </c>
      <c r="X3" s="134" t="str">
        <f t="shared" si="1"/>
        <v>T3</v>
      </c>
      <c r="Y3" s="134" t="str">
        <f t="shared" si="1"/>
        <v>T4</v>
      </c>
      <c r="Z3" s="134" t="str">
        <f t="shared" si="1"/>
        <v>T5</v>
      </c>
      <c r="AA3" s="134" t="str">
        <f t="shared" si="1"/>
        <v>T6</v>
      </c>
      <c r="AB3" s="134" t="str">
        <f t="shared" si="1"/>
        <v>T7</v>
      </c>
      <c r="AC3" s="134" t="str">
        <f t="shared" si="1"/>
        <v>CN</v>
      </c>
      <c r="AD3" s="134" t="str">
        <f t="shared" si="1"/>
        <v>T2</v>
      </c>
      <c r="AE3" s="134" t="str">
        <f t="shared" si="1"/>
        <v>T3</v>
      </c>
      <c r="AF3" s="134" t="str">
        <f t="shared" si="1"/>
        <v>T4</v>
      </c>
      <c r="AG3" s="134" t="str">
        <f t="shared" si="1"/>
        <v>T5</v>
      </c>
      <c r="AH3" s="134" t="str">
        <f t="shared" si="1"/>
        <v>T6</v>
      </c>
      <c r="AI3" s="134" t="str">
        <f t="shared" si="1"/>
        <v>T7</v>
      </c>
      <c r="AJ3" s="134" t="str">
        <f t="shared" si="1"/>
        <v>CN</v>
      </c>
      <c r="AK3" s="134" t="str">
        <f t="shared" si="1"/>
        <v>T2</v>
      </c>
      <c r="AL3" s="134" t="str">
        <f t="shared" si="1"/>
        <v>T3</v>
      </c>
      <c r="AM3" s="134" t="str">
        <f t="shared" si="1"/>
        <v>T4</v>
      </c>
      <c r="AN3" s="134" t="str">
        <f t="shared" si="1"/>
        <v>T5</v>
      </c>
      <c r="AO3" s="134" t="str">
        <f t="shared" si="1"/>
        <v>T6</v>
      </c>
      <c r="AP3" s="134" t="str">
        <f t="shared" si="1"/>
        <v>T7</v>
      </c>
      <c r="AQ3" s="134" t="str">
        <f t="shared" si="1"/>
        <v>CN</v>
      </c>
      <c r="AR3" s="134" t="str">
        <f t="shared" si="1"/>
        <v>T2</v>
      </c>
      <c r="AS3" s="134" t="str">
        <f t="shared" si="1"/>
        <v>T3</v>
      </c>
      <c r="AT3" s="134" t="str">
        <f t="shared" si="1"/>
        <v>T4</v>
      </c>
      <c r="AU3" s="134" t="str">
        <f t="shared" si="1"/>
        <v>T5</v>
      </c>
      <c r="AV3" s="134" t="str">
        <f t="shared" si="1"/>
        <v>T6</v>
      </c>
      <c r="AW3" s="134" t="str">
        <f t="shared" si="1"/>
        <v>T7</v>
      </c>
      <c r="AX3" s="134" t="str">
        <f t="shared" si="1"/>
        <v>CN</v>
      </c>
      <c r="AY3" s="134" t="str">
        <f t="shared" si="1"/>
        <v>T2</v>
      </c>
      <c r="AZ3" s="134" t="str">
        <f t="shared" si="1"/>
        <v>T3</v>
      </c>
      <c r="BA3" s="134" t="str">
        <f t="shared" si="1"/>
        <v>T4</v>
      </c>
      <c r="BB3" s="134" t="str">
        <f t="shared" si="1"/>
        <v>T5</v>
      </c>
      <c r="BC3" s="134" t="str">
        <f t="shared" si="1"/>
        <v>T6</v>
      </c>
      <c r="BD3" s="134" t="str">
        <f t="shared" si="1"/>
        <v>T7</v>
      </c>
      <c r="BE3" s="134" t="str">
        <f t="shared" si="1"/>
        <v>CN</v>
      </c>
      <c r="BF3" s="134" t="str">
        <f t="shared" si="1"/>
        <v>T2</v>
      </c>
    </row>
    <row r="4" spans="1:58" ht="20.100000000000001" customHeight="1" x14ac:dyDescent="0.2">
      <c r="A4" s="42">
        <f>SUM(D4:AH4)</f>
        <v>2011</v>
      </c>
      <c r="B4" s="43"/>
      <c r="C4" s="44"/>
      <c r="D4" s="45">
        <f>SUBTOTAL(9,D5:D12)</f>
        <v>0</v>
      </c>
      <c r="E4" s="45">
        <f t="shared" ref="E4:N4" si="2">SUBTOTAL(9,E5:E12)</f>
        <v>0</v>
      </c>
      <c r="F4" s="45">
        <f t="shared" si="2"/>
        <v>0</v>
      </c>
      <c r="G4" s="45">
        <f t="shared" si="2"/>
        <v>0</v>
      </c>
      <c r="H4" s="45">
        <f t="shared" si="2"/>
        <v>0</v>
      </c>
      <c r="I4" s="45">
        <f t="shared" si="2"/>
        <v>0</v>
      </c>
      <c r="J4" s="45">
        <f t="shared" si="2"/>
        <v>2</v>
      </c>
      <c r="K4" s="45">
        <f t="shared" si="2"/>
        <v>44</v>
      </c>
      <c r="L4" s="45">
        <f t="shared" si="2"/>
        <v>88</v>
      </c>
      <c r="M4" s="45">
        <f t="shared" si="2"/>
        <v>88</v>
      </c>
      <c r="N4" s="45">
        <f t="shared" si="2"/>
        <v>88</v>
      </c>
      <c r="O4" s="45">
        <f>SUM(O6:O12)</f>
        <v>88</v>
      </c>
      <c r="P4" s="45">
        <f t="shared" ref="P4:BF4" si="3">SUM(P6:P12)</f>
        <v>129</v>
      </c>
      <c r="Q4" s="45">
        <f t="shared" si="3"/>
        <v>130</v>
      </c>
      <c r="R4" s="45">
        <f t="shared" si="3"/>
        <v>88</v>
      </c>
      <c r="S4" s="45">
        <f t="shared" si="3"/>
        <v>44</v>
      </c>
      <c r="T4" s="45">
        <f t="shared" si="3"/>
        <v>63</v>
      </c>
      <c r="U4" s="45">
        <f t="shared" si="3"/>
        <v>44</v>
      </c>
      <c r="V4" s="45">
        <f t="shared" si="3"/>
        <v>88</v>
      </c>
      <c r="W4" s="45">
        <f t="shared" si="3"/>
        <v>115</v>
      </c>
      <c r="X4" s="45">
        <f t="shared" si="3"/>
        <v>0</v>
      </c>
      <c r="Y4" s="45">
        <f t="shared" si="3"/>
        <v>124</v>
      </c>
      <c r="Z4" s="45">
        <f t="shared" si="3"/>
        <v>131</v>
      </c>
      <c r="AA4" s="45">
        <f t="shared" si="3"/>
        <v>66</v>
      </c>
      <c r="AB4" s="45">
        <f t="shared" si="3"/>
        <v>88</v>
      </c>
      <c r="AC4" s="45">
        <f t="shared" si="3"/>
        <v>163</v>
      </c>
      <c r="AD4" s="45">
        <f t="shared" si="3"/>
        <v>120</v>
      </c>
      <c r="AE4" s="45">
        <f t="shared" si="3"/>
        <v>44</v>
      </c>
      <c r="AF4" s="45">
        <f t="shared" si="3"/>
        <v>88</v>
      </c>
      <c r="AG4" s="45">
        <f t="shared" si="3"/>
        <v>44</v>
      </c>
      <c r="AH4" s="45">
        <f t="shared" si="3"/>
        <v>44</v>
      </c>
      <c r="AI4" s="45">
        <f t="shared" si="3"/>
        <v>44</v>
      </c>
      <c r="AJ4" s="45">
        <f t="shared" si="3"/>
        <v>0</v>
      </c>
      <c r="AK4" s="45">
        <f t="shared" si="3"/>
        <v>88</v>
      </c>
      <c r="AL4" s="45">
        <f t="shared" si="3"/>
        <v>65</v>
      </c>
      <c r="AM4" s="45">
        <f t="shared" si="3"/>
        <v>44</v>
      </c>
      <c r="AN4" s="45">
        <f t="shared" si="3"/>
        <v>44</v>
      </c>
      <c r="AO4" s="45">
        <f t="shared" si="3"/>
        <v>44</v>
      </c>
      <c r="AP4" s="45">
        <f t="shared" si="3"/>
        <v>44</v>
      </c>
      <c r="AQ4" s="45">
        <f t="shared" si="3"/>
        <v>0</v>
      </c>
      <c r="AR4" s="45">
        <f t="shared" si="3"/>
        <v>44</v>
      </c>
      <c r="AS4" s="45">
        <f t="shared" si="3"/>
        <v>44</v>
      </c>
      <c r="AT4" s="45">
        <f t="shared" si="3"/>
        <v>44</v>
      </c>
      <c r="AU4" s="45">
        <f t="shared" si="3"/>
        <v>44</v>
      </c>
      <c r="AV4" s="45">
        <f t="shared" si="3"/>
        <v>44</v>
      </c>
      <c r="AW4" s="45">
        <f t="shared" si="3"/>
        <v>0</v>
      </c>
      <c r="AX4" s="45">
        <f t="shared" si="3"/>
        <v>0</v>
      </c>
      <c r="AY4" s="45">
        <f t="shared" si="3"/>
        <v>0</v>
      </c>
      <c r="AZ4" s="45">
        <f t="shared" si="3"/>
        <v>37</v>
      </c>
      <c r="BA4" s="45">
        <f t="shared" si="3"/>
        <v>37</v>
      </c>
      <c r="BB4" s="45">
        <f t="shared" si="3"/>
        <v>37</v>
      </c>
      <c r="BC4" s="45">
        <f t="shared" si="3"/>
        <v>37</v>
      </c>
      <c r="BD4" s="45">
        <f t="shared" si="3"/>
        <v>37</v>
      </c>
      <c r="BE4" s="45">
        <f t="shared" si="3"/>
        <v>0</v>
      </c>
      <c r="BF4" s="45">
        <f t="shared" si="3"/>
        <v>0</v>
      </c>
    </row>
    <row r="5" spans="1:58" ht="20.100000000000001" hidden="1" customHeight="1" x14ac:dyDescent="0.2">
      <c r="A5" s="371" t="s">
        <v>13</v>
      </c>
      <c r="B5" s="64">
        <v>8</v>
      </c>
      <c r="C5" s="65">
        <f t="shared" ref="C5:C12" si="4">SUM(D5:AH5)</f>
        <v>0</v>
      </c>
      <c r="D5" s="66"/>
      <c r="E5" s="67"/>
      <c r="F5" s="67"/>
      <c r="G5" s="67"/>
      <c r="H5" s="67"/>
      <c r="I5" s="67"/>
      <c r="J5" s="67"/>
      <c r="K5" s="67"/>
      <c r="L5" s="67"/>
      <c r="M5" s="67"/>
      <c r="N5" s="67"/>
      <c r="O5" s="67"/>
      <c r="P5" s="67"/>
      <c r="Q5" s="67"/>
      <c r="R5" s="67"/>
      <c r="S5" s="67"/>
      <c r="T5" s="67"/>
      <c r="U5" s="67"/>
      <c r="V5" s="67"/>
      <c r="W5" s="67"/>
      <c r="X5" s="67"/>
      <c r="Y5" s="67"/>
      <c r="Z5" s="67"/>
      <c r="AA5" s="67"/>
      <c r="AB5" s="67"/>
      <c r="AC5" s="67"/>
      <c r="AD5" s="67"/>
      <c r="AE5" s="67"/>
      <c r="AF5" s="67"/>
      <c r="AG5" s="67"/>
      <c r="AH5" s="67"/>
      <c r="AI5" s="67"/>
      <c r="AJ5" s="67"/>
      <c r="AK5" s="67"/>
      <c r="AL5" s="67"/>
      <c r="AM5" s="67"/>
      <c r="AN5" s="67"/>
      <c r="AO5" s="67"/>
      <c r="AP5" s="67"/>
      <c r="AQ5" s="67"/>
      <c r="AR5" s="67"/>
      <c r="AS5" s="67"/>
      <c r="AT5" s="67"/>
      <c r="AU5" s="67"/>
      <c r="AV5" s="67"/>
      <c r="AW5" s="67"/>
      <c r="AX5" s="67"/>
      <c r="AY5" s="67"/>
      <c r="AZ5" s="67"/>
      <c r="BA5" s="67"/>
      <c r="BB5" s="67"/>
      <c r="BC5" s="67"/>
      <c r="BD5" s="67"/>
      <c r="BE5" s="67"/>
      <c r="BF5" s="67"/>
    </row>
    <row r="6" spans="1:58" ht="18" customHeight="1" x14ac:dyDescent="0.2">
      <c r="A6" s="372"/>
      <c r="B6" s="68">
        <v>10</v>
      </c>
      <c r="C6" s="69">
        <f t="shared" si="4"/>
        <v>10</v>
      </c>
      <c r="D6" s="70">
        <f>SUBTOTAL(9,D16:D18)</f>
        <v>0</v>
      </c>
      <c r="E6" s="70">
        <f t="shared" ref="E6:BF6" si="5">SUBTOTAL(9,E16:E18)</f>
        <v>0</v>
      </c>
      <c r="F6" s="70">
        <f t="shared" si="5"/>
        <v>0</v>
      </c>
      <c r="G6" s="70">
        <f t="shared" si="5"/>
        <v>0</v>
      </c>
      <c r="H6" s="70">
        <f t="shared" si="5"/>
        <v>0</v>
      </c>
      <c r="I6" s="70">
        <f t="shared" si="5"/>
        <v>0</v>
      </c>
      <c r="J6" s="70">
        <f t="shared" si="5"/>
        <v>0</v>
      </c>
      <c r="K6" s="70">
        <f t="shared" si="5"/>
        <v>0</v>
      </c>
      <c r="L6" s="70">
        <f t="shared" si="5"/>
        <v>0</v>
      </c>
      <c r="M6" s="70">
        <f t="shared" si="5"/>
        <v>0</v>
      </c>
      <c r="N6" s="70">
        <f t="shared" si="5"/>
        <v>0</v>
      </c>
      <c r="O6" s="70">
        <f t="shared" si="5"/>
        <v>0</v>
      </c>
      <c r="P6" s="70">
        <f t="shared" si="5"/>
        <v>0</v>
      </c>
      <c r="Q6" s="70">
        <f t="shared" si="5"/>
        <v>0</v>
      </c>
      <c r="R6" s="70">
        <f t="shared" si="5"/>
        <v>0</v>
      </c>
      <c r="S6" s="70">
        <f t="shared" si="5"/>
        <v>0</v>
      </c>
      <c r="T6" s="70">
        <f t="shared" si="5"/>
        <v>0</v>
      </c>
      <c r="U6" s="70">
        <f t="shared" si="5"/>
        <v>0</v>
      </c>
      <c r="V6" s="70">
        <f t="shared" si="5"/>
        <v>0</v>
      </c>
      <c r="W6" s="70">
        <f t="shared" si="5"/>
        <v>0</v>
      </c>
      <c r="X6" s="70">
        <f t="shared" si="5"/>
        <v>0</v>
      </c>
      <c r="Y6" s="70">
        <f t="shared" si="5"/>
        <v>0</v>
      </c>
      <c r="Z6" s="70">
        <f t="shared" si="5"/>
        <v>0</v>
      </c>
      <c r="AA6" s="70">
        <f t="shared" si="5"/>
        <v>0</v>
      </c>
      <c r="AB6" s="70">
        <f t="shared" si="5"/>
        <v>0</v>
      </c>
      <c r="AC6" s="70">
        <f t="shared" si="5"/>
        <v>0</v>
      </c>
      <c r="AD6" s="70">
        <f t="shared" si="5"/>
        <v>10</v>
      </c>
      <c r="AE6" s="70">
        <f t="shared" si="5"/>
        <v>0</v>
      </c>
      <c r="AF6" s="70">
        <f t="shared" si="5"/>
        <v>0</v>
      </c>
      <c r="AG6" s="70">
        <f t="shared" si="5"/>
        <v>0</v>
      </c>
      <c r="AH6" s="70">
        <f t="shared" si="5"/>
        <v>0</v>
      </c>
      <c r="AI6" s="70">
        <f t="shared" si="5"/>
        <v>0</v>
      </c>
      <c r="AJ6" s="70">
        <f t="shared" si="5"/>
        <v>0</v>
      </c>
      <c r="AK6" s="70">
        <f t="shared" si="5"/>
        <v>0</v>
      </c>
      <c r="AL6" s="70">
        <f t="shared" si="5"/>
        <v>0</v>
      </c>
      <c r="AM6" s="70">
        <f t="shared" si="5"/>
        <v>0</v>
      </c>
      <c r="AN6" s="70">
        <f t="shared" si="5"/>
        <v>0</v>
      </c>
      <c r="AO6" s="70">
        <f t="shared" si="5"/>
        <v>0</v>
      </c>
      <c r="AP6" s="70">
        <f t="shared" si="5"/>
        <v>0</v>
      </c>
      <c r="AQ6" s="70">
        <f t="shared" si="5"/>
        <v>0</v>
      </c>
      <c r="AR6" s="70">
        <f t="shared" si="5"/>
        <v>0</v>
      </c>
      <c r="AS6" s="70">
        <f t="shared" si="5"/>
        <v>0</v>
      </c>
      <c r="AT6" s="70">
        <f t="shared" si="5"/>
        <v>0</v>
      </c>
      <c r="AU6" s="70">
        <f t="shared" si="5"/>
        <v>0</v>
      </c>
      <c r="AV6" s="70">
        <f t="shared" si="5"/>
        <v>0</v>
      </c>
      <c r="AW6" s="70">
        <f t="shared" si="5"/>
        <v>0</v>
      </c>
      <c r="AX6" s="70">
        <f t="shared" si="5"/>
        <v>0</v>
      </c>
      <c r="AY6" s="70">
        <f t="shared" si="5"/>
        <v>0</v>
      </c>
      <c r="AZ6" s="70">
        <f t="shared" si="5"/>
        <v>0</v>
      </c>
      <c r="BA6" s="70">
        <f t="shared" si="5"/>
        <v>0</v>
      </c>
      <c r="BB6" s="70">
        <f t="shared" si="5"/>
        <v>0</v>
      </c>
      <c r="BC6" s="70">
        <f t="shared" si="5"/>
        <v>0</v>
      </c>
      <c r="BD6" s="70">
        <f t="shared" si="5"/>
        <v>0</v>
      </c>
      <c r="BE6" s="70">
        <f t="shared" si="5"/>
        <v>0</v>
      </c>
      <c r="BF6" s="70">
        <f t="shared" si="5"/>
        <v>0</v>
      </c>
    </row>
    <row r="7" spans="1:58" ht="18" customHeight="1" x14ac:dyDescent="0.2">
      <c r="A7" s="372"/>
      <c r="B7" s="68">
        <v>12</v>
      </c>
      <c r="C7" s="69">
        <f t="shared" si="4"/>
        <v>236</v>
      </c>
      <c r="D7" s="70">
        <f>SUBTOTAL(9,D19:D21)</f>
        <v>0</v>
      </c>
      <c r="E7" s="70">
        <f t="shared" ref="E7:BF7" si="6">SUBTOTAL(9,E19:E21)</f>
        <v>0</v>
      </c>
      <c r="F7" s="70">
        <f t="shared" si="6"/>
        <v>0</v>
      </c>
      <c r="G7" s="70">
        <f t="shared" si="6"/>
        <v>0</v>
      </c>
      <c r="H7" s="70">
        <f t="shared" si="6"/>
        <v>0</v>
      </c>
      <c r="I7" s="70">
        <f t="shared" si="6"/>
        <v>0</v>
      </c>
      <c r="J7" s="70">
        <f t="shared" si="6"/>
        <v>0</v>
      </c>
      <c r="K7" s="70">
        <f t="shared" si="6"/>
        <v>0</v>
      </c>
      <c r="L7" s="70">
        <f t="shared" si="6"/>
        <v>0</v>
      </c>
      <c r="M7" s="70">
        <f t="shared" si="6"/>
        <v>0</v>
      </c>
      <c r="N7" s="70">
        <f t="shared" si="6"/>
        <v>0</v>
      </c>
      <c r="O7" s="70">
        <f t="shared" si="6"/>
        <v>0</v>
      </c>
      <c r="P7" s="70">
        <f t="shared" si="6"/>
        <v>41</v>
      </c>
      <c r="Q7" s="70">
        <f t="shared" si="6"/>
        <v>0</v>
      </c>
      <c r="R7" s="70">
        <f t="shared" si="6"/>
        <v>0</v>
      </c>
      <c r="S7" s="70">
        <f t="shared" si="6"/>
        <v>44</v>
      </c>
      <c r="T7" s="70">
        <f t="shared" si="6"/>
        <v>19</v>
      </c>
      <c r="U7" s="70">
        <f t="shared" si="6"/>
        <v>0</v>
      </c>
      <c r="V7" s="70">
        <f t="shared" si="6"/>
        <v>0</v>
      </c>
      <c r="W7" s="70">
        <f t="shared" si="6"/>
        <v>0</v>
      </c>
      <c r="X7" s="70">
        <f t="shared" si="6"/>
        <v>0</v>
      </c>
      <c r="Y7" s="70">
        <f t="shared" si="6"/>
        <v>0</v>
      </c>
      <c r="Z7" s="70">
        <f t="shared" si="6"/>
        <v>44</v>
      </c>
      <c r="AA7" s="70">
        <f t="shared" si="6"/>
        <v>22</v>
      </c>
      <c r="AB7" s="70">
        <f t="shared" si="6"/>
        <v>0</v>
      </c>
      <c r="AC7" s="70">
        <f t="shared" si="6"/>
        <v>44</v>
      </c>
      <c r="AD7" s="70">
        <f t="shared" si="6"/>
        <v>22</v>
      </c>
      <c r="AE7" s="70">
        <f t="shared" si="6"/>
        <v>0</v>
      </c>
      <c r="AF7" s="70">
        <f t="shared" si="6"/>
        <v>0</v>
      </c>
      <c r="AG7" s="70">
        <f t="shared" si="6"/>
        <v>0</v>
      </c>
      <c r="AH7" s="70">
        <f t="shared" si="6"/>
        <v>0</v>
      </c>
      <c r="AI7" s="70">
        <f t="shared" si="6"/>
        <v>0</v>
      </c>
      <c r="AJ7" s="70">
        <f t="shared" si="6"/>
        <v>0</v>
      </c>
      <c r="AK7" s="70">
        <f t="shared" si="6"/>
        <v>44</v>
      </c>
      <c r="AL7" s="70">
        <f t="shared" si="6"/>
        <v>21</v>
      </c>
      <c r="AM7" s="70">
        <f t="shared" si="6"/>
        <v>0</v>
      </c>
      <c r="AN7" s="70">
        <f t="shared" si="6"/>
        <v>0</v>
      </c>
      <c r="AO7" s="70">
        <f t="shared" si="6"/>
        <v>0</v>
      </c>
      <c r="AP7" s="70">
        <f t="shared" si="6"/>
        <v>0</v>
      </c>
      <c r="AQ7" s="70">
        <f t="shared" si="6"/>
        <v>0</v>
      </c>
      <c r="AR7" s="70">
        <f t="shared" si="6"/>
        <v>0</v>
      </c>
      <c r="AS7" s="70">
        <f t="shared" si="6"/>
        <v>0</v>
      </c>
      <c r="AT7" s="70">
        <f t="shared" si="6"/>
        <v>0</v>
      </c>
      <c r="AU7" s="70">
        <f t="shared" si="6"/>
        <v>0</v>
      </c>
      <c r="AV7" s="70">
        <f t="shared" si="6"/>
        <v>0</v>
      </c>
      <c r="AW7" s="70">
        <f t="shared" si="6"/>
        <v>0</v>
      </c>
      <c r="AX7" s="70">
        <f t="shared" si="6"/>
        <v>0</v>
      </c>
      <c r="AY7" s="70">
        <f t="shared" si="6"/>
        <v>0</v>
      </c>
      <c r="AZ7" s="70">
        <f t="shared" si="6"/>
        <v>0</v>
      </c>
      <c r="BA7" s="70">
        <f t="shared" si="6"/>
        <v>0</v>
      </c>
      <c r="BB7" s="70">
        <f t="shared" si="6"/>
        <v>0</v>
      </c>
      <c r="BC7" s="70">
        <f t="shared" si="6"/>
        <v>0</v>
      </c>
      <c r="BD7" s="70">
        <f t="shared" si="6"/>
        <v>0</v>
      </c>
      <c r="BE7" s="70">
        <f t="shared" si="6"/>
        <v>0</v>
      </c>
      <c r="BF7" s="70">
        <f t="shared" si="6"/>
        <v>0</v>
      </c>
    </row>
    <row r="8" spans="1:58" ht="18" customHeight="1" x14ac:dyDescent="0.2">
      <c r="A8" s="372"/>
      <c r="B8" s="68">
        <v>15</v>
      </c>
      <c r="C8" s="69">
        <f t="shared" si="4"/>
        <v>1205</v>
      </c>
      <c r="D8" s="70">
        <f>SUBTOTAL(9,D22:D24)</f>
        <v>0</v>
      </c>
      <c r="E8" s="70">
        <f t="shared" ref="E8:BF8" si="7">SUBTOTAL(9,E22:E24)</f>
        <v>0</v>
      </c>
      <c r="F8" s="70">
        <f t="shared" si="7"/>
        <v>0</v>
      </c>
      <c r="G8" s="70">
        <f t="shared" si="7"/>
        <v>0</v>
      </c>
      <c r="H8" s="70">
        <f t="shared" si="7"/>
        <v>0</v>
      </c>
      <c r="I8" s="70">
        <f t="shared" si="7"/>
        <v>0</v>
      </c>
      <c r="J8" s="70">
        <f t="shared" si="7"/>
        <v>42</v>
      </c>
      <c r="K8" s="70">
        <f t="shared" si="7"/>
        <v>44</v>
      </c>
      <c r="L8" s="70">
        <f t="shared" si="7"/>
        <v>0</v>
      </c>
      <c r="M8" s="70">
        <f t="shared" si="7"/>
        <v>0</v>
      </c>
      <c r="N8" s="70">
        <f t="shared" si="7"/>
        <v>0</v>
      </c>
      <c r="O8" s="70">
        <f t="shared" si="7"/>
        <v>63</v>
      </c>
      <c r="P8" s="70">
        <f t="shared" si="7"/>
        <v>88</v>
      </c>
      <c r="Q8" s="70">
        <f t="shared" si="7"/>
        <v>88</v>
      </c>
      <c r="R8" s="70">
        <f t="shared" si="7"/>
        <v>88</v>
      </c>
      <c r="S8" s="70">
        <f t="shared" si="7"/>
        <v>0</v>
      </c>
      <c r="T8" s="70">
        <f t="shared" si="7"/>
        <v>44</v>
      </c>
      <c r="U8" s="70">
        <f t="shared" si="7"/>
        <v>44</v>
      </c>
      <c r="V8" s="70">
        <f t="shared" si="7"/>
        <v>44</v>
      </c>
      <c r="W8" s="70">
        <f t="shared" si="7"/>
        <v>88</v>
      </c>
      <c r="X8" s="70">
        <f t="shared" si="7"/>
        <v>0</v>
      </c>
      <c r="Y8" s="70">
        <f t="shared" si="7"/>
        <v>44</v>
      </c>
      <c r="Z8" s="70">
        <f t="shared" si="7"/>
        <v>44</v>
      </c>
      <c r="AA8" s="70">
        <f t="shared" si="7"/>
        <v>44</v>
      </c>
      <c r="AB8" s="70">
        <f t="shared" si="7"/>
        <v>88</v>
      </c>
      <c r="AC8" s="70">
        <f t="shared" si="7"/>
        <v>44</v>
      </c>
      <c r="AD8" s="70">
        <f t="shared" si="7"/>
        <v>88</v>
      </c>
      <c r="AE8" s="70">
        <f t="shared" si="7"/>
        <v>44</v>
      </c>
      <c r="AF8" s="70">
        <f t="shared" si="7"/>
        <v>88</v>
      </c>
      <c r="AG8" s="70">
        <f t="shared" si="7"/>
        <v>44</v>
      </c>
      <c r="AH8" s="70">
        <f t="shared" si="7"/>
        <v>44</v>
      </c>
      <c r="AI8" s="70">
        <f t="shared" si="7"/>
        <v>44</v>
      </c>
      <c r="AJ8" s="70">
        <f t="shared" si="7"/>
        <v>0</v>
      </c>
      <c r="AK8" s="70">
        <f t="shared" si="7"/>
        <v>44</v>
      </c>
      <c r="AL8" s="70">
        <f t="shared" si="7"/>
        <v>44</v>
      </c>
      <c r="AM8" s="70">
        <f t="shared" si="7"/>
        <v>44</v>
      </c>
      <c r="AN8" s="70">
        <f t="shared" si="7"/>
        <v>44</v>
      </c>
      <c r="AO8" s="70">
        <f t="shared" si="7"/>
        <v>44</v>
      </c>
      <c r="AP8" s="70">
        <f t="shared" si="7"/>
        <v>44</v>
      </c>
      <c r="AQ8" s="70">
        <f t="shared" si="7"/>
        <v>0</v>
      </c>
      <c r="AR8" s="70">
        <f t="shared" si="7"/>
        <v>44</v>
      </c>
      <c r="AS8" s="70">
        <f t="shared" si="7"/>
        <v>44</v>
      </c>
      <c r="AT8" s="70">
        <f t="shared" si="7"/>
        <v>44</v>
      </c>
      <c r="AU8" s="70">
        <f t="shared" si="7"/>
        <v>44</v>
      </c>
      <c r="AV8" s="70">
        <f t="shared" si="7"/>
        <v>44</v>
      </c>
      <c r="AW8" s="70">
        <f t="shared" si="7"/>
        <v>0</v>
      </c>
      <c r="AX8" s="70">
        <f t="shared" si="7"/>
        <v>0</v>
      </c>
      <c r="AY8" s="70">
        <f t="shared" si="7"/>
        <v>0</v>
      </c>
      <c r="AZ8" s="70">
        <f t="shared" si="7"/>
        <v>37</v>
      </c>
      <c r="BA8" s="70">
        <f t="shared" si="7"/>
        <v>37</v>
      </c>
      <c r="BB8" s="70">
        <f t="shared" si="7"/>
        <v>37</v>
      </c>
      <c r="BC8" s="70">
        <f t="shared" si="7"/>
        <v>37</v>
      </c>
      <c r="BD8" s="70">
        <f t="shared" si="7"/>
        <v>37</v>
      </c>
      <c r="BE8" s="70">
        <f t="shared" si="7"/>
        <v>0</v>
      </c>
      <c r="BF8" s="70">
        <f t="shared" si="7"/>
        <v>0</v>
      </c>
    </row>
    <row r="9" spans="1:58" ht="18" customHeight="1" x14ac:dyDescent="0.2">
      <c r="A9" s="372"/>
      <c r="B9" s="68">
        <v>17</v>
      </c>
      <c r="C9" s="69">
        <f t="shared" si="4"/>
        <v>107</v>
      </c>
      <c r="D9" s="70">
        <f>SUBTOTAL(9,D25:D27)</f>
        <v>0</v>
      </c>
      <c r="E9" s="70">
        <f t="shared" ref="E9:BF9" si="8">SUBTOTAL(9,E25:E27)</f>
        <v>0</v>
      </c>
      <c r="F9" s="70">
        <f t="shared" si="8"/>
        <v>0</v>
      </c>
      <c r="G9" s="70">
        <f t="shared" si="8"/>
        <v>0</v>
      </c>
      <c r="H9" s="70">
        <f t="shared" si="8"/>
        <v>0</v>
      </c>
      <c r="I9" s="70">
        <f t="shared" si="8"/>
        <v>0</v>
      </c>
      <c r="J9" s="70">
        <f t="shared" si="8"/>
        <v>0</v>
      </c>
      <c r="K9" s="70">
        <f t="shared" si="8"/>
        <v>0</v>
      </c>
      <c r="L9" s="70">
        <f t="shared" si="8"/>
        <v>0</v>
      </c>
      <c r="M9" s="70">
        <f t="shared" si="8"/>
        <v>0</v>
      </c>
      <c r="N9" s="70">
        <f t="shared" si="8"/>
        <v>0</v>
      </c>
      <c r="O9" s="70">
        <f t="shared" si="8"/>
        <v>0</v>
      </c>
      <c r="P9" s="70">
        <f t="shared" si="8"/>
        <v>0</v>
      </c>
      <c r="Q9" s="70">
        <f t="shared" si="8"/>
        <v>0</v>
      </c>
      <c r="R9" s="70">
        <f t="shared" si="8"/>
        <v>0</v>
      </c>
      <c r="S9" s="70">
        <f t="shared" si="8"/>
        <v>0</v>
      </c>
      <c r="T9" s="70">
        <f t="shared" si="8"/>
        <v>0</v>
      </c>
      <c r="U9" s="70">
        <f>SUBTOTAL(9,U25:U27)</f>
        <v>0</v>
      </c>
      <c r="V9" s="70">
        <f>SUBTOTAL(9,V25:V27)</f>
        <v>44</v>
      </c>
      <c r="W9" s="70">
        <f>SUBTOTAL(9,W25:W27)</f>
        <v>27</v>
      </c>
      <c r="X9" s="70">
        <f t="shared" si="8"/>
        <v>0</v>
      </c>
      <c r="Y9" s="70">
        <f t="shared" si="8"/>
        <v>36</v>
      </c>
      <c r="Z9" s="70">
        <f t="shared" si="8"/>
        <v>0</v>
      </c>
      <c r="AA9" s="70">
        <f t="shared" si="8"/>
        <v>0</v>
      </c>
      <c r="AB9" s="70">
        <f t="shared" si="8"/>
        <v>0</v>
      </c>
      <c r="AC9" s="70">
        <f t="shared" si="8"/>
        <v>0</v>
      </c>
      <c r="AD9" s="70">
        <f t="shared" si="8"/>
        <v>0</v>
      </c>
      <c r="AE9" s="70">
        <f t="shared" si="8"/>
        <v>0</v>
      </c>
      <c r="AF9" s="70">
        <f t="shared" si="8"/>
        <v>0</v>
      </c>
      <c r="AG9" s="70">
        <f t="shared" si="8"/>
        <v>0</v>
      </c>
      <c r="AH9" s="70">
        <f t="shared" si="8"/>
        <v>0</v>
      </c>
      <c r="AI9" s="70">
        <f t="shared" si="8"/>
        <v>0</v>
      </c>
      <c r="AJ9" s="70">
        <f t="shared" si="8"/>
        <v>0</v>
      </c>
      <c r="AK9" s="70">
        <f t="shared" si="8"/>
        <v>0</v>
      </c>
      <c r="AL9" s="70">
        <f t="shared" si="8"/>
        <v>0</v>
      </c>
      <c r="AM9" s="70">
        <f t="shared" si="8"/>
        <v>0</v>
      </c>
      <c r="AN9" s="70">
        <f t="shared" si="8"/>
        <v>0</v>
      </c>
      <c r="AO9" s="70">
        <f t="shared" si="8"/>
        <v>0</v>
      </c>
      <c r="AP9" s="70">
        <f t="shared" si="8"/>
        <v>0</v>
      </c>
      <c r="AQ9" s="70">
        <f t="shared" si="8"/>
        <v>0</v>
      </c>
      <c r="AR9" s="70">
        <f t="shared" si="8"/>
        <v>0</v>
      </c>
      <c r="AS9" s="70">
        <f t="shared" si="8"/>
        <v>0</v>
      </c>
      <c r="AT9" s="70">
        <f t="shared" si="8"/>
        <v>0</v>
      </c>
      <c r="AU9" s="70">
        <f t="shared" si="8"/>
        <v>0</v>
      </c>
      <c r="AV9" s="70">
        <f t="shared" si="8"/>
        <v>0</v>
      </c>
      <c r="AW9" s="70">
        <f t="shared" si="8"/>
        <v>0</v>
      </c>
      <c r="AX9" s="70">
        <f t="shared" si="8"/>
        <v>0</v>
      </c>
      <c r="AY9" s="70">
        <f t="shared" si="8"/>
        <v>0</v>
      </c>
      <c r="AZ9" s="70">
        <f t="shared" si="8"/>
        <v>0</v>
      </c>
      <c r="BA9" s="70">
        <f t="shared" si="8"/>
        <v>0</v>
      </c>
      <c r="BB9" s="70">
        <f t="shared" si="8"/>
        <v>0</v>
      </c>
      <c r="BC9" s="70">
        <f t="shared" si="8"/>
        <v>0</v>
      </c>
      <c r="BD9" s="70">
        <f t="shared" si="8"/>
        <v>0</v>
      </c>
      <c r="BE9" s="70">
        <f t="shared" si="8"/>
        <v>0</v>
      </c>
      <c r="BF9" s="70">
        <f t="shared" si="8"/>
        <v>0</v>
      </c>
    </row>
    <row r="10" spans="1:58" ht="18" customHeight="1" x14ac:dyDescent="0.2">
      <c r="A10" s="372"/>
      <c r="B10" s="68">
        <v>20</v>
      </c>
      <c r="C10" s="69">
        <f t="shared" si="4"/>
        <v>164</v>
      </c>
      <c r="D10" s="70">
        <f>SUBTOTAL(9,D28:D30)</f>
        <v>0</v>
      </c>
      <c r="E10" s="70">
        <f t="shared" ref="E10:BF10" si="9">SUBTOTAL(9,E28:E30)</f>
        <v>0</v>
      </c>
      <c r="F10" s="70">
        <f t="shared" si="9"/>
        <v>0</v>
      </c>
      <c r="G10" s="70">
        <f t="shared" si="9"/>
        <v>0</v>
      </c>
      <c r="H10" s="70">
        <f t="shared" si="9"/>
        <v>0</v>
      </c>
      <c r="I10" s="70">
        <f t="shared" si="9"/>
        <v>0</v>
      </c>
      <c r="J10" s="70">
        <f t="shared" si="9"/>
        <v>0</v>
      </c>
      <c r="K10" s="70">
        <f t="shared" si="9"/>
        <v>0</v>
      </c>
      <c r="L10" s="70">
        <f t="shared" si="9"/>
        <v>0</v>
      </c>
      <c r="M10" s="70">
        <f t="shared" si="9"/>
        <v>0</v>
      </c>
      <c r="N10" s="70">
        <f t="shared" si="9"/>
        <v>0</v>
      </c>
      <c r="O10" s="70">
        <f t="shared" si="9"/>
        <v>0</v>
      </c>
      <c r="P10" s="70">
        <f t="shared" si="9"/>
        <v>0</v>
      </c>
      <c r="Q10" s="70">
        <f t="shared" si="9"/>
        <v>42</v>
      </c>
      <c r="R10" s="70">
        <f t="shared" si="9"/>
        <v>0</v>
      </c>
      <c r="S10" s="70">
        <f t="shared" si="9"/>
        <v>0</v>
      </c>
      <c r="T10" s="70">
        <f t="shared" si="9"/>
        <v>0</v>
      </c>
      <c r="U10" s="70">
        <f t="shared" si="9"/>
        <v>0</v>
      </c>
      <c r="V10" s="70">
        <f t="shared" si="9"/>
        <v>0</v>
      </c>
      <c r="W10" s="70">
        <f t="shared" si="9"/>
        <v>0</v>
      </c>
      <c r="X10" s="70">
        <f t="shared" si="9"/>
        <v>0</v>
      </c>
      <c r="Y10" s="70">
        <f t="shared" si="9"/>
        <v>44</v>
      </c>
      <c r="Z10" s="70">
        <f t="shared" si="9"/>
        <v>23</v>
      </c>
      <c r="AA10" s="70">
        <f t="shared" si="9"/>
        <v>0</v>
      </c>
      <c r="AB10" s="70">
        <f t="shared" si="9"/>
        <v>0</v>
      </c>
      <c r="AC10" s="70">
        <f t="shared" si="9"/>
        <v>55</v>
      </c>
      <c r="AD10" s="70">
        <f t="shared" si="9"/>
        <v>0</v>
      </c>
      <c r="AE10" s="70">
        <f t="shared" si="9"/>
        <v>0</v>
      </c>
      <c r="AF10" s="70">
        <f t="shared" si="9"/>
        <v>0</v>
      </c>
      <c r="AG10" s="70">
        <f t="shared" si="9"/>
        <v>0</v>
      </c>
      <c r="AH10" s="70">
        <f t="shared" si="9"/>
        <v>0</v>
      </c>
      <c r="AI10" s="70">
        <f t="shared" si="9"/>
        <v>0</v>
      </c>
      <c r="AJ10" s="70">
        <f t="shared" si="9"/>
        <v>0</v>
      </c>
      <c r="AK10" s="70">
        <f t="shared" si="9"/>
        <v>0</v>
      </c>
      <c r="AL10" s="70">
        <f t="shared" si="9"/>
        <v>0</v>
      </c>
      <c r="AM10" s="70">
        <f t="shared" si="9"/>
        <v>0</v>
      </c>
      <c r="AN10" s="70">
        <f t="shared" si="9"/>
        <v>0</v>
      </c>
      <c r="AO10" s="70">
        <f t="shared" si="9"/>
        <v>0</v>
      </c>
      <c r="AP10" s="70">
        <f t="shared" si="9"/>
        <v>0</v>
      </c>
      <c r="AQ10" s="70">
        <f t="shared" si="9"/>
        <v>0</v>
      </c>
      <c r="AR10" s="70">
        <f t="shared" si="9"/>
        <v>0</v>
      </c>
      <c r="AS10" s="70">
        <f t="shared" si="9"/>
        <v>0</v>
      </c>
      <c r="AT10" s="70">
        <f t="shared" si="9"/>
        <v>0</v>
      </c>
      <c r="AU10" s="70">
        <f t="shared" si="9"/>
        <v>0</v>
      </c>
      <c r="AV10" s="70">
        <f t="shared" si="9"/>
        <v>0</v>
      </c>
      <c r="AW10" s="70">
        <f t="shared" si="9"/>
        <v>0</v>
      </c>
      <c r="AX10" s="70">
        <f t="shared" si="9"/>
        <v>0</v>
      </c>
      <c r="AY10" s="70">
        <f t="shared" si="9"/>
        <v>0</v>
      </c>
      <c r="AZ10" s="70">
        <f t="shared" si="9"/>
        <v>0</v>
      </c>
      <c r="BA10" s="70">
        <f t="shared" si="9"/>
        <v>0</v>
      </c>
      <c r="BB10" s="70">
        <f t="shared" si="9"/>
        <v>0</v>
      </c>
      <c r="BC10" s="70">
        <f t="shared" si="9"/>
        <v>0</v>
      </c>
      <c r="BD10" s="70">
        <f t="shared" si="9"/>
        <v>0</v>
      </c>
      <c r="BE10" s="70">
        <f t="shared" si="9"/>
        <v>0</v>
      </c>
      <c r="BF10" s="70">
        <f t="shared" si="9"/>
        <v>0</v>
      </c>
    </row>
    <row r="11" spans="1:58" ht="18" customHeight="1" x14ac:dyDescent="0.2">
      <c r="A11" s="372"/>
      <c r="B11" s="68">
        <v>25</v>
      </c>
      <c r="C11" s="69">
        <f t="shared" si="4"/>
        <v>335</v>
      </c>
      <c r="D11" s="70">
        <f>D31</f>
        <v>0</v>
      </c>
      <c r="E11" s="70">
        <f t="shared" ref="E11:BF12" si="10">E31</f>
        <v>0</v>
      </c>
      <c r="F11" s="70">
        <f t="shared" si="10"/>
        <v>0</v>
      </c>
      <c r="G11" s="70">
        <f t="shared" si="10"/>
        <v>0</v>
      </c>
      <c r="H11" s="70">
        <f t="shared" si="10"/>
        <v>0</v>
      </c>
      <c r="I11" s="70">
        <f t="shared" si="10"/>
        <v>0</v>
      </c>
      <c r="J11" s="70">
        <f t="shared" si="10"/>
        <v>2</v>
      </c>
      <c r="K11" s="70">
        <f t="shared" si="10"/>
        <v>44</v>
      </c>
      <c r="L11" s="70">
        <f t="shared" si="10"/>
        <v>88</v>
      </c>
      <c r="M11" s="70">
        <f t="shared" si="10"/>
        <v>88</v>
      </c>
      <c r="N11" s="70">
        <f t="shared" si="10"/>
        <v>88</v>
      </c>
      <c r="O11" s="70">
        <f t="shared" si="10"/>
        <v>25</v>
      </c>
      <c r="P11" s="70">
        <f t="shared" si="10"/>
        <v>0</v>
      </c>
      <c r="Q11" s="70">
        <f t="shared" si="10"/>
        <v>0</v>
      </c>
      <c r="R11" s="70">
        <f t="shared" si="10"/>
        <v>0</v>
      </c>
      <c r="S11" s="70">
        <f t="shared" si="10"/>
        <v>0</v>
      </c>
      <c r="T11" s="70">
        <f t="shared" si="10"/>
        <v>0</v>
      </c>
      <c r="U11" s="70">
        <f t="shared" si="10"/>
        <v>0</v>
      </c>
      <c r="V11" s="70">
        <f t="shared" si="10"/>
        <v>0</v>
      </c>
      <c r="W11" s="70">
        <f t="shared" si="10"/>
        <v>0</v>
      </c>
      <c r="X11" s="70">
        <f t="shared" si="10"/>
        <v>0</v>
      </c>
      <c r="Y11" s="70">
        <f t="shared" si="10"/>
        <v>0</v>
      </c>
      <c r="Z11" s="70">
        <f t="shared" si="10"/>
        <v>0</v>
      </c>
      <c r="AA11" s="70">
        <f t="shared" si="10"/>
        <v>0</v>
      </c>
      <c r="AB11" s="70">
        <f t="shared" si="10"/>
        <v>0</v>
      </c>
      <c r="AC11" s="70">
        <f t="shared" si="10"/>
        <v>0</v>
      </c>
      <c r="AD11" s="70">
        <f t="shared" si="10"/>
        <v>0</v>
      </c>
      <c r="AE11" s="70">
        <f t="shared" si="10"/>
        <v>0</v>
      </c>
      <c r="AF11" s="70">
        <f t="shared" si="10"/>
        <v>0</v>
      </c>
      <c r="AG11" s="70">
        <f t="shared" si="10"/>
        <v>0</v>
      </c>
      <c r="AH11" s="70">
        <f t="shared" si="10"/>
        <v>0</v>
      </c>
      <c r="AI11" s="70">
        <f t="shared" si="10"/>
        <v>0</v>
      </c>
      <c r="AJ11" s="70">
        <f t="shared" si="10"/>
        <v>0</v>
      </c>
      <c r="AK11" s="70">
        <f t="shared" si="10"/>
        <v>0</v>
      </c>
      <c r="AL11" s="70">
        <f t="shared" si="10"/>
        <v>0</v>
      </c>
      <c r="AM11" s="70">
        <f t="shared" si="10"/>
        <v>0</v>
      </c>
      <c r="AN11" s="70">
        <f t="shared" si="10"/>
        <v>0</v>
      </c>
      <c r="AO11" s="70">
        <f t="shared" si="10"/>
        <v>0</v>
      </c>
      <c r="AP11" s="70">
        <f t="shared" si="10"/>
        <v>0</v>
      </c>
      <c r="AQ11" s="70">
        <f t="shared" si="10"/>
        <v>0</v>
      </c>
      <c r="AR11" s="70">
        <f t="shared" si="10"/>
        <v>0</v>
      </c>
      <c r="AS11" s="70">
        <f t="shared" si="10"/>
        <v>0</v>
      </c>
      <c r="AT11" s="70">
        <f t="shared" si="10"/>
        <v>0</v>
      </c>
      <c r="AU11" s="70">
        <f t="shared" si="10"/>
        <v>0</v>
      </c>
      <c r="AV11" s="70">
        <f t="shared" si="10"/>
        <v>0</v>
      </c>
      <c r="AW11" s="70">
        <f t="shared" si="10"/>
        <v>0</v>
      </c>
      <c r="AX11" s="70">
        <f t="shared" si="10"/>
        <v>0</v>
      </c>
      <c r="AY11" s="70">
        <f t="shared" si="10"/>
        <v>0</v>
      </c>
      <c r="AZ11" s="70">
        <f t="shared" si="10"/>
        <v>0</v>
      </c>
      <c r="BA11" s="70">
        <f t="shared" si="10"/>
        <v>0</v>
      </c>
      <c r="BB11" s="70">
        <f t="shared" si="10"/>
        <v>0</v>
      </c>
      <c r="BC11" s="70">
        <f t="shared" si="10"/>
        <v>0</v>
      </c>
      <c r="BD11" s="70">
        <f t="shared" si="10"/>
        <v>0</v>
      </c>
      <c r="BE11" s="70">
        <f t="shared" si="10"/>
        <v>0</v>
      </c>
      <c r="BF11" s="70">
        <f t="shared" si="10"/>
        <v>0</v>
      </c>
    </row>
    <row r="12" spans="1:58" ht="18" customHeight="1" x14ac:dyDescent="0.2">
      <c r="A12" s="373"/>
      <c r="B12" s="71">
        <v>8</v>
      </c>
      <c r="C12" s="72">
        <f t="shared" si="4"/>
        <v>40</v>
      </c>
      <c r="D12" s="73">
        <f>D32</f>
        <v>0</v>
      </c>
      <c r="E12" s="73">
        <f t="shared" si="10"/>
        <v>0</v>
      </c>
      <c r="F12" s="73">
        <f t="shared" si="10"/>
        <v>0</v>
      </c>
      <c r="G12" s="73">
        <f t="shared" si="10"/>
        <v>0</v>
      </c>
      <c r="H12" s="73">
        <f t="shared" si="10"/>
        <v>0</v>
      </c>
      <c r="I12" s="73">
        <f t="shared" si="10"/>
        <v>0</v>
      </c>
      <c r="J12" s="73">
        <f t="shared" si="10"/>
        <v>0</v>
      </c>
      <c r="K12" s="73">
        <f t="shared" si="10"/>
        <v>0</v>
      </c>
      <c r="L12" s="73">
        <f t="shared" si="10"/>
        <v>0</v>
      </c>
      <c r="M12" s="73">
        <f t="shared" si="10"/>
        <v>0</v>
      </c>
      <c r="N12" s="73">
        <f t="shared" si="10"/>
        <v>0</v>
      </c>
      <c r="O12" s="73">
        <f t="shared" si="10"/>
        <v>0</v>
      </c>
      <c r="P12" s="73">
        <f t="shared" si="10"/>
        <v>0</v>
      </c>
      <c r="Q12" s="73">
        <f t="shared" si="10"/>
        <v>0</v>
      </c>
      <c r="R12" s="73">
        <f t="shared" si="10"/>
        <v>0</v>
      </c>
      <c r="S12" s="73">
        <f t="shared" si="10"/>
        <v>0</v>
      </c>
      <c r="T12" s="73">
        <f t="shared" si="10"/>
        <v>0</v>
      </c>
      <c r="U12" s="73">
        <f t="shared" si="10"/>
        <v>0</v>
      </c>
      <c r="V12" s="73">
        <f t="shared" si="10"/>
        <v>0</v>
      </c>
      <c r="W12" s="73">
        <f t="shared" si="10"/>
        <v>0</v>
      </c>
      <c r="X12" s="73">
        <f t="shared" si="10"/>
        <v>0</v>
      </c>
      <c r="Y12" s="73">
        <f t="shared" si="10"/>
        <v>0</v>
      </c>
      <c r="Z12" s="73">
        <f t="shared" si="10"/>
        <v>20</v>
      </c>
      <c r="AA12" s="73">
        <f t="shared" si="10"/>
        <v>0</v>
      </c>
      <c r="AB12" s="73">
        <f t="shared" si="10"/>
        <v>0</v>
      </c>
      <c r="AC12" s="73">
        <f t="shared" si="10"/>
        <v>20</v>
      </c>
      <c r="AD12" s="73">
        <f t="shared" si="10"/>
        <v>0</v>
      </c>
      <c r="AE12" s="73">
        <f t="shared" si="10"/>
        <v>0</v>
      </c>
      <c r="AF12" s="73">
        <f t="shared" si="10"/>
        <v>0</v>
      </c>
      <c r="AG12" s="73">
        <f t="shared" si="10"/>
        <v>0</v>
      </c>
      <c r="AH12" s="73">
        <f t="shared" si="10"/>
        <v>0</v>
      </c>
      <c r="AI12" s="73">
        <f t="shared" si="10"/>
        <v>0</v>
      </c>
      <c r="AJ12" s="73">
        <f t="shared" si="10"/>
        <v>0</v>
      </c>
      <c r="AK12" s="73">
        <f t="shared" si="10"/>
        <v>0</v>
      </c>
      <c r="AL12" s="73">
        <f t="shared" si="10"/>
        <v>0</v>
      </c>
      <c r="AM12" s="73">
        <f t="shared" si="10"/>
        <v>0</v>
      </c>
      <c r="AN12" s="73">
        <f t="shared" si="10"/>
        <v>0</v>
      </c>
      <c r="AO12" s="73">
        <f t="shared" si="10"/>
        <v>0</v>
      </c>
      <c r="AP12" s="73">
        <f t="shared" si="10"/>
        <v>0</v>
      </c>
      <c r="AQ12" s="73">
        <f t="shared" si="10"/>
        <v>0</v>
      </c>
      <c r="AR12" s="73">
        <f t="shared" si="10"/>
        <v>0</v>
      </c>
      <c r="AS12" s="73">
        <f t="shared" si="10"/>
        <v>0</v>
      </c>
      <c r="AT12" s="73">
        <f t="shared" si="10"/>
        <v>0</v>
      </c>
      <c r="AU12" s="73">
        <f t="shared" si="10"/>
        <v>0</v>
      </c>
      <c r="AV12" s="73">
        <f t="shared" si="10"/>
        <v>0</v>
      </c>
      <c r="AW12" s="73">
        <f t="shared" si="10"/>
        <v>0</v>
      </c>
      <c r="AX12" s="73">
        <f t="shared" si="10"/>
        <v>0</v>
      </c>
      <c r="AY12" s="73">
        <f t="shared" si="10"/>
        <v>0</v>
      </c>
      <c r="AZ12" s="73">
        <f t="shared" si="10"/>
        <v>0</v>
      </c>
      <c r="BA12" s="73">
        <f t="shared" si="10"/>
        <v>0</v>
      </c>
      <c r="BB12" s="73">
        <f t="shared" si="10"/>
        <v>0</v>
      </c>
      <c r="BC12" s="73">
        <f t="shared" si="10"/>
        <v>0</v>
      </c>
      <c r="BD12" s="73">
        <f t="shared" si="10"/>
        <v>0</v>
      </c>
      <c r="BE12" s="73">
        <f t="shared" si="10"/>
        <v>0</v>
      </c>
      <c r="BF12" s="73">
        <f t="shared" si="10"/>
        <v>0</v>
      </c>
    </row>
    <row r="13" spans="1:58" ht="15" hidden="1" customHeight="1" x14ac:dyDescent="0.2">
      <c r="A13" s="374" t="s">
        <v>13</v>
      </c>
      <c r="B13" s="377">
        <v>8</v>
      </c>
      <c r="C13" s="74" t="s">
        <v>20</v>
      </c>
      <c r="D13" s="75"/>
      <c r="E13" s="75"/>
      <c r="F13" s="75"/>
      <c r="G13" s="75"/>
      <c r="H13" s="75"/>
      <c r="I13" s="75"/>
      <c r="J13" s="75"/>
      <c r="K13" s="75"/>
      <c r="L13" s="75"/>
      <c r="M13" s="75"/>
      <c r="N13" s="75"/>
      <c r="O13" s="75"/>
      <c r="P13" s="75"/>
      <c r="Q13" s="75"/>
      <c r="R13" s="75"/>
      <c r="S13" s="75"/>
      <c r="T13" s="75"/>
      <c r="U13" s="75"/>
      <c r="V13" s="75"/>
      <c r="W13" s="75"/>
      <c r="X13" s="75"/>
      <c r="Y13" s="75"/>
      <c r="Z13" s="75"/>
      <c r="AA13" s="75"/>
      <c r="AB13" s="75"/>
      <c r="AC13" s="75"/>
      <c r="AD13" s="75"/>
      <c r="AE13" s="75"/>
      <c r="AF13" s="75"/>
      <c r="AG13" s="75"/>
      <c r="AH13" s="75"/>
      <c r="AI13" s="75"/>
      <c r="AJ13" s="75"/>
      <c r="AK13" s="75"/>
      <c r="AL13" s="75"/>
      <c r="AM13" s="75"/>
      <c r="AN13" s="75"/>
      <c r="AO13" s="75"/>
      <c r="AP13" s="75"/>
      <c r="AQ13" s="75"/>
      <c r="AR13" s="75"/>
      <c r="AS13" s="75"/>
      <c r="AT13" s="75"/>
      <c r="AU13" s="75"/>
      <c r="AV13" s="75"/>
      <c r="AW13" s="75"/>
      <c r="AX13" s="75"/>
      <c r="AY13" s="75"/>
      <c r="AZ13" s="75"/>
      <c r="BA13" s="75"/>
      <c r="BB13" s="75"/>
      <c r="BC13" s="75"/>
      <c r="BD13" s="75"/>
      <c r="BE13" s="75"/>
      <c r="BF13" s="75"/>
    </row>
    <row r="14" spans="1:58" ht="15" hidden="1" customHeight="1" x14ac:dyDescent="0.2">
      <c r="A14" s="375"/>
      <c r="B14" s="378"/>
      <c r="C14" s="76" t="s">
        <v>0</v>
      </c>
      <c r="D14" s="77"/>
      <c r="E14" s="77"/>
      <c r="F14" s="77"/>
      <c r="G14" s="77"/>
      <c r="H14" s="77"/>
      <c r="I14" s="77"/>
      <c r="J14" s="77"/>
      <c r="K14" s="77"/>
      <c r="L14" s="77"/>
      <c r="M14" s="77"/>
      <c r="N14" s="77"/>
      <c r="O14" s="77"/>
      <c r="P14" s="77"/>
      <c r="Q14" s="77"/>
      <c r="R14" s="77"/>
      <c r="S14" s="77"/>
      <c r="T14" s="77"/>
      <c r="U14" s="77"/>
      <c r="V14" s="77"/>
      <c r="W14" s="77"/>
      <c r="X14" s="77"/>
      <c r="Y14" s="77"/>
      <c r="Z14" s="77"/>
      <c r="AA14" s="77"/>
      <c r="AB14" s="77"/>
      <c r="AC14" s="77"/>
      <c r="AD14" s="77"/>
      <c r="AE14" s="77"/>
      <c r="AF14" s="77"/>
      <c r="AG14" s="77"/>
      <c r="AH14" s="77"/>
      <c r="AI14" s="77"/>
      <c r="AJ14" s="77"/>
      <c r="AK14" s="77"/>
      <c r="AL14" s="77"/>
      <c r="AM14" s="77"/>
      <c r="AN14" s="77"/>
      <c r="AO14" s="77"/>
      <c r="AP14" s="77"/>
      <c r="AQ14" s="77"/>
      <c r="AR14" s="77"/>
      <c r="AS14" s="77"/>
      <c r="AT14" s="77"/>
      <c r="AU14" s="77"/>
      <c r="AV14" s="77"/>
      <c r="AW14" s="77"/>
      <c r="AX14" s="77"/>
      <c r="AY14" s="77"/>
      <c r="AZ14" s="77"/>
      <c r="BA14" s="77"/>
      <c r="BB14" s="77"/>
      <c r="BC14" s="77"/>
      <c r="BD14" s="77"/>
      <c r="BE14" s="77"/>
      <c r="BF14" s="77"/>
    </row>
    <row r="15" spans="1:58" ht="15" hidden="1" customHeight="1" x14ac:dyDescent="0.2">
      <c r="A15" s="375"/>
      <c r="B15" s="379"/>
      <c r="C15" s="78" t="s">
        <v>1</v>
      </c>
      <c r="D15" s="79"/>
      <c r="E15" s="79"/>
      <c r="F15" s="79"/>
      <c r="G15" s="79"/>
      <c r="H15" s="79"/>
      <c r="I15" s="79"/>
      <c r="J15" s="79"/>
      <c r="K15" s="79"/>
      <c r="L15" s="79"/>
      <c r="M15" s="79"/>
      <c r="N15" s="79"/>
      <c r="O15" s="79"/>
      <c r="P15" s="79"/>
      <c r="Q15" s="79"/>
      <c r="R15" s="79"/>
      <c r="S15" s="79"/>
      <c r="T15" s="79"/>
      <c r="U15" s="79"/>
      <c r="V15" s="79"/>
      <c r="W15" s="79"/>
      <c r="X15" s="79"/>
      <c r="Y15" s="79"/>
      <c r="Z15" s="79"/>
      <c r="AA15" s="79"/>
      <c r="AB15" s="79"/>
      <c r="AC15" s="79"/>
      <c r="AD15" s="79"/>
      <c r="AE15" s="79"/>
      <c r="AF15" s="79"/>
      <c r="AG15" s="79"/>
      <c r="AH15" s="79"/>
      <c r="AI15" s="79"/>
      <c r="AJ15" s="79"/>
      <c r="AK15" s="79"/>
      <c r="AL15" s="79"/>
      <c r="AM15" s="79"/>
      <c r="AN15" s="79"/>
      <c r="AO15" s="79"/>
      <c r="AP15" s="79"/>
      <c r="AQ15" s="79"/>
      <c r="AR15" s="79"/>
      <c r="AS15" s="79"/>
      <c r="AT15" s="79"/>
      <c r="AU15" s="79"/>
      <c r="AV15" s="79"/>
      <c r="AW15" s="79"/>
      <c r="AX15" s="79"/>
      <c r="AY15" s="79"/>
      <c r="AZ15" s="79"/>
      <c r="BA15" s="79"/>
      <c r="BB15" s="79"/>
      <c r="BC15" s="79"/>
      <c r="BD15" s="79"/>
      <c r="BE15" s="79"/>
      <c r="BF15" s="79"/>
    </row>
    <row r="16" spans="1:58" ht="14.1" customHeight="1" x14ac:dyDescent="0.2">
      <c r="A16" s="375"/>
      <c r="B16" s="380">
        <v>10</v>
      </c>
      <c r="C16" s="74" t="s">
        <v>20</v>
      </c>
      <c r="D16" s="84"/>
      <c r="E16" s="84"/>
      <c r="F16" s="84"/>
      <c r="G16" s="84"/>
      <c r="H16" s="84"/>
      <c r="I16" s="84"/>
      <c r="J16" s="84"/>
      <c r="K16" s="84"/>
      <c r="L16" s="84"/>
      <c r="M16" s="84"/>
      <c r="N16" s="84"/>
      <c r="O16" s="84"/>
      <c r="P16" s="84"/>
      <c r="Q16" s="84"/>
      <c r="R16" s="84"/>
      <c r="S16" s="84"/>
      <c r="T16" s="84"/>
      <c r="U16" s="84"/>
      <c r="V16" s="84"/>
      <c r="W16" s="84"/>
      <c r="X16" s="84"/>
      <c r="Y16" s="84"/>
      <c r="Z16" s="84"/>
      <c r="AA16" s="84"/>
      <c r="AB16" s="84"/>
      <c r="AC16" s="84"/>
      <c r="AD16" s="84">
        <v>10</v>
      </c>
      <c r="AE16" s="84"/>
      <c r="AF16" s="84"/>
      <c r="AG16" s="84"/>
      <c r="AH16" s="84"/>
      <c r="AI16" s="84"/>
      <c r="AJ16" s="84"/>
      <c r="AK16" s="84"/>
      <c r="AL16" s="84"/>
      <c r="AM16" s="84"/>
      <c r="AN16" s="84"/>
      <c r="AO16" s="84"/>
      <c r="AP16" s="84"/>
      <c r="AQ16" s="84"/>
      <c r="AR16" s="84"/>
      <c r="AS16" s="84"/>
      <c r="AT16" s="84"/>
      <c r="AU16" s="84"/>
      <c r="AV16" s="84"/>
      <c r="AW16" s="84"/>
      <c r="AX16" s="84"/>
      <c r="AY16" s="84"/>
      <c r="AZ16" s="84"/>
      <c r="BA16" s="84"/>
      <c r="BB16" s="84"/>
      <c r="BC16" s="84"/>
      <c r="BD16" s="84"/>
      <c r="BE16" s="84"/>
      <c r="BF16" s="84"/>
    </row>
    <row r="17" spans="1:58" ht="14.1" customHeight="1" x14ac:dyDescent="0.2">
      <c r="A17" s="375"/>
      <c r="B17" s="378"/>
      <c r="C17" s="76" t="s">
        <v>0</v>
      </c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  <c r="S17" s="85"/>
      <c r="T17" s="85"/>
      <c r="U17" s="85"/>
      <c r="V17" s="85"/>
      <c r="W17" s="85"/>
      <c r="X17" s="85"/>
      <c r="Y17" s="85"/>
      <c r="Z17" s="85"/>
      <c r="AA17" s="85"/>
      <c r="AB17" s="85"/>
      <c r="AC17" s="85"/>
      <c r="AD17" s="85"/>
      <c r="AE17" s="85"/>
      <c r="AF17" s="85"/>
      <c r="AG17" s="85"/>
      <c r="AH17" s="85"/>
      <c r="AI17" s="85"/>
      <c r="AJ17" s="85"/>
      <c r="AK17" s="85"/>
      <c r="AL17" s="85"/>
      <c r="AM17" s="85"/>
      <c r="AN17" s="85"/>
      <c r="AO17" s="85"/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</row>
    <row r="18" spans="1:58" ht="14.1" customHeight="1" x14ac:dyDescent="0.2">
      <c r="A18" s="375"/>
      <c r="B18" s="381"/>
      <c r="C18" s="78" t="s">
        <v>1</v>
      </c>
      <c r="D18" s="86"/>
      <c r="E18" s="86"/>
      <c r="F18" s="86"/>
      <c r="G18" s="86"/>
      <c r="H18" s="86"/>
      <c r="I18" s="86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6"/>
      <c r="X18" s="86"/>
      <c r="Y18" s="86"/>
      <c r="Z18" s="86"/>
      <c r="AA18" s="86"/>
      <c r="AB18" s="86"/>
      <c r="AC18" s="86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6"/>
      <c r="AO18" s="86"/>
      <c r="AP18" s="86"/>
      <c r="AQ18" s="86"/>
      <c r="AR18" s="86"/>
      <c r="AS18" s="86"/>
      <c r="AT18" s="86"/>
      <c r="AU18" s="86"/>
      <c r="AV18" s="86"/>
      <c r="AW18" s="86"/>
      <c r="AX18" s="86"/>
      <c r="AY18" s="86"/>
      <c r="AZ18" s="86"/>
      <c r="BA18" s="86"/>
      <c r="BB18" s="86"/>
      <c r="BC18" s="86"/>
      <c r="BD18" s="86"/>
      <c r="BE18" s="86"/>
      <c r="BF18" s="86"/>
    </row>
    <row r="19" spans="1:58" ht="14.1" customHeight="1" x14ac:dyDescent="0.2">
      <c r="A19" s="375"/>
      <c r="B19" s="377">
        <v>12</v>
      </c>
      <c r="C19" s="74" t="s">
        <v>20</v>
      </c>
      <c r="D19" s="84"/>
      <c r="E19" s="84"/>
      <c r="F19" s="84"/>
      <c r="G19" s="84"/>
      <c r="H19" s="84"/>
      <c r="I19" s="84"/>
      <c r="J19" s="84"/>
      <c r="K19" s="90"/>
      <c r="L19" s="84"/>
      <c r="M19" s="84"/>
      <c r="N19" s="84"/>
      <c r="O19" s="84"/>
      <c r="P19" s="84">
        <v>41</v>
      </c>
      <c r="Q19" s="84"/>
      <c r="R19" s="84"/>
      <c r="S19" s="84">
        <v>44</v>
      </c>
      <c r="T19" s="84">
        <v>19</v>
      </c>
      <c r="U19" s="84"/>
      <c r="V19" s="84"/>
      <c r="W19" s="84"/>
      <c r="X19" s="84"/>
      <c r="Y19" s="84"/>
      <c r="Z19" s="84">
        <v>44</v>
      </c>
      <c r="AA19" s="84">
        <v>22</v>
      </c>
      <c r="AB19" s="84"/>
      <c r="AC19" s="84">
        <v>44</v>
      </c>
      <c r="AD19" s="84">
        <v>22</v>
      </c>
      <c r="AE19" s="84"/>
      <c r="AF19" s="84"/>
      <c r="AG19" s="84"/>
      <c r="AH19" s="84"/>
      <c r="AI19" s="84"/>
      <c r="AJ19" s="84"/>
      <c r="AK19" s="84">
        <v>44</v>
      </c>
      <c r="AL19" s="84">
        <v>21</v>
      </c>
      <c r="AM19" s="84"/>
      <c r="AN19" s="84"/>
      <c r="AO19" s="84"/>
      <c r="AP19" s="84"/>
      <c r="AQ19" s="84"/>
      <c r="AR19" s="84"/>
      <c r="AS19" s="84"/>
      <c r="AT19" s="84"/>
      <c r="AU19" s="84"/>
      <c r="AV19" s="84"/>
      <c r="AW19" s="84"/>
      <c r="AX19" s="84"/>
      <c r="AY19" s="84"/>
      <c r="AZ19" s="84"/>
      <c r="BA19" s="84"/>
      <c r="BB19" s="84"/>
      <c r="BC19" s="84"/>
      <c r="BD19" s="84"/>
      <c r="BE19" s="84"/>
      <c r="BF19" s="84"/>
    </row>
    <row r="20" spans="1:58" ht="14.1" customHeight="1" x14ac:dyDescent="0.2">
      <c r="A20" s="375"/>
      <c r="B20" s="378"/>
      <c r="C20" s="76" t="s">
        <v>0</v>
      </c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5"/>
      <c r="V20" s="85"/>
      <c r="W20" s="85"/>
      <c r="X20" s="85"/>
      <c r="Y20" s="85"/>
      <c r="Z20" s="85"/>
      <c r="AA20" s="85"/>
      <c r="AB20" s="85"/>
      <c r="AC20" s="85"/>
      <c r="AD20" s="85"/>
      <c r="AE20" s="85"/>
      <c r="AF20" s="85"/>
      <c r="AG20" s="85"/>
      <c r="AH20" s="85"/>
      <c r="AI20" s="85"/>
      <c r="AJ20" s="85"/>
      <c r="AK20" s="85"/>
      <c r="AL20" s="85"/>
      <c r="AM20" s="85"/>
      <c r="AN20" s="85"/>
      <c r="AO20" s="85"/>
      <c r="AP20" s="85"/>
      <c r="AQ20" s="85"/>
      <c r="AR20" s="85"/>
      <c r="AS20" s="85"/>
      <c r="AT20" s="85"/>
      <c r="AU20" s="85"/>
      <c r="AV20" s="85"/>
      <c r="AW20" s="85"/>
      <c r="AX20" s="85"/>
      <c r="AY20" s="85"/>
      <c r="AZ20" s="85"/>
      <c r="BA20" s="85"/>
      <c r="BB20" s="85"/>
      <c r="BC20" s="85"/>
      <c r="BD20" s="85"/>
      <c r="BE20" s="85"/>
      <c r="BF20" s="85"/>
    </row>
    <row r="21" spans="1:58" ht="14.1" customHeight="1" x14ac:dyDescent="0.2">
      <c r="A21" s="375"/>
      <c r="B21" s="381"/>
      <c r="C21" s="78" t="s">
        <v>1</v>
      </c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86"/>
      <c r="S21" s="86"/>
      <c r="T21" s="86"/>
      <c r="U21" s="86"/>
      <c r="V21" s="86"/>
      <c r="W21" s="86"/>
      <c r="X21" s="86"/>
      <c r="Y21" s="86"/>
      <c r="Z21" s="86"/>
      <c r="AA21" s="86"/>
      <c r="AB21" s="86"/>
      <c r="AC21" s="86"/>
      <c r="AD21" s="86"/>
      <c r="AE21" s="86"/>
      <c r="AF21" s="86"/>
      <c r="AG21" s="86"/>
      <c r="AH21" s="86"/>
      <c r="AI21" s="86"/>
      <c r="AJ21" s="86"/>
      <c r="AK21" s="86"/>
      <c r="AL21" s="86"/>
      <c r="AM21" s="86"/>
      <c r="AN21" s="86"/>
      <c r="AO21" s="86"/>
      <c r="AP21" s="86"/>
      <c r="AQ21" s="86"/>
      <c r="AR21" s="86"/>
      <c r="AS21" s="86"/>
      <c r="AT21" s="86"/>
      <c r="AU21" s="86"/>
      <c r="AV21" s="86"/>
      <c r="AW21" s="86"/>
      <c r="AX21" s="86"/>
      <c r="AY21" s="86"/>
      <c r="AZ21" s="86"/>
      <c r="BA21" s="86"/>
      <c r="BB21" s="86"/>
      <c r="BC21" s="86"/>
      <c r="BD21" s="86"/>
      <c r="BE21" s="86"/>
      <c r="BF21" s="86"/>
    </row>
    <row r="22" spans="1:58" ht="14.1" customHeight="1" x14ac:dyDescent="0.2">
      <c r="A22" s="375"/>
      <c r="B22" s="377">
        <v>15</v>
      </c>
      <c r="C22" s="74" t="s">
        <v>20</v>
      </c>
      <c r="D22" s="84"/>
      <c r="E22" s="84"/>
      <c r="F22" s="84"/>
      <c r="G22" s="84"/>
      <c r="H22" s="84"/>
      <c r="I22" s="84"/>
      <c r="J22" s="84"/>
      <c r="K22" s="84"/>
      <c r="L22" s="84"/>
      <c r="M22" s="84"/>
      <c r="N22" s="84"/>
      <c r="O22" s="84">
        <f>19+44</f>
        <v>63</v>
      </c>
      <c r="P22" s="84">
        <v>88</v>
      </c>
      <c r="Q22" s="84">
        <v>88</v>
      </c>
      <c r="R22" s="84">
        <v>88</v>
      </c>
      <c r="S22" s="84"/>
      <c r="T22" s="84">
        <v>44</v>
      </c>
      <c r="U22" s="84">
        <v>44</v>
      </c>
      <c r="V22" s="84">
        <v>44</v>
      </c>
      <c r="W22" s="84">
        <v>88</v>
      </c>
      <c r="X22" s="84"/>
      <c r="Y22" s="84">
        <v>44</v>
      </c>
      <c r="Z22" s="84">
        <v>44</v>
      </c>
      <c r="AA22" s="84">
        <v>44</v>
      </c>
      <c r="AB22" s="84">
        <v>88</v>
      </c>
      <c r="AC22" s="84">
        <v>44</v>
      </c>
      <c r="AD22" s="84">
        <v>88</v>
      </c>
      <c r="AE22" s="84">
        <v>44</v>
      </c>
      <c r="AF22" s="84">
        <v>88</v>
      </c>
      <c r="AG22" s="84">
        <v>44</v>
      </c>
      <c r="AH22" s="84">
        <v>44</v>
      </c>
      <c r="AI22" s="84"/>
      <c r="AJ22" s="84"/>
      <c r="AK22" s="84"/>
      <c r="AL22" s="84"/>
      <c r="AM22" s="84"/>
      <c r="AN22" s="84"/>
      <c r="AO22" s="84"/>
      <c r="AP22" s="84"/>
      <c r="AQ22" s="84"/>
      <c r="AR22" s="84"/>
      <c r="AS22" s="84"/>
      <c r="AT22" s="84"/>
      <c r="AU22" s="84"/>
      <c r="AV22" s="84"/>
      <c r="AW22" s="84"/>
      <c r="AX22" s="84"/>
      <c r="AY22" s="84"/>
      <c r="AZ22" s="84">
        <v>37</v>
      </c>
      <c r="BA22" s="84">
        <v>37</v>
      </c>
      <c r="BB22" s="84">
        <v>37</v>
      </c>
      <c r="BC22" s="84">
        <v>37</v>
      </c>
      <c r="BD22" s="84">
        <f>74-37</f>
        <v>37</v>
      </c>
      <c r="BE22" s="84"/>
      <c r="BF22" s="84"/>
    </row>
    <row r="23" spans="1:58" ht="14.1" customHeight="1" x14ac:dyDescent="0.2">
      <c r="A23" s="375"/>
      <c r="B23" s="378"/>
      <c r="C23" s="76" t="s">
        <v>0</v>
      </c>
      <c r="D23" s="85"/>
      <c r="E23" s="85"/>
      <c r="F23" s="85"/>
      <c r="G23" s="85"/>
      <c r="H23" s="85"/>
      <c r="I23" s="85"/>
      <c r="J23" s="85">
        <v>42</v>
      </c>
      <c r="K23" s="85">
        <v>44</v>
      </c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>
        <v>44</v>
      </c>
      <c r="AJ23" s="85"/>
      <c r="AK23" s="85">
        <v>44</v>
      </c>
      <c r="AL23" s="85">
        <v>44</v>
      </c>
      <c r="AM23" s="85">
        <v>44</v>
      </c>
      <c r="AN23" s="85">
        <v>44</v>
      </c>
      <c r="AO23" s="85">
        <v>44</v>
      </c>
      <c r="AP23" s="85">
        <v>44</v>
      </c>
      <c r="AQ23" s="85"/>
      <c r="AR23" s="85">
        <v>44</v>
      </c>
      <c r="AS23" s="85">
        <v>44</v>
      </c>
      <c r="AT23" s="85">
        <v>44</v>
      </c>
      <c r="AU23" s="85">
        <v>44</v>
      </c>
      <c r="AV23" s="85">
        <v>44</v>
      </c>
      <c r="AW23" s="85"/>
      <c r="AX23" s="85"/>
      <c r="AY23" s="85"/>
      <c r="AZ23" s="85"/>
      <c r="BA23" s="85"/>
      <c r="BB23" s="85"/>
      <c r="BC23" s="85"/>
      <c r="BD23" s="85"/>
      <c r="BE23" s="85"/>
      <c r="BF23" s="85"/>
    </row>
    <row r="24" spans="1:58" ht="14.1" customHeight="1" x14ac:dyDescent="0.2">
      <c r="A24" s="375"/>
      <c r="B24" s="381"/>
      <c r="C24" s="78" t="s">
        <v>1</v>
      </c>
      <c r="D24" s="86"/>
      <c r="E24" s="86"/>
      <c r="F24" s="86"/>
      <c r="G24" s="86"/>
      <c r="H24" s="86"/>
      <c r="I24" s="86"/>
      <c r="J24" s="86"/>
      <c r="K24" s="86"/>
      <c r="L24" s="86"/>
      <c r="M24" s="86"/>
      <c r="N24" s="86"/>
      <c r="O24" s="86"/>
      <c r="P24" s="86"/>
      <c r="Q24" s="86"/>
      <c r="R24" s="86"/>
      <c r="S24" s="86"/>
      <c r="T24" s="86"/>
      <c r="U24" s="86"/>
      <c r="V24" s="86"/>
      <c r="W24" s="86"/>
      <c r="X24" s="86"/>
      <c r="Y24" s="86"/>
      <c r="Z24" s="86"/>
      <c r="AA24" s="86"/>
      <c r="AB24" s="86"/>
      <c r="AC24" s="86"/>
      <c r="AD24" s="86"/>
      <c r="AE24" s="86"/>
      <c r="AF24" s="86"/>
      <c r="AG24" s="86"/>
      <c r="AH24" s="86"/>
      <c r="AI24" s="86"/>
      <c r="AJ24" s="86"/>
      <c r="AK24" s="86"/>
      <c r="AL24" s="86"/>
      <c r="AM24" s="86"/>
      <c r="AN24" s="86"/>
      <c r="AO24" s="86"/>
      <c r="AP24" s="86"/>
      <c r="AQ24" s="86"/>
      <c r="AR24" s="86"/>
      <c r="AS24" s="86"/>
      <c r="AT24" s="86"/>
      <c r="AU24" s="86"/>
      <c r="AV24" s="86"/>
      <c r="AW24" s="86"/>
      <c r="AX24" s="86"/>
      <c r="AY24" s="86"/>
      <c r="AZ24" s="86"/>
      <c r="BA24" s="86"/>
      <c r="BB24" s="86"/>
      <c r="BC24" s="86"/>
      <c r="BD24" s="86"/>
      <c r="BE24" s="86"/>
      <c r="BF24" s="86"/>
    </row>
    <row r="25" spans="1:58" ht="14.1" customHeight="1" x14ac:dyDescent="0.2">
      <c r="A25" s="375"/>
      <c r="B25" s="377">
        <v>17</v>
      </c>
      <c r="C25" s="74" t="s">
        <v>20</v>
      </c>
      <c r="D25" s="84"/>
      <c r="E25" s="84"/>
      <c r="F25" s="84"/>
      <c r="G25" s="84"/>
      <c r="H25" s="84"/>
      <c r="I25" s="84"/>
      <c r="J25" s="84"/>
      <c r="K25" s="84"/>
      <c r="L25" s="84"/>
      <c r="M25" s="84"/>
      <c r="N25" s="84"/>
      <c r="O25" s="84"/>
      <c r="P25" s="84"/>
      <c r="Q25" s="84"/>
      <c r="R25" s="84"/>
      <c r="S25" s="84"/>
      <c r="T25" s="84"/>
      <c r="U25" s="84"/>
      <c r="V25" s="84"/>
      <c r="W25" s="84"/>
      <c r="X25" s="84"/>
      <c r="Y25" s="84">
        <v>36</v>
      </c>
      <c r="Z25" s="84"/>
      <c r="AA25" s="84"/>
      <c r="AB25" s="84"/>
      <c r="AC25" s="84"/>
      <c r="AD25" s="84"/>
      <c r="AE25" s="84"/>
      <c r="AF25" s="84"/>
      <c r="AG25" s="84"/>
      <c r="AH25" s="84"/>
      <c r="AI25" s="84"/>
      <c r="AJ25" s="84"/>
      <c r="AK25" s="84"/>
      <c r="AL25" s="84"/>
      <c r="AM25" s="84"/>
      <c r="AN25" s="84"/>
      <c r="AO25" s="84"/>
      <c r="AP25" s="84"/>
      <c r="AQ25" s="84"/>
      <c r="AR25" s="84"/>
      <c r="AS25" s="84"/>
      <c r="AT25" s="84"/>
      <c r="AU25" s="84"/>
      <c r="AV25" s="84"/>
      <c r="AW25" s="84"/>
      <c r="AX25" s="84"/>
      <c r="AY25" s="84"/>
      <c r="AZ25" s="84"/>
      <c r="BA25" s="84"/>
      <c r="BB25" s="84"/>
      <c r="BC25" s="84"/>
      <c r="BD25" s="84"/>
      <c r="BE25" s="84"/>
      <c r="BF25" s="84"/>
    </row>
    <row r="26" spans="1:58" ht="14.1" customHeight="1" x14ac:dyDescent="0.2">
      <c r="A26" s="375"/>
      <c r="B26" s="378"/>
      <c r="C26" s="76" t="s">
        <v>0</v>
      </c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>
        <v>44</v>
      </c>
      <c r="W26" s="85">
        <f>71-44</f>
        <v>27</v>
      </c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</row>
    <row r="27" spans="1:58" ht="14.1" customHeight="1" x14ac:dyDescent="0.2">
      <c r="A27" s="375"/>
      <c r="B27" s="381"/>
      <c r="C27" s="78" t="s">
        <v>1</v>
      </c>
      <c r="D27" s="86"/>
      <c r="E27" s="86"/>
      <c r="F27" s="86"/>
      <c r="G27" s="86"/>
      <c r="H27" s="86"/>
      <c r="I27" s="86"/>
      <c r="J27" s="86"/>
      <c r="K27" s="86"/>
      <c r="L27" s="86"/>
      <c r="M27" s="86"/>
      <c r="N27" s="86"/>
      <c r="O27" s="86"/>
      <c r="P27" s="86"/>
      <c r="Q27" s="86"/>
      <c r="R27" s="86"/>
      <c r="S27" s="86"/>
      <c r="T27" s="86"/>
      <c r="U27" s="86"/>
      <c r="V27" s="86"/>
      <c r="W27" s="86"/>
      <c r="X27" s="86"/>
      <c r="Y27" s="86"/>
      <c r="Z27" s="86"/>
      <c r="AA27" s="86"/>
      <c r="AB27" s="86"/>
      <c r="AC27" s="86"/>
      <c r="AD27" s="86"/>
      <c r="AE27" s="86"/>
      <c r="AF27" s="86"/>
      <c r="AG27" s="86"/>
      <c r="AH27" s="86"/>
      <c r="AI27" s="86"/>
      <c r="AJ27" s="86"/>
      <c r="AK27" s="86"/>
      <c r="AL27" s="86"/>
      <c r="AM27" s="86"/>
      <c r="AN27" s="86"/>
      <c r="AO27" s="86"/>
      <c r="AP27" s="86"/>
      <c r="AQ27" s="86"/>
      <c r="AR27" s="86"/>
      <c r="AS27" s="86"/>
      <c r="AT27" s="86"/>
      <c r="AU27" s="86"/>
      <c r="AV27" s="86"/>
      <c r="AW27" s="86"/>
      <c r="AX27" s="86"/>
      <c r="AY27" s="86"/>
      <c r="AZ27" s="86"/>
      <c r="BA27" s="86"/>
      <c r="BB27" s="86"/>
      <c r="BC27" s="86"/>
      <c r="BD27" s="86"/>
      <c r="BE27" s="86"/>
      <c r="BF27" s="86"/>
    </row>
    <row r="28" spans="1:58" ht="14.1" customHeight="1" x14ac:dyDescent="0.2">
      <c r="A28" s="375"/>
      <c r="B28" s="377">
        <v>20</v>
      </c>
      <c r="C28" s="74" t="s">
        <v>20</v>
      </c>
      <c r="D28" s="84"/>
      <c r="E28" s="84"/>
      <c r="F28" s="84"/>
      <c r="G28" s="84"/>
      <c r="H28" s="84"/>
      <c r="I28" s="84"/>
      <c r="J28" s="84"/>
      <c r="K28" s="84"/>
      <c r="L28" s="84"/>
      <c r="M28" s="84"/>
      <c r="N28" s="84"/>
      <c r="O28" s="84"/>
      <c r="P28" s="84"/>
      <c r="Q28" s="84">
        <v>42</v>
      </c>
      <c r="R28" s="84"/>
      <c r="S28" s="84"/>
      <c r="T28" s="84"/>
      <c r="U28" s="84"/>
      <c r="V28" s="84"/>
      <c r="W28" s="84"/>
      <c r="X28" s="84"/>
      <c r="Y28" s="84">
        <v>44</v>
      </c>
      <c r="Z28" s="84">
        <v>23</v>
      </c>
      <c r="AA28" s="84"/>
      <c r="AB28" s="84"/>
      <c r="AC28" s="84">
        <v>55</v>
      </c>
      <c r="AD28" s="84"/>
      <c r="AE28" s="84"/>
      <c r="AF28" s="84"/>
      <c r="AG28" s="84"/>
      <c r="AH28" s="84"/>
      <c r="AI28" s="84"/>
      <c r="AJ28" s="84"/>
      <c r="AK28" s="84"/>
      <c r="AL28" s="84"/>
      <c r="AM28" s="84"/>
      <c r="AN28" s="84"/>
      <c r="AO28" s="84"/>
      <c r="AP28" s="84"/>
      <c r="AQ28" s="84"/>
      <c r="AR28" s="84"/>
      <c r="AS28" s="84"/>
      <c r="AT28" s="84"/>
      <c r="AU28" s="84"/>
      <c r="AV28" s="84"/>
      <c r="AW28" s="84"/>
      <c r="AX28" s="84"/>
      <c r="AY28" s="84"/>
      <c r="AZ28" s="84"/>
      <c r="BA28" s="84"/>
      <c r="BB28" s="84"/>
      <c r="BC28" s="84"/>
      <c r="BD28" s="84"/>
      <c r="BE28" s="84"/>
      <c r="BF28" s="84"/>
    </row>
    <row r="29" spans="1:58" ht="14.1" customHeight="1" x14ac:dyDescent="0.2">
      <c r="A29" s="375"/>
      <c r="B29" s="378"/>
      <c r="C29" s="76" t="s">
        <v>0</v>
      </c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  <c r="S29" s="85"/>
      <c r="T29" s="85"/>
      <c r="U29" s="85"/>
      <c r="V29" s="85"/>
      <c r="W29" s="85"/>
      <c r="X29" s="85"/>
      <c r="Y29" s="85"/>
      <c r="Z29" s="85"/>
      <c r="AA29" s="85"/>
      <c r="AB29" s="85"/>
      <c r="AC29" s="85"/>
      <c r="AD29" s="85"/>
      <c r="AE29" s="85"/>
      <c r="AF29" s="85"/>
      <c r="AG29" s="85"/>
      <c r="AH29" s="85"/>
      <c r="AI29" s="85"/>
      <c r="AJ29" s="85"/>
      <c r="AK29" s="85"/>
      <c r="AL29" s="85"/>
      <c r="AM29" s="85"/>
      <c r="AN29" s="85"/>
      <c r="AO29" s="85"/>
      <c r="AP29" s="85"/>
      <c r="AQ29" s="85"/>
      <c r="AR29" s="85"/>
      <c r="AS29" s="85"/>
      <c r="AT29" s="85"/>
      <c r="AU29" s="85"/>
      <c r="AV29" s="85"/>
      <c r="AW29" s="85"/>
      <c r="AX29" s="85"/>
      <c r="AY29" s="85"/>
      <c r="AZ29" s="85"/>
      <c r="BA29" s="85"/>
      <c r="BB29" s="85"/>
      <c r="BC29" s="85"/>
      <c r="BD29" s="85"/>
      <c r="BE29" s="85"/>
      <c r="BF29" s="85"/>
    </row>
    <row r="30" spans="1:58" ht="14.1" customHeight="1" x14ac:dyDescent="0.2">
      <c r="A30" s="375"/>
      <c r="B30" s="381"/>
      <c r="C30" s="78" t="s">
        <v>1</v>
      </c>
      <c r="D30" s="86"/>
      <c r="E30" s="86"/>
      <c r="F30" s="86"/>
      <c r="G30" s="86"/>
      <c r="H30" s="86"/>
      <c r="I30" s="86"/>
      <c r="J30" s="86"/>
      <c r="K30" s="86"/>
      <c r="L30" s="86"/>
      <c r="M30" s="86"/>
      <c r="N30" s="86"/>
      <c r="O30" s="86"/>
      <c r="P30" s="86"/>
      <c r="Q30" s="86"/>
      <c r="R30" s="86"/>
      <c r="S30" s="86"/>
      <c r="T30" s="86"/>
      <c r="U30" s="86"/>
      <c r="V30" s="86"/>
      <c r="W30" s="86"/>
      <c r="X30" s="86"/>
      <c r="Y30" s="86"/>
      <c r="Z30" s="86"/>
      <c r="AA30" s="86"/>
      <c r="AB30" s="86"/>
      <c r="AC30" s="86"/>
      <c r="AD30" s="86"/>
      <c r="AE30" s="86"/>
      <c r="AF30" s="86"/>
      <c r="AG30" s="86"/>
      <c r="AH30" s="86"/>
      <c r="AI30" s="86"/>
      <c r="AJ30" s="86"/>
      <c r="AK30" s="86"/>
      <c r="AL30" s="86"/>
      <c r="AM30" s="86"/>
      <c r="AN30" s="86"/>
      <c r="AO30" s="86"/>
      <c r="AP30" s="86"/>
      <c r="AQ30" s="86"/>
      <c r="AR30" s="86"/>
      <c r="AS30" s="86"/>
      <c r="AT30" s="86"/>
      <c r="AU30" s="86"/>
      <c r="AV30" s="86"/>
      <c r="AW30" s="86"/>
      <c r="AX30" s="86"/>
      <c r="AY30" s="86"/>
      <c r="AZ30" s="86"/>
      <c r="BA30" s="86"/>
      <c r="BB30" s="86"/>
      <c r="BC30" s="86"/>
      <c r="BD30" s="86"/>
      <c r="BE30" s="86"/>
      <c r="BF30" s="86"/>
    </row>
    <row r="31" spans="1:58" ht="14.1" customHeight="1" x14ac:dyDescent="0.2">
      <c r="A31" s="375"/>
      <c r="B31" s="211">
        <v>25</v>
      </c>
      <c r="C31" s="50">
        <f>SUM(D31:AH31)</f>
        <v>335</v>
      </c>
      <c r="D31" s="87"/>
      <c r="E31" s="87"/>
      <c r="F31" s="87"/>
      <c r="G31" s="87"/>
      <c r="H31" s="87"/>
      <c r="I31" s="87"/>
      <c r="J31" s="87">
        <v>2</v>
      </c>
      <c r="K31" s="87">
        <v>44</v>
      </c>
      <c r="L31" s="87">
        <v>88</v>
      </c>
      <c r="M31" s="87">
        <v>88</v>
      </c>
      <c r="N31" s="87">
        <v>88</v>
      </c>
      <c r="O31" s="87">
        <v>25</v>
      </c>
      <c r="P31" s="87"/>
      <c r="Q31" s="87"/>
      <c r="R31" s="87"/>
      <c r="S31" s="87"/>
      <c r="T31" s="87"/>
      <c r="U31" s="87"/>
      <c r="V31" s="87"/>
      <c r="W31" s="87"/>
      <c r="X31" s="87"/>
      <c r="Y31" s="87"/>
      <c r="Z31" s="87"/>
      <c r="AA31" s="87"/>
      <c r="AB31" s="87"/>
      <c r="AC31" s="87"/>
      <c r="AD31" s="87"/>
      <c r="AE31" s="87"/>
      <c r="AF31" s="87"/>
      <c r="AG31" s="87"/>
      <c r="AH31" s="87"/>
      <c r="AI31" s="87"/>
      <c r="AJ31" s="87"/>
      <c r="AK31" s="87"/>
      <c r="AL31" s="87"/>
      <c r="AM31" s="87"/>
      <c r="AN31" s="87"/>
      <c r="AO31" s="87"/>
      <c r="AP31" s="87"/>
      <c r="AQ31" s="87"/>
      <c r="AR31" s="87"/>
      <c r="AS31" s="87"/>
      <c r="AT31" s="87"/>
      <c r="AU31" s="87"/>
      <c r="AV31" s="87"/>
      <c r="AW31" s="87"/>
      <c r="AX31" s="87"/>
      <c r="AY31" s="87"/>
      <c r="AZ31" s="87"/>
      <c r="BA31" s="87"/>
      <c r="BB31" s="87"/>
      <c r="BC31" s="87"/>
      <c r="BD31" s="87"/>
      <c r="BE31" s="87"/>
      <c r="BF31" s="87"/>
    </row>
    <row r="32" spans="1:58" ht="14.1" customHeight="1" x14ac:dyDescent="0.2">
      <c r="A32" s="376"/>
      <c r="B32" s="52">
        <v>8</v>
      </c>
      <c r="C32" s="53">
        <f>SUM(D32:AH32)</f>
        <v>40</v>
      </c>
      <c r="D32" s="88"/>
      <c r="E32" s="88"/>
      <c r="F32" s="88"/>
      <c r="G32" s="88"/>
      <c r="H32" s="88"/>
      <c r="I32" s="88"/>
      <c r="J32" s="88"/>
      <c r="K32" s="88"/>
      <c r="L32" s="88"/>
      <c r="M32" s="88"/>
      <c r="N32" s="88"/>
      <c r="O32" s="88"/>
      <c r="P32" s="88"/>
      <c r="Q32" s="88"/>
      <c r="R32" s="88"/>
      <c r="S32" s="88"/>
      <c r="T32" s="88"/>
      <c r="U32" s="88"/>
      <c r="V32" s="88"/>
      <c r="W32" s="88"/>
      <c r="X32" s="88"/>
      <c r="Y32" s="88"/>
      <c r="Z32" s="88">
        <v>20</v>
      </c>
      <c r="AA32" s="88"/>
      <c r="AB32" s="88"/>
      <c r="AC32" s="88">
        <v>20</v>
      </c>
      <c r="AD32" s="88"/>
      <c r="AE32" s="88"/>
      <c r="AF32" s="88"/>
      <c r="AG32" s="88"/>
      <c r="AH32" s="88"/>
      <c r="AI32" s="88"/>
      <c r="AJ32" s="88"/>
      <c r="AK32" s="88"/>
      <c r="AL32" s="88"/>
      <c r="AM32" s="88"/>
      <c r="AN32" s="88"/>
      <c r="AO32" s="88"/>
      <c r="AP32" s="88"/>
      <c r="AQ32" s="88"/>
      <c r="AR32" s="88"/>
      <c r="AS32" s="88"/>
      <c r="AT32" s="88"/>
      <c r="AU32" s="88"/>
      <c r="AV32" s="88"/>
      <c r="AW32" s="88"/>
      <c r="AX32" s="88"/>
      <c r="AY32" s="88"/>
      <c r="AZ32" s="88"/>
      <c r="BA32" s="88"/>
      <c r="BB32" s="88"/>
      <c r="BC32" s="88"/>
      <c r="BD32" s="88"/>
      <c r="BE32" s="88"/>
      <c r="BF32" s="88"/>
    </row>
  </sheetData>
  <mergeCells count="8">
    <mergeCell ref="A5:A12"/>
    <mergeCell ref="A13:A32"/>
    <mergeCell ref="B13:B15"/>
    <mergeCell ref="B16:B18"/>
    <mergeCell ref="B19:B21"/>
    <mergeCell ref="B22:B24"/>
    <mergeCell ref="B25:B27"/>
    <mergeCell ref="B28:B30"/>
  </mergeCells>
  <conditionalFormatting sqref="B5:AH12">
    <cfRule type="expression" dxfId="300" priority="98">
      <formula>AND(ROW()=CELL("row"),COLUMN()=CELL("col"))</formula>
    </cfRule>
    <cfRule type="expression" dxfId="299" priority="99">
      <formula>ROW()=CELL("row")</formula>
    </cfRule>
    <cfRule type="expression" dxfId="298" priority="100">
      <formula>COLUMN()=CELL("col")</formula>
    </cfRule>
  </conditionalFormatting>
  <conditionalFormatting sqref="D5:AH12">
    <cfRule type="expression" dxfId="297" priority="97">
      <formula>WEEKDAY(D$2,2)&gt;6</formula>
    </cfRule>
  </conditionalFormatting>
  <conditionalFormatting sqref="AI5:AI12">
    <cfRule type="expression" dxfId="296" priority="94">
      <formula>AND(ROW()=CELL("row"),COLUMN()=CELL("col"))</formula>
    </cfRule>
    <cfRule type="expression" dxfId="295" priority="95">
      <formula>ROW()=CELL("row")</formula>
    </cfRule>
    <cfRule type="expression" dxfId="294" priority="96">
      <formula>COLUMN()=CELL("col")</formula>
    </cfRule>
  </conditionalFormatting>
  <conditionalFormatting sqref="AI5:AI12">
    <cfRule type="expression" dxfId="293" priority="93">
      <formula>WEEKDAY(AI$2,2)&gt;6</formula>
    </cfRule>
  </conditionalFormatting>
  <conditionalFormatting sqref="AJ5:AJ12">
    <cfRule type="expression" dxfId="292" priority="90">
      <formula>AND(ROW()=CELL("row"),COLUMN()=CELL("col"))</formula>
    </cfRule>
    <cfRule type="expression" dxfId="291" priority="91">
      <formula>ROW()=CELL("row")</formula>
    </cfRule>
    <cfRule type="expression" dxfId="290" priority="92">
      <formula>COLUMN()=CELL("col")</formula>
    </cfRule>
  </conditionalFormatting>
  <conditionalFormatting sqref="AJ5:AJ12">
    <cfRule type="expression" dxfId="289" priority="89">
      <formula>WEEKDAY(AJ$2,2)&gt;6</formula>
    </cfRule>
  </conditionalFormatting>
  <conditionalFormatting sqref="AK5:AK12">
    <cfRule type="expression" dxfId="288" priority="86">
      <formula>AND(ROW()=CELL("row"),COLUMN()=CELL("col"))</formula>
    </cfRule>
    <cfRule type="expression" dxfId="287" priority="87">
      <formula>ROW()=CELL("row")</formula>
    </cfRule>
    <cfRule type="expression" dxfId="286" priority="88">
      <formula>COLUMN()=CELL("col")</formula>
    </cfRule>
  </conditionalFormatting>
  <conditionalFormatting sqref="AK5:AK12">
    <cfRule type="expression" dxfId="285" priority="85">
      <formula>WEEKDAY(AK$2,2)&gt;6</formula>
    </cfRule>
  </conditionalFormatting>
  <conditionalFormatting sqref="AL5:AL12">
    <cfRule type="expression" dxfId="284" priority="82">
      <formula>AND(ROW()=CELL("row"),COLUMN()=CELL("col"))</formula>
    </cfRule>
    <cfRule type="expression" dxfId="283" priority="83">
      <formula>ROW()=CELL("row")</formula>
    </cfRule>
    <cfRule type="expression" dxfId="282" priority="84">
      <formula>COLUMN()=CELL("col")</formula>
    </cfRule>
  </conditionalFormatting>
  <conditionalFormatting sqref="AL5:AL12">
    <cfRule type="expression" dxfId="281" priority="81">
      <formula>WEEKDAY(AL$2,2)&gt;6</formula>
    </cfRule>
  </conditionalFormatting>
  <conditionalFormatting sqref="AM5:AM12">
    <cfRule type="expression" dxfId="280" priority="78">
      <formula>AND(ROW()=CELL("row"),COLUMN()=CELL("col"))</formula>
    </cfRule>
    <cfRule type="expression" dxfId="279" priority="79">
      <formula>ROW()=CELL("row")</formula>
    </cfRule>
    <cfRule type="expression" dxfId="278" priority="80">
      <formula>COLUMN()=CELL("col")</formula>
    </cfRule>
  </conditionalFormatting>
  <conditionalFormatting sqref="AM5:AM12">
    <cfRule type="expression" dxfId="277" priority="77">
      <formula>WEEKDAY(AM$2,2)&gt;6</formula>
    </cfRule>
  </conditionalFormatting>
  <conditionalFormatting sqref="AN5:AN12">
    <cfRule type="expression" dxfId="276" priority="74">
      <formula>AND(ROW()=CELL("row"),COLUMN()=CELL("col"))</formula>
    </cfRule>
    <cfRule type="expression" dxfId="275" priority="75">
      <formula>ROW()=CELL("row")</formula>
    </cfRule>
    <cfRule type="expression" dxfId="274" priority="76">
      <formula>COLUMN()=CELL("col")</formula>
    </cfRule>
  </conditionalFormatting>
  <conditionalFormatting sqref="AN5:AN12">
    <cfRule type="expression" dxfId="273" priority="73">
      <formula>WEEKDAY(AN$2,2)&gt;6</formula>
    </cfRule>
  </conditionalFormatting>
  <conditionalFormatting sqref="AO5:AO12">
    <cfRule type="expression" dxfId="272" priority="70">
      <formula>AND(ROW()=CELL("row"),COLUMN()=CELL("col"))</formula>
    </cfRule>
    <cfRule type="expression" dxfId="271" priority="71">
      <formula>ROW()=CELL("row")</formula>
    </cfRule>
    <cfRule type="expression" dxfId="270" priority="72">
      <formula>COLUMN()=CELL("col")</formula>
    </cfRule>
  </conditionalFormatting>
  <conditionalFormatting sqref="AO5:AO12">
    <cfRule type="expression" dxfId="269" priority="69">
      <formula>WEEKDAY(AO$2,2)&gt;6</formula>
    </cfRule>
  </conditionalFormatting>
  <conditionalFormatting sqref="AP5:AP12">
    <cfRule type="expression" dxfId="268" priority="66">
      <formula>AND(ROW()=CELL("row"),COLUMN()=CELL("col"))</formula>
    </cfRule>
    <cfRule type="expression" dxfId="267" priority="67">
      <formula>ROW()=CELL("row")</formula>
    </cfRule>
    <cfRule type="expression" dxfId="266" priority="68">
      <formula>COLUMN()=CELL("col")</formula>
    </cfRule>
  </conditionalFormatting>
  <conditionalFormatting sqref="AP5:AP12">
    <cfRule type="expression" dxfId="265" priority="65">
      <formula>WEEKDAY(AP$2,2)&gt;6</formula>
    </cfRule>
  </conditionalFormatting>
  <conditionalFormatting sqref="AQ5:AQ12">
    <cfRule type="expression" dxfId="264" priority="62">
      <formula>AND(ROW()=CELL("row"),COLUMN()=CELL("col"))</formula>
    </cfRule>
    <cfRule type="expression" dxfId="263" priority="63">
      <formula>ROW()=CELL("row")</formula>
    </cfRule>
    <cfRule type="expression" dxfId="262" priority="64">
      <formula>COLUMN()=CELL("col")</formula>
    </cfRule>
  </conditionalFormatting>
  <conditionalFormatting sqref="AQ5:AQ12">
    <cfRule type="expression" dxfId="261" priority="61">
      <formula>WEEKDAY(AQ$2,2)&gt;6</formula>
    </cfRule>
  </conditionalFormatting>
  <conditionalFormatting sqref="AR5:AR12">
    <cfRule type="expression" dxfId="260" priority="58">
      <formula>AND(ROW()=CELL("row"),COLUMN()=CELL("col"))</formula>
    </cfRule>
    <cfRule type="expression" dxfId="259" priority="59">
      <formula>ROW()=CELL("row")</formula>
    </cfRule>
    <cfRule type="expression" dxfId="258" priority="60">
      <formula>COLUMN()=CELL("col")</formula>
    </cfRule>
  </conditionalFormatting>
  <conditionalFormatting sqref="AR5:AR12">
    <cfRule type="expression" dxfId="257" priority="57">
      <formula>WEEKDAY(AR$2,2)&gt;6</formula>
    </cfRule>
  </conditionalFormatting>
  <conditionalFormatting sqref="AS5:AS12">
    <cfRule type="expression" dxfId="256" priority="54">
      <formula>AND(ROW()=CELL("row"),COLUMN()=CELL("col"))</formula>
    </cfRule>
    <cfRule type="expression" dxfId="255" priority="55">
      <formula>ROW()=CELL("row")</formula>
    </cfRule>
    <cfRule type="expression" dxfId="254" priority="56">
      <formula>COLUMN()=CELL("col")</formula>
    </cfRule>
  </conditionalFormatting>
  <conditionalFormatting sqref="AS5:AS12">
    <cfRule type="expression" dxfId="253" priority="53">
      <formula>WEEKDAY(AS$2,2)&gt;6</formula>
    </cfRule>
  </conditionalFormatting>
  <conditionalFormatting sqref="AT5:AT12">
    <cfRule type="expression" dxfId="252" priority="50">
      <formula>AND(ROW()=CELL("row"),COLUMN()=CELL("col"))</formula>
    </cfRule>
    <cfRule type="expression" dxfId="251" priority="51">
      <formula>ROW()=CELL("row")</formula>
    </cfRule>
    <cfRule type="expression" dxfId="250" priority="52">
      <formula>COLUMN()=CELL("col")</formula>
    </cfRule>
  </conditionalFormatting>
  <conditionalFormatting sqref="AT5:AT12">
    <cfRule type="expression" dxfId="249" priority="49">
      <formula>WEEKDAY(AT$2,2)&gt;6</formula>
    </cfRule>
  </conditionalFormatting>
  <conditionalFormatting sqref="AU5:AU12">
    <cfRule type="expression" dxfId="248" priority="46">
      <formula>AND(ROW()=CELL("row"),COLUMN()=CELL("col"))</formula>
    </cfRule>
    <cfRule type="expression" dxfId="247" priority="47">
      <formula>ROW()=CELL("row")</formula>
    </cfRule>
    <cfRule type="expression" dxfId="246" priority="48">
      <formula>COLUMN()=CELL("col")</formula>
    </cfRule>
  </conditionalFormatting>
  <conditionalFormatting sqref="AU5:AU12">
    <cfRule type="expression" dxfId="245" priority="45">
      <formula>WEEKDAY(AU$2,2)&gt;6</formula>
    </cfRule>
  </conditionalFormatting>
  <conditionalFormatting sqref="AV5:AV12">
    <cfRule type="expression" dxfId="244" priority="42">
      <formula>AND(ROW()=CELL("row"),COLUMN()=CELL("col"))</formula>
    </cfRule>
    <cfRule type="expression" dxfId="243" priority="43">
      <formula>ROW()=CELL("row")</formula>
    </cfRule>
    <cfRule type="expression" dxfId="242" priority="44">
      <formula>COLUMN()=CELL("col")</formula>
    </cfRule>
  </conditionalFormatting>
  <conditionalFormatting sqref="AV5:AV12">
    <cfRule type="expression" dxfId="241" priority="41">
      <formula>WEEKDAY(AV$2,2)&gt;6</formula>
    </cfRule>
  </conditionalFormatting>
  <conditionalFormatting sqref="AW5:AW12">
    <cfRule type="expression" dxfId="240" priority="38">
      <formula>AND(ROW()=CELL("row"),COLUMN()=CELL("col"))</formula>
    </cfRule>
    <cfRule type="expression" dxfId="239" priority="39">
      <formula>ROW()=CELL("row")</formula>
    </cfRule>
    <cfRule type="expression" dxfId="238" priority="40">
      <formula>COLUMN()=CELL("col")</formula>
    </cfRule>
  </conditionalFormatting>
  <conditionalFormatting sqref="AW5:AW12">
    <cfRule type="expression" dxfId="237" priority="37">
      <formula>WEEKDAY(AW$2,2)&gt;6</formula>
    </cfRule>
  </conditionalFormatting>
  <conditionalFormatting sqref="AX5:AX12">
    <cfRule type="expression" dxfId="236" priority="34">
      <formula>AND(ROW()=CELL("row"),COLUMN()=CELL("col"))</formula>
    </cfRule>
    <cfRule type="expression" dxfId="235" priority="35">
      <formula>ROW()=CELL("row")</formula>
    </cfRule>
    <cfRule type="expression" dxfId="234" priority="36">
      <formula>COLUMN()=CELL("col")</formula>
    </cfRule>
  </conditionalFormatting>
  <conditionalFormatting sqref="AX5:AX12">
    <cfRule type="expression" dxfId="233" priority="33">
      <formula>WEEKDAY(AX$2,2)&gt;6</formula>
    </cfRule>
  </conditionalFormatting>
  <conditionalFormatting sqref="AY5:AY12">
    <cfRule type="expression" dxfId="232" priority="30">
      <formula>AND(ROW()=CELL("row"),COLUMN()=CELL("col"))</formula>
    </cfRule>
    <cfRule type="expression" dxfId="231" priority="31">
      <formula>ROW()=CELL("row")</formula>
    </cfRule>
    <cfRule type="expression" dxfId="230" priority="32">
      <formula>COLUMN()=CELL("col")</formula>
    </cfRule>
  </conditionalFormatting>
  <conditionalFormatting sqref="AY5:AY12">
    <cfRule type="expression" dxfId="229" priority="29">
      <formula>WEEKDAY(AY$2,2)&gt;6</formula>
    </cfRule>
  </conditionalFormatting>
  <conditionalFormatting sqref="AZ5:AZ12">
    <cfRule type="expression" dxfId="228" priority="26">
      <formula>AND(ROW()=CELL("row"),COLUMN()=CELL("col"))</formula>
    </cfRule>
    <cfRule type="expression" dxfId="227" priority="27">
      <formula>ROW()=CELL("row")</formula>
    </cfRule>
    <cfRule type="expression" dxfId="226" priority="28">
      <formula>COLUMN()=CELL("col")</formula>
    </cfRule>
  </conditionalFormatting>
  <conditionalFormatting sqref="AZ5:AZ12">
    <cfRule type="expression" dxfId="225" priority="25">
      <formula>WEEKDAY(AZ$2,2)&gt;6</formula>
    </cfRule>
  </conditionalFormatting>
  <conditionalFormatting sqref="BA5:BA12">
    <cfRule type="expression" dxfId="224" priority="22">
      <formula>AND(ROW()=CELL("row"),COLUMN()=CELL("col"))</formula>
    </cfRule>
    <cfRule type="expression" dxfId="223" priority="23">
      <formula>ROW()=CELL("row")</formula>
    </cfRule>
    <cfRule type="expression" dxfId="222" priority="24">
      <formula>COLUMN()=CELL("col")</formula>
    </cfRule>
  </conditionalFormatting>
  <conditionalFormatting sqref="BA5:BA12">
    <cfRule type="expression" dxfId="221" priority="21">
      <formula>WEEKDAY(BA$2,2)&gt;6</formula>
    </cfRule>
  </conditionalFormatting>
  <conditionalFormatting sqref="BB5:BB12">
    <cfRule type="expression" dxfId="220" priority="18">
      <formula>AND(ROW()=CELL("row"),COLUMN()=CELL("col"))</formula>
    </cfRule>
    <cfRule type="expression" dxfId="219" priority="19">
      <formula>ROW()=CELL("row")</formula>
    </cfRule>
    <cfRule type="expression" dxfId="218" priority="20">
      <formula>COLUMN()=CELL("col")</formula>
    </cfRule>
  </conditionalFormatting>
  <conditionalFormatting sqref="BB5:BB12">
    <cfRule type="expression" dxfId="217" priority="17">
      <formula>WEEKDAY(BB$2,2)&gt;6</formula>
    </cfRule>
  </conditionalFormatting>
  <conditionalFormatting sqref="BC5:BC12">
    <cfRule type="expression" dxfId="216" priority="14">
      <formula>AND(ROW()=CELL("row"),COLUMN()=CELL("col"))</formula>
    </cfRule>
    <cfRule type="expression" dxfId="215" priority="15">
      <formula>ROW()=CELL("row")</formula>
    </cfRule>
    <cfRule type="expression" dxfId="214" priority="16">
      <formula>COLUMN()=CELL("col")</formula>
    </cfRule>
  </conditionalFormatting>
  <conditionalFormatting sqref="BC5:BC12">
    <cfRule type="expression" dxfId="213" priority="13">
      <formula>WEEKDAY(BC$2,2)&gt;6</formula>
    </cfRule>
  </conditionalFormatting>
  <conditionalFormatting sqref="BD5:BD12">
    <cfRule type="expression" dxfId="212" priority="10">
      <formula>AND(ROW()=CELL("row"),COLUMN()=CELL("col"))</formula>
    </cfRule>
    <cfRule type="expression" dxfId="211" priority="11">
      <formula>ROW()=CELL("row")</formula>
    </cfRule>
    <cfRule type="expression" dxfId="210" priority="12">
      <formula>COLUMN()=CELL("col")</formula>
    </cfRule>
  </conditionalFormatting>
  <conditionalFormatting sqref="BD5:BD12">
    <cfRule type="expression" dxfId="209" priority="9">
      <formula>WEEKDAY(BD$2,2)&gt;6</formula>
    </cfRule>
  </conditionalFormatting>
  <conditionalFormatting sqref="BE5:BE12">
    <cfRule type="expression" dxfId="208" priority="6">
      <formula>AND(ROW()=CELL("row"),COLUMN()=CELL("col"))</formula>
    </cfRule>
    <cfRule type="expression" dxfId="207" priority="7">
      <formula>ROW()=CELL("row")</formula>
    </cfRule>
    <cfRule type="expression" dxfId="206" priority="8">
      <formula>COLUMN()=CELL("col")</formula>
    </cfRule>
  </conditionalFormatting>
  <conditionalFormatting sqref="BE5:BE12">
    <cfRule type="expression" dxfId="205" priority="5">
      <formula>WEEKDAY(BE$2,2)&gt;6</formula>
    </cfRule>
  </conditionalFormatting>
  <conditionalFormatting sqref="BF5:BF12">
    <cfRule type="expression" dxfId="204" priority="2">
      <formula>AND(ROW()=CELL("row"),COLUMN()=CELL("col"))</formula>
    </cfRule>
    <cfRule type="expression" dxfId="203" priority="3">
      <formula>ROW()=CELL("row")</formula>
    </cfRule>
    <cfRule type="expression" dxfId="202" priority="4">
      <formula>COLUMN()=CELL("col")</formula>
    </cfRule>
  </conditionalFormatting>
  <conditionalFormatting sqref="BF5:BF12">
    <cfRule type="expression" dxfId="201" priority="1">
      <formula>WEEKDAY(BF$2,2)&gt;6</formula>
    </cfRule>
  </conditionalFormatting>
  <pageMargins left="0.7" right="0.7" top="0.75" bottom="0.75" header="0.3" footer="0.3"/>
  <pageSetup paperSize="9" scale="60" orientation="portrait" r:id="rId1"/>
  <colBreaks count="1" manualBreakCount="1">
    <brk id="34" max="1048575" man="1"/>
  </colBreaks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B0F0"/>
  </sheetPr>
  <dimension ref="A1:XDR34"/>
  <sheetViews>
    <sheetView workbookViewId="0"/>
  </sheetViews>
  <sheetFormatPr defaultColWidth="8.85546875" defaultRowHeight="15" x14ac:dyDescent="0.25"/>
  <cols>
    <col min="1" max="1" width="0.7109375" style="3" customWidth="1"/>
    <col min="2" max="2" width="5" style="3" customWidth="1"/>
    <col min="3" max="3" width="13.7109375" style="3" customWidth="1"/>
    <col min="4" max="4" width="18.5703125" style="3" customWidth="1"/>
    <col min="5" max="6" width="12" style="3" hidden="1" customWidth="1"/>
    <col min="7" max="7" width="9.85546875" style="3" hidden="1" customWidth="1"/>
    <col min="8" max="9" width="12" style="3" hidden="1" customWidth="1"/>
    <col min="10" max="11" width="10.5703125" style="3" hidden="1" customWidth="1"/>
    <col min="12" max="15" width="12" style="3" hidden="1" customWidth="1"/>
    <col min="16" max="16" width="9.85546875" style="3" hidden="1" customWidth="1"/>
    <col min="17" max="17" width="12" style="3" hidden="1" customWidth="1"/>
    <col min="18" max="18" width="10.5703125" style="3" hidden="1" customWidth="1"/>
    <col min="19" max="19" width="9.85546875" style="3" hidden="1" customWidth="1"/>
    <col min="20" max="20" width="14.28515625" style="3" hidden="1" customWidth="1"/>
    <col min="21" max="21" width="10.5703125" style="3" hidden="1" customWidth="1"/>
    <col min="22" max="22" width="12" style="3" bestFit="1" customWidth="1"/>
    <col min="23" max="23" width="10.5703125" style="3" bestFit="1" customWidth="1"/>
    <col min="24" max="24" width="12" style="3" bestFit="1" customWidth="1"/>
    <col min="25" max="25" width="9.85546875" style="3" customWidth="1"/>
    <col min="26" max="26" width="10.5703125" style="3" bestFit="1" customWidth="1"/>
    <col min="27" max="27" width="12" style="3" bestFit="1" customWidth="1"/>
    <col min="28" max="28" width="10.5703125" style="3" bestFit="1" customWidth="1"/>
    <col min="29" max="29" width="12" style="3" bestFit="1" customWidth="1"/>
    <col min="30" max="32" width="10.5703125" style="3" bestFit="1" customWidth="1"/>
    <col min="33" max="34" width="9.85546875" style="3" customWidth="1"/>
    <col min="35" max="35" width="7.140625" style="3" bestFit="1" customWidth="1"/>
    <col min="36" max="16346" width="8.85546875" style="3"/>
    <col min="16347" max="16384" width="8.85546875" style="2"/>
  </cols>
  <sheetData>
    <row r="1" spans="2:35" s="2" customFormat="1" x14ac:dyDescent="0.25"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</row>
    <row r="2" spans="2:35" s="2" customFormat="1" ht="23.25" customHeight="1" x14ac:dyDescent="0.25">
      <c r="B2" s="390" t="s">
        <v>10</v>
      </c>
      <c r="C2" s="391"/>
      <c r="D2" s="391"/>
      <c r="E2" s="391"/>
      <c r="F2" s="391"/>
      <c r="G2" s="391"/>
      <c r="H2" s="391"/>
      <c r="I2" s="391"/>
      <c r="J2" s="391"/>
      <c r="K2" s="391"/>
      <c r="L2" s="391"/>
      <c r="M2" s="392"/>
      <c r="N2" s="393" t="e">
        <f>#REF!</f>
        <v>#REF!</v>
      </c>
      <c r="O2" s="393"/>
      <c r="P2" s="393">
        <v>2022</v>
      </c>
      <c r="Q2" s="39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</row>
    <row r="3" spans="2:35" s="4" customFormat="1" ht="37.5" x14ac:dyDescent="0.2">
      <c r="B3" s="7" t="s">
        <v>2</v>
      </c>
      <c r="C3" s="8" t="s">
        <v>3</v>
      </c>
      <c r="D3" s="8" t="s">
        <v>9</v>
      </c>
      <c r="E3" s="13" t="e">
        <f>DATE(P2,N2,1)</f>
        <v>#REF!</v>
      </c>
      <c r="F3" s="13" t="e">
        <f>E3+1</f>
        <v>#REF!</v>
      </c>
      <c r="G3" s="13" t="e">
        <f t="shared" ref="G3:AI3" si="0">F3+1</f>
        <v>#REF!</v>
      </c>
      <c r="H3" s="13" t="e">
        <f t="shared" si="0"/>
        <v>#REF!</v>
      </c>
      <c r="I3" s="13" t="e">
        <f t="shared" si="0"/>
        <v>#REF!</v>
      </c>
      <c r="J3" s="13" t="e">
        <f t="shared" si="0"/>
        <v>#REF!</v>
      </c>
      <c r="K3" s="13" t="e">
        <f t="shared" si="0"/>
        <v>#REF!</v>
      </c>
      <c r="L3" s="13" t="e">
        <f t="shared" si="0"/>
        <v>#REF!</v>
      </c>
      <c r="M3" s="13" t="e">
        <f t="shared" si="0"/>
        <v>#REF!</v>
      </c>
      <c r="N3" s="13" t="e">
        <f t="shared" si="0"/>
        <v>#REF!</v>
      </c>
      <c r="O3" s="13" t="e">
        <f t="shared" si="0"/>
        <v>#REF!</v>
      </c>
      <c r="P3" s="13" t="e">
        <f t="shared" si="0"/>
        <v>#REF!</v>
      </c>
      <c r="Q3" s="13" t="e">
        <f t="shared" si="0"/>
        <v>#REF!</v>
      </c>
      <c r="R3" s="13" t="e">
        <f t="shared" si="0"/>
        <v>#REF!</v>
      </c>
      <c r="S3" s="13" t="e">
        <f t="shared" si="0"/>
        <v>#REF!</v>
      </c>
      <c r="T3" s="13" t="e">
        <f t="shared" si="0"/>
        <v>#REF!</v>
      </c>
      <c r="U3" s="13" t="e">
        <f t="shared" si="0"/>
        <v>#REF!</v>
      </c>
      <c r="V3" s="13" t="e">
        <f t="shared" si="0"/>
        <v>#REF!</v>
      </c>
      <c r="W3" s="13" t="e">
        <f t="shared" si="0"/>
        <v>#REF!</v>
      </c>
      <c r="X3" s="13" t="e">
        <f t="shared" si="0"/>
        <v>#REF!</v>
      </c>
      <c r="Y3" s="13" t="e">
        <f t="shared" si="0"/>
        <v>#REF!</v>
      </c>
      <c r="Z3" s="13" t="e">
        <f t="shared" si="0"/>
        <v>#REF!</v>
      </c>
      <c r="AA3" s="13" t="e">
        <f t="shared" si="0"/>
        <v>#REF!</v>
      </c>
      <c r="AB3" s="13" t="e">
        <f t="shared" si="0"/>
        <v>#REF!</v>
      </c>
      <c r="AC3" s="13" t="e">
        <f t="shared" si="0"/>
        <v>#REF!</v>
      </c>
      <c r="AD3" s="13" t="e">
        <f t="shared" si="0"/>
        <v>#REF!</v>
      </c>
      <c r="AE3" s="13" t="e">
        <f t="shared" si="0"/>
        <v>#REF!</v>
      </c>
      <c r="AF3" s="13" t="e">
        <f t="shared" si="0"/>
        <v>#REF!</v>
      </c>
      <c r="AG3" s="13" t="e">
        <f t="shared" si="0"/>
        <v>#REF!</v>
      </c>
      <c r="AH3" s="13" t="e">
        <f t="shared" si="0"/>
        <v>#REF!</v>
      </c>
      <c r="AI3" s="13" t="e">
        <f t="shared" si="0"/>
        <v>#REF!</v>
      </c>
    </row>
    <row r="4" spans="2:35" s="4" customFormat="1" ht="18.75" x14ac:dyDescent="0.2">
      <c r="B4" s="9"/>
      <c r="C4" s="10"/>
      <c r="D4" s="11">
        <f>SUBTOTAL(9,D5:D34)</f>
        <v>0</v>
      </c>
      <c r="E4" s="11">
        <f t="shared" ref="E4:AI4" si="1">SUBTOTAL(9,E5:E34)</f>
        <v>0</v>
      </c>
      <c r="F4" s="11">
        <f t="shared" si="1"/>
        <v>0</v>
      </c>
      <c r="G4" s="11">
        <f t="shared" si="1"/>
        <v>0</v>
      </c>
      <c r="H4" s="11">
        <f t="shared" si="1"/>
        <v>0</v>
      </c>
      <c r="I4" s="11">
        <f t="shared" si="1"/>
        <v>0</v>
      </c>
      <c r="J4" s="11">
        <f t="shared" si="1"/>
        <v>0</v>
      </c>
      <c r="K4" s="11">
        <f t="shared" si="1"/>
        <v>0</v>
      </c>
      <c r="L4" s="11">
        <f t="shared" si="1"/>
        <v>0</v>
      </c>
      <c r="M4" s="11">
        <f t="shared" si="1"/>
        <v>0</v>
      </c>
      <c r="N4" s="11">
        <f t="shared" si="1"/>
        <v>0</v>
      </c>
      <c r="O4" s="11">
        <f t="shared" si="1"/>
        <v>0</v>
      </c>
      <c r="P4" s="11">
        <f t="shared" si="1"/>
        <v>0</v>
      </c>
      <c r="Q4" s="11">
        <f t="shared" si="1"/>
        <v>0</v>
      </c>
      <c r="R4" s="11">
        <f t="shared" si="1"/>
        <v>0</v>
      </c>
      <c r="S4" s="11">
        <f t="shared" si="1"/>
        <v>0</v>
      </c>
      <c r="T4" s="11">
        <f t="shared" si="1"/>
        <v>0</v>
      </c>
      <c r="U4" s="11">
        <f t="shared" si="1"/>
        <v>0</v>
      </c>
      <c r="V4" s="11">
        <f t="shared" si="1"/>
        <v>0</v>
      </c>
      <c r="W4" s="11">
        <f t="shared" si="1"/>
        <v>0</v>
      </c>
      <c r="X4" s="11">
        <f t="shared" si="1"/>
        <v>0</v>
      </c>
      <c r="Y4" s="11">
        <f t="shared" si="1"/>
        <v>0</v>
      </c>
      <c r="Z4" s="11">
        <f t="shared" si="1"/>
        <v>0</v>
      </c>
      <c r="AA4" s="11">
        <f t="shared" si="1"/>
        <v>0</v>
      </c>
      <c r="AB4" s="11">
        <f t="shared" si="1"/>
        <v>0</v>
      </c>
      <c r="AC4" s="11">
        <f t="shared" si="1"/>
        <v>0</v>
      </c>
      <c r="AD4" s="11">
        <f t="shared" si="1"/>
        <v>0</v>
      </c>
      <c r="AE4" s="11">
        <f t="shared" si="1"/>
        <v>0</v>
      </c>
      <c r="AF4" s="11">
        <f t="shared" si="1"/>
        <v>0</v>
      </c>
      <c r="AG4" s="11">
        <f t="shared" si="1"/>
        <v>0</v>
      </c>
      <c r="AH4" s="11">
        <f t="shared" si="1"/>
        <v>0</v>
      </c>
      <c r="AI4" s="11">
        <f t="shared" si="1"/>
        <v>0</v>
      </c>
    </row>
    <row r="5" spans="2:35" s="2" customFormat="1" ht="18.75" x14ac:dyDescent="0.3">
      <c r="B5" s="5">
        <v>1</v>
      </c>
      <c r="C5" s="14">
        <v>8803</v>
      </c>
      <c r="D5" s="12">
        <f t="shared" ref="D5:D34" si="2">SUM(E5:AI5)</f>
        <v>0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</row>
    <row r="6" spans="2:35" s="2" customFormat="1" ht="18.75" x14ac:dyDescent="0.3">
      <c r="B6" s="5">
        <v>2</v>
      </c>
      <c r="C6" s="14"/>
      <c r="D6" s="12">
        <f t="shared" si="2"/>
        <v>0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</row>
    <row r="7" spans="2:35" s="2" customFormat="1" ht="18.75" x14ac:dyDescent="0.3">
      <c r="B7" s="5">
        <v>3</v>
      </c>
      <c r="C7" s="14"/>
      <c r="D7" s="12">
        <f t="shared" si="2"/>
        <v>0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</row>
    <row r="8" spans="2:35" s="2" customFormat="1" ht="18.75" x14ac:dyDescent="0.3">
      <c r="B8" s="5">
        <v>4</v>
      </c>
      <c r="C8" s="14"/>
      <c r="D8" s="12">
        <f t="shared" si="2"/>
        <v>0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</row>
    <row r="9" spans="2:35" s="2" customFormat="1" ht="18.75" x14ac:dyDescent="0.3">
      <c r="B9" s="5">
        <v>5</v>
      </c>
      <c r="C9" s="15"/>
      <c r="D9" s="12">
        <f t="shared" si="2"/>
        <v>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</row>
    <row r="10" spans="2:35" s="2" customFormat="1" ht="18.75" x14ac:dyDescent="0.3">
      <c r="B10" s="5">
        <v>6</v>
      </c>
      <c r="C10" s="15"/>
      <c r="D10" s="12">
        <f t="shared" si="2"/>
        <v>0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</row>
    <row r="11" spans="2:35" s="2" customFormat="1" ht="18.75" x14ac:dyDescent="0.3">
      <c r="B11" s="5">
        <v>7</v>
      </c>
      <c r="C11" s="15"/>
      <c r="D11" s="12">
        <f t="shared" si="2"/>
        <v>0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</row>
    <row r="12" spans="2:35" s="2" customFormat="1" ht="18.75" x14ac:dyDescent="0.3">
      <c r="B12" s="5">
        <v>8</v>
      </c>
      <c r="C12" s="15"/>
      <c r="D12" s="12">
        <f t="shared" si="2"/>
        <v>0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</row>
    <row r="13" spans="2:35" s="2" customFormat="1" ht="18.75" x14ac:dyDescent="0.3">
      <c r="B13" s="5">
        <v>9</v>
      </c>
      <c r="C13" s="15"/>
      <c r="D13" s="12">
        <f t="shared" si="2"/>
        <v>0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</row>
    <row r="14" spans="2:35" s="2" customFormat="1" ht="18.75" x14ac:dyDescent="0.3">
      <c r="B14" s="5">
        <v>10</v>
      </c>
      <c r="C14" s="15"/>
      <c r="D14" s="12">
        <f t="shared" si="2"/>
        <v>0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</row>
    <row r="15" spans="2:35" s="2" customFormat="1" ht="18.75" x14ac:dyDescent="0.3">
      <c r="B15" s="5">
        <v>11</v>
      </c>
      <c r="C15" s="15"/>
      <c r="D15" s="12">
        <f t="shared" si="2"/>
        <v>0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</row>
    <row r="16" spans="2:35" s="2" customFormat="1" ht="18.75" x14ac:dyDescent="0.3">
      <c r="B16" s="5">
        <v>12</v>
      </c>
      <c r="C16" s="15"/>
      <c r="D16" s="12">
        <f t="shared" si="2"/>
        <v>0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</row>
    <row r="17" spans="2:35" s="2" customFormat="1" ht="18.75" x14ac:dyDescent="0.3">
      <c r="B17" s="5">
        <v>13</v>
      </c>
      <c r="C17" s="15"/>
      <c r="D17" s="12">
        <f t="shared" si="2"/>
        <v>0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</row>
    <row r="18" spans="2:35" s="2" customFormat="1" ht="18.75" x14ac:dyDescent="0.3">
      <c r="B18" s="5">
        <v>14</v>
      </c>
      <c r="C18" s="15"/>
      <c r="D18" s="12">
        <f t="shared" si="2"/>
        <v>0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</row>
    <row r="19" spans="2:35" s="2" customFormat="1" ht="18.75" x14ac:dyDescent="0.3">
      <c r="B19" s="5">
        <v>15</v>
      </c>
      <c r="C19" s="15"/>
      <c r="D19" s="12">
        <f t="shared" si="2"/>
        <v>0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</row>
    <row r="20" spans="2:35" s="2" customFormat="1" ht="18.75" x14ac:dyDescent="0.3">
      <c r="B20" s="5">
        <v>16</v>
      </c>
      <c r="C20" s="15"/>
      <c r="D20" s="12">
        <f t="shared" si="2"/>
        <v>0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</row>
    <row r="21" spans="2:35" s="2" customFormat="1" ht="18.75" x14ac:dyDescent="0.3">
      <c r="B21" s="5">
        <v>17</v>
      </c>
      <c r="C21" s="15"/>
      <c r="D21" s="12">
        <f t="shared" si="2"/>
        <v>0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</row>
    <row r="22" spans="2:35" s="2" customFormat="1" ht="18.75" x14ac:dyDescent="0.3">
      <c r="B22" s="5">
        <v>18</v>
      </c>
      <c r="C22" s="15"/>
      <c r="D22" s="12">
        <f t="shared" si="2"/>
        <v>0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</row>
    <row r="23" spans="2:35" s="2" customFormat="1" ht="18.75" x14ac:dyDescent="0.3">
      <c r="B23" s="5">
        <v>19</v>
      </c>
      <c r="C23" s="15"/>
      <c r="D23" s="12">
        <f t="shared" si="2"/>
        <v>0</v>
      </c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</row>
    <row r="24" spans="2:35" s="2" customFormat="1" ht="18.75" x14ac:dyDescent="0.3">
      <c r="B24" s="5">
        <v>20</v>
      </c>
      <c r="C24" s="15"/>
      <c r="D24" s="12">
        <f t="shared" si="2"/>
        <v>0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</row>
    <row r="25" spans="2:35" s="2" customFormat="1" ht="18.75" x14ac:dyDescent="0.3">
      <c r="B25" s="5">
        <v>21</v>
      </c>
      <c r="C25" s="15"/>
      <c r="D25" s="12">
        <f t="shared" si="2"/>
        <v>0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</row>
    <row r="26" spans="2:35" s="2" customFormat="1" ht="18.75" x14ac:dyDescent="0.3">
      <c r="B26" s="5">
        <v>22</v>
      </c>
      <c r="C26" s="15"/>
      <c r="D26" s="12">
        <f t="shared" si="2"/>
        <v>0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</row>
    <row r="27" spans="2:35" s="2" customFormat="1" ht="18.75" x14ac:dyDescent="0.3">
      <c r="B27" s="5">
        <v>23</v>
      </c>
      <c r="C27" s="15"/>
      <c r="D27" s="12">
        <f t="shared" si="2"/>
        <v>0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</row>
    <row r="28" spans="2:35" s="2" customFormat="1" ht="18.75" x14ac:dyDescent="0.3">
      <c r="B28" s="5">
        <v>24</v>
      </c>
      <c r="C28" s="15"/>
      <c r="D28" s="12">
        <f t="shared" si="2"/>
        <v>0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</row>
    <row r="29" spans="2:35" s="2" customFormat="1" ht="18.75" x14ac:dyDescent="0.3">
      <c r="B29" s="5">
        <v>25</v>
      </c>
      <c r="C29" s="15"/>
      <c r="D29" s="12">
        <f t="shared" si="2"/>
        <v>0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</row>
    <row r="30" spans="2:35" s="2" customFormat="1" ht="18.75" x14ac:dyDescent="0.3">
      <c r="B30" s="5">
        <v>26</v>
      </c>
      <c r="C30" s="15"/>
      <c r="D30" s="12">
        <f t="shared" si="2"/>
        <v>0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</row>
    <row r="31" spans="2:35" s="2" customFormat="1" ht="18.75" x14ac:dyDescent="0.3">
      <c r="B31" s="5">
        <v>27</v>
      </c>
      <c r="C31" s="15"/>
      <c r="D31" s="12">
        <f t="shared" si="2"/>
        <v>0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</row>
    <row r="32" spans="2:35" s="2" customFormat="1" ht="18.75" x14ac:dyDescent="0.3">
      <c r="B32" s="5">
        <v>28</v>
      </c>
      <c r="C32" s="15"/>
      <c r="D32" s="12">
        <f t="shared" si="2"/>
        <v>0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</row>
    <row r="33" spans="2:35" s="2" customFormat="1" ht="18.75" x14ac:dyDescent="0.3">
      <c r="B33" s="5">
        <v>29</v>
      </c>
      <c r="C33" s="15"/>
      <c r="D33" s="12">
        <f t="shared" si="2"/>
        <v>0</v>
      </c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</row>
    <row r="34" spans="2:35" s="2" customFormat="1" ht="18.75" x14ac:dyDescent="0.3">
      <c r="B34" s="5">
        <v>30</v>
      </c>
      <c r="C34" s="1"/>
      <c r="D34" s="12">
        <f t="shared" si="2"/>
        <v>0</v>
      </c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</row>
  </sheetData>
  <autoFilter ref="B4:C4"/>
  <mergeCells count="3">
    <mergeCell ref="B2:M2"/>
    <mergeCell ref="N2:O2"/>
    <mergeCell ref="P2:Q2"/>
  </mergeCells>
  <conditionalFormatting sqref="D5:D34">
    <cfRule type="cellIs" dxfId="200" priority="23" operator="greaterThan">
      <formula>0</formula>
    </cfRule>
  </conditionalFormatting>
  <conditionalFormatting sqref="E5:AI34">
    <cfRule type="cellIs" dxfId="199" priority="22" operator="equal">
      <formula>0</formula>
    </cfRule>
  </conditionalFormatting>
  <conditionalFormatting sqref="C34">
    <cfRule type="duplicateValues" dxfId="198" priority="21"/>
  </conditionalFormatting>
  <conditionalFormatting sqref="C5:C12">
    <cfRule type="duplicateValues" dxfId="197" priority="18"/>
    <cfRule type="duplicateValues" dxfId="196" priority="19"/>
  </conditionalFormatting>
  <conditionalFormatting sqref="C5:C12">
    <cfRule type="duplicateValues" dxfId="195" priority="17"/>
  </conditionalFormatting>
  <conditionalFormatting sqref="C13:C31">
    <cfRule type="duplicateValues" dxfId="194" priority="15"/>
    <cfRule type="duplicateValues" dxfId="193" priority="16"/>
  </conditionalFormatting>
  <conditionalFormatting sqref="C13:C31">
    <cfRule type="duplicateValues" dxfId="192" priority="14"/>
  </conditionalFormatting>
  <conditionalFormatting sqref="C5:C31">
    <cfRule type="duplicateValues" dxfId="191" priority="12"/>
    <cfRule type="duplicateValues" dxfId="190" priority="13"/>
  </conditionalFormatting>
  <conditionalFormatting sqref="C32">
    <cfRule type="duplicateValues" dxfId="189" priority="10"/>
    <cfRule type="duplicateValues" dxfId="188" priority="11"/>
  </conditionalFormatting>
  <conditionalFormatting sqref="C32">
    <cfRule type="duplicateValues" dxfId="187" priority="9"/>
  </conditionalFormatting>
  <conditionalFormatting sqref="C32">
    <cfRule type="duplicateValues" dxfId="186" priority="7"/>
    <cfRule type="duplicateValues" dxfId="185" priority="8"/>
  </conditionalFormatting>
  <conditionalFormatting sqref="C33">
    <cfRule type="duplicateValues" dxfId="184" priority="5"/>
    <cfRule type="duplicateValues" dxfId="183" priority="6"/>
  </conditionalFormatting>
  <conditionalFormatting sqref="C33">
    <cfRule type="duplicateValues" dxfId="182" priority="4"/>
  </conditionalFormatting>
  <conditionalFormatting sqref="C33">
    <cfRule type="duplicateValues" dxfId="181" priority="2"/>
    <cfRule type="duplicateValues" dxfId="180" priority="3"/>
  </conditionalFormatting>
  <conditionalFormatting sqref="C5:C34">
    <cfRule type="duplicateValues" dxfId="179" priority="1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4</vt:i4>
      </vt:variant>
    </vt:vector>
  </HeadingPairs>
  <TitlesOfParts>
    <vt:vector size="20" baseType="lpstr">
      <vt:lpstr>BÁO CÁO CÔNG NỢ</vt:lpstr>
      <vt:lpstr>PT CƠ CẤU SẢN PHẨM</vt:lpstr>
      <vt:lpstr>PT VÙNG MIỀN</vt:lpstr>
      <vt:lpstr>PT CƠ CẤU GIÁ</vt:lpstr>
      <vt:lpstr>BTP</vt:lpstr>
      <vt:lpstr>PHẾ Theo SP</vt:lpstr>
      <vt:lpstr>PHẾ Theo Máy</vt:lpstr>
      <vt:lpstr>PHÂN BỔ MÁY THÁNG 5</vt:lpstr>
      <vt:lpstr>PHÂN BỔ MÁY SỬA </vt:lpstr>
      <vt:lpstr>PHÂN BỔ MÁY SỬA</vt:lpstr>
      <vt:lpstr>PHÂN BỔ SX V2</vt:lpstr>
      <vt:lpstr>VMI</vt:lpstr>
      <vt:lpstr>YBM</vt:lpstr>
      <vt:lpstr>BL</vt:lpstr>
      <vt:lpstr>VMI (2)</vt:lpstr>
      <vt:lpstr>XUẤT KHO</vt:lpstr>
      <vt:lpstr>BL!Print_Area</vt:lpstr>
      <vt:lpstr>VMI!Print_Area</vt:lpstr>
      <vt:lpstr>'VMI (2)'!Print_Area</vt:lpstr>
      <vt:lpstr>YBM!Print_Area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TGDD</dc:creator>
  <cp:lastModifiedBy>adminpc1</cp:lastModifiedBy>
  <cp:lastPrinted>2023-05-25T03:30:21Z</cp:lastPrinted>
  <dcterms:created xsi:type="dcterms:W3CDTF">2020-08-13T15:42:45Z</dcterms:created>
  <dcterms:modified xsi:type="dcterms:W3CDTF">2023-05-25T08:47:23Z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1033-11.2.0.9629</vt:lpwstr>
  </property>
</Properties>
</file>